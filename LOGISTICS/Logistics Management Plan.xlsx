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yedek\039-VMP-S01064 - ATP_5000m3_Libya\4-Logistics\"/>
    </mc:Choice>
  </mc:AlternateContent>
  <xr:revisionPtr revIDLastSave="0" documentId="13_ncr:1_{A61DAA7A-6286-4A40-B181-8159A322A7EF}" xr6:coauthVersionLast="47" xr6:coauthVersionMax="47" xr10:uidLastSave="{00000000-0000-0000-0000-000000000000}"/>
  <bookViews>
    <workbookView xWindow="-110" yWindow="-110" windowWidth="19420" windowHeight="10300" activeTab="2" xr2:uid="{70509ED2-F600-4582-8C5A-96CB10D8B199}"/>
  </bookViews>
  <sheets>
    <sheet name="masterlist_log" sheetId="1" r:id="rId1"/>
    <sheet name="isk_shp1" sheetId="12" state="hidden" r:id="rId2"/>
    <sheet name="Container_Plan" sheetId="18" r:id="rId3"/>
    <sheet name="Shipment_View" sheetId="2" r:id="rId4"/>
    <sheet name="Packing_List" sheetId="6" r:id="rId5"/>
  </sheets>
  <definedNames>
    <definedName name="_xlnm._FilterDatabase" localSheetId="2" hidden="1">Container_Plan!$B$1:$T$1</definedName>
    <definedName name="_xlnm._FilterDatabase" localSheetId="1" hidden="1">isk_shp1!$A$1:$P$38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" l="1"/>
  <c r="T15" i="1"/>
  <c r="U13" i="1"/>
  <c r="T13" i="1"/>
  <c r="T95" i="1"/>
  <c r="N94" i="1"/>
  <c r="T94" i="1" s="1"/>
  <c r="T36" i="1"/>
  <c r="J74" i="18"/>
  <c r="K74" i="18" s="1"/>
  <c r="J69" i="18"/>
  <c r="K69" i="18" s="1"/>
  <c r="J70" i="18"/>
  <c r="K70" i="18" s="1"/>
  <c r="J71" i="18"/>
  <c r="K71" i="18" s="1"/>
  <c r="J72" i="18"/>
  <c r="K72" i="18" s="1"/>
  <c r="J73" i="18"/>
  <c r="K73" i="18" s="1"/>
  <c r="J67" i="18"/>
  <c r="K67" i="18" s="1"/>
  <c r="T17" i="1"/>
  <c r="H74" i="18"/>
  <c r="H73" i="18"/>
  <c r="H72" i="18"/>
  <c r="H71" i="18"/>
  <c r="H70" i="18"/>
  <c r="H69" i="18"/>
  <c r="H67" i="18"/>
  <c r="K62" i="18"/>
  <c r="L62" i="18" s="1"/>
  <c r="M62" i="18" s="1"/>
  <c r="H65" i="18"/>
  <c r="H64" i="18"/>
  <c r="H63" i="18"/>
  <c r="H62" i="18"/>
  <c r="K66" i="18"/>
  <c r="L66" i="18" s="1"/>
  <c r="K65" i="18"/>
  <c r="K64" i="18"/>
  <c r="L64" i="18" s="1"/>
  <c r="M64" i="18" s="1"/>
  <c r="K63" i="18"/>
  <c r="K56" i="18"/>
  <c r="L56" i="18" s="1"/>
  <c r="M56" i="18" s="1"/>
  <c r="K60" i="18"/>
  <c r="K59" i="18"/>
  <c r="K58" i="18"/>
  <c r="F57" i="18"/>
  <c r="K57" i="18" s="1"/>
  <c r="L57" i="18" s="1"/>
  <c r="M57" i="18" s="1"/>
  <c r="K4" i="18"/>
  <c r="K5" i="18"/>
  <c r="K6" i="18"/>
  <c r="K7" i="18"/>
  <c r="K8" i="18"/>
  <c r="K9" i="18"/>
  <c r="K10" i="18"/>
  <c r="K11" i="18"/>
  <c r="K12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13" i="18"/>
  <c r="K14" i="18"/>
  <c r="K15" i="18"/>
  <c r="K16" i="18"/>
  <c r="K17" i="18"/>
  <c r="K18" i="18"/>
  <c r="K19" i="18"/>
  <c r="K20" i="18"/>
  <c r="K43" i="18"/>
  <c r="K44" i="18"/>
  <c r="K45" i="18"/>
  <c r="K46" i="18"/>
  <c r="K47" i="18"/>
  <c r="K21" i="18"/>
  <c r="K22" i="18"/>
  <c r="K2" i="18"/>
  <c r="L2" i="18" s="1"/>
  <c r="M2" i="18" s="1"/>
  <c r="K37" i="18"/>
  <c r="K38" i="18"/>
  <c r="K39" i="18"/>
  <c r="K23" i="18"/>
  <c r="K24" i="18"/>
  <c r="K40" i="18"/>
  <c r="K41" i="18"/>
  <c r="K42" i="18"/>
  <c r="K48" i="18"/>
  <c r="K49" i="18"/>
  <c r="K50" i="18"/>
  <c r="K51" i="18"/>
  <c r="K52" i="18"/>
  <c r="K53" i="18"/>
  <c r="K54" i="18"/>
  <c r="K55" i="18"/>
  <c r="K3" i="18"/>
  <c r="T3" i="1"/>
  <c r="T4" i="1"/>
  <c r="T5" i="1"/>
  <c r="T6" i="1"/>
  <c r="T7" i="1"/>
  <c r="T8" i="1"/>
  <c r="T9" i="1"/>
  <c r="T10" i="1"/>
  <c r="T11" i="1"/>
  <c r="T2" i="1"/>
  <c r="L67" i="18" l="1"/>
  <c r="M67" i="18" s="1"/>
  <c r="L17" i="18"/>
  <c r="M17" i="18" s="1"/>
  <c r="L15" i="18"/>
  <c r="M15" i="18" s="1"/>
  <c r="L11" i="18"/>
  <c r="M11" i="18" s="1"/>
  <c r="L3" i="18"/>
  <c r="M3" i="18" s="1"/>
  <c r="L9" i="18"/>
  <c r="M9" i="18" s="1"/>
  <c r="L37" i="18"/>
  <c r="M37" i="18" s="1"/>
  <c r="L28" i="18"/>
  <c r="M28" i="18" s="1"/>
  <c r="L7" i="18"/>
  <c r="M7" i="18" s="1"/>
  <c r="L13" i="18"/>
  <c r="M13" i="18" s="1"/>
  <c r="L40" i="18"/>
  <c r="M40" i="18" s="1"/>
  <c r="L25" i="18"/>
  <c r="M25" i="18" s="1"/>
  <c r="L5" i="18"/>
  <c r="M5" i="18" s="1"/>
  <c r="L48" i="18"/>
  <c r="M48" i="18" s="1"/>
  <c r="L23" i="18"/>
  <c r="M23" i="18" s="1"/>
  <c r="L34" i="18"/>
  <c r="M34" i="18" s="1"/>
  <c r="L31" i="18"/>
  <c r="M31" i="18" s="1"/>
  <c r="L19" i="18"/>
  <c r="M19" i="18" s="1"/>
  <c r="L21" i="18"/>
  <c r="M21" i="18" s="1"/>
  <c r="L43" i="18"/>
  <c r="M43" i="18" s="1"/>
  <c r="U17" i="1" l="1"/>
  <c r="U18" i="1"/>
  <c r="U19" i="1"/>
  <c r="U20" i="1"/>
  <c r="U21" i="1"/>
  <c r="U22" i="1"/>
  <c r="U23" i="1"/>
  <c r="U16" i="1"/>
  <c r="U14" i="1"/>
  <c r="U12" i="1"/>
  <c r="T14" i="1"/>
  <c r="T16" i="1"/>
  <c r="T18" i="1"/>
  <c r="T19" i="1"/>
  <c r="T20" i="1"/>
  <c r="T21" i="1"/>
  <c r="T22" i="1"/>
  <c r="T23" i="1"/>
  <c r="T12" i="1"/>
  <c r="F3" i="12" l="1"/>
  <c r="G3" i="12" s="1"/>
  <c r="N3" i="12" s="1"/>
  <c r="O3" i="12" s="1"/>
  <c r="F35" i="12"/>
  <c r="G35" i="12" s="1"/>
  <c r="F6" i="12"/>
  <c r="G6" i="12" s="1"/>
  <c r="N6" i="12" s="1"/>
  <c r="O6" i="12" s="1"/>
  <c r="F5" i="12"/>
  <c r="G5" i="12" s="1"/>
  <c r="N5" i="12" s="1"/>
  <c r="O5" i="12" s="1"/>
  <c r="F4" i="12"/>
  <c r="G4" i="12" s="1"/>
  <c r="N4" i="12" s="1"/>
  <c r="O4" i="12" s="1"/>
  <c r="F2" i="12"/>
  <c r="G2" i="12" s="1"/>
  <c r="N2" i="12" s="1"/>
  <c r="O2" i="12" s="1"/>
  <c r="F27" i="12" l="1"/>
  <c r="G27" i="12" s="1"/>
  <c r="F31" i="12"/>
  <c r="G31" i="12" s="1"/>
  <c r="F10" i="12"/>
  <c r="G10" i="12" s="1"/>
  <c r="N10" i="12" s="1"/>
  <c r="O10" i="12" s="1"/>
  <c r="F29" i="12"/>
  <c r="G29" i="12" s="1"/>
  <c r="F21" i="12"/>
  <c r="G21" i="12" s="1"/>
  <c r="F38" i="12"/>
  <c r="G38" i="12" s="1"/>
  <c r="F26" i="12"/>
  <c r="G26" i="12" s="1"/>
  <c r="F32" i="12"/>
  <c r="G32" i="12" s="1"/>
  <c r="F22" i="12"/>
  <c r="G22" i="12" s="1"/>
  <c r="F28" i="12"/>
  <c r="G28" i="12" s="1"/>
  <c r="F20" i="12"/>
  <c r="G20" i="12" s="1"/>
  <c r="F37" i="12"/>
  <c r="G37" i="12" s="1"/>
  <c r="F17" i="12"/>
  <c r="G17" i="12" s="1"/>
  <c r="F15" i="12"/>
  <c r="G15" i="12" s="1"/>
  <c r="F19" i="12"/>
  <c r="G19" i="12" s="1"/>
  <c r="F7" i="12"/>
  <c r="G7" i="12" s="1"/>
  <c r="N7" i="12" s="1"/>
  <c r="O7" i="12" s="1"/>
  <c r="F16" i="12"/>
  <c r="G16" i="12" s="1"/>
  <c r="F14" i="12"/>
  <c r="G14" i="12" s="1"/>
  <c r="F12" i="12"/>
  <c r="G12" i="12" s="1"/>
  <c r="N20" i="12" l="1"/>
  <c r="O20" i="12" s="1"/>
  <c r="N16" i="12"/>
  <c r="N14" i="12"/>
  <c r="O14" i="12" s="1"/>
  <c r="F33" i="12"/>
  <c r="G33" i="12" s="1"/>
  <c r="F8" i="12"/>
  <c r="G8" i="12" s="1"/>
  <c r="N8" i="12" s="1"/>
  <c r="O8" i="12" s="1"/>
  <c r="F34" i="12"/>
  <c r="G34" i="12" s="1"/>
  <c r="F23" i="12"/>
  <c r="G23" i="12" s="1"/>
  <c r="N22" i="12" s="1"/>
  <c r="O22" i="12" s="1"/>
  <c r="F18" i="12"/>
  <c r="G18" i="12" s="1"/>
  <c r="N18" i="12" s="1"/>
  <c r="F9" i="12"/>
  <c r="G9" i="12" s="1"/>
  <c r="N9" i="12" s="1"/>
  <c r="O9" i="12" s="1"/>
  <c r="F25" i="12"/>
  <c r="G25" i="12" s="1"/>
  <c r="F11" i="12"/>
  <c r="G11" i="12" s="1"/>
  <c r="N11" i="12" s="1"/>
  <c r="O11" i="12" s="1"/>
  <c r="F13" i="12"/>
  <c r="G13" i="12" s="1"/>
  <c r="N12" i="12" s="1"/>
  <c r="O12" i="12" s="1"/>
  <c r="F30" i="12"/>
  <c r="G30" i="12" s="1"/>
  <c r="N27" i="12" s="1"/>
  <c r="O27" i="12" s="1"/>
  <c r="F24" i="12"/>
  <c r="G24" i="12" s="1"/>
  <c r="F36" i="12"/>
  <c r="G36" i="12" s="1"/>
  <c r="N35" i="12" s="1"/>
  <c r="O35" i="12" s="1"/>
  <c r="N31" i="12" l="1"/>
  <c r="O31" i="12" s="1"/>
  <c r="N24" i="12"/>
  <c r="O24" i="12" s="1"/>
</calcChain>
</file>

<file path=xl/sharedStrings.xml><?xml version="1.0" encoding="utf-8"?>
<sst xmlns="http://schemas.openxmlformats.org/spreadsheetml/2006/main" count="1465" uniqueCount="295">
  <si>
    <t>VİMPO</t>
  </si>
  <si>
    <t>CONTROL ROOM</t>
  </si>
  <si>
    <t>Main</t>
  </si>
  <si>
    <t>ATP</t>
  </si>
  <si>
    <t>ATP_SITE_Bingazi</t>
  </si>
  <si>
    <t>VMP-S01064-2</t>
  </si>
  <si>
    <t>PLATFORM</t>
  </si>
  <si>
    <t xml:space="preserve">HOT OIL BOILERS </t>
  </si>
  <si>
    <t>ESER TEKNİK</t>
  </si>
  <si>
    <t>ELEKTROD FIRINI BMK1 1 PAKETLİK</t>
  </si>
  <si>
    <t>BAZİK ELEKTROD 2,5 MM</t>
  </si>
  <si>
    <t>RUTİL ELEKTROD 3,25 MM</t>
  </si>
  <si>
    <t>BAZİK ELEKTROD 3,25 MM</t>
  </si>
  <si>
    <t>RUTİL ELEKTROD 4 MM</t>
  </si>
  <si>
    <t>BAZİK ELEKTROD 4MM</t>
  </si>
  <si>
    <t>JAKI 70-95 DİŞİ</t>
  </si>
  <si>
    <t>JAKI 70-95 ERKEK</t>
  </si>
  <si>
    <t>MAVİ KIRMIZI HORTUM</t>
  </si>
  <si>
    <t>OKSİJEN SAAT</t>
  </si>
  <si>
    <t>LPG SAAT</t>
  </si>
  <si>
    <t>ŞALAMA SET+LPG SAAT</t>
  </si>
  <si>
    <t>KAYNAK PENSESİ 600 AMPER</t>
  </si>
  <si>
    <t>35 KAYNAK KABLOSU</t>
  </si>
  <si>
    <r>
      <t xml:space="preserve">Kaynak Makinesi (Kartsız) </t>
    </r>
    <r>
      <rPr>
        <i/>
        <sz val="11"/>
        <rFont val="Aptos Narrow"/>
        <family val="2"/>
        <scheme val="minor"/>
      </rPr>
      <t>Soyberg 250 A Trafolu (kartsız)</t>
    </r>
    <r>
      <rPr>
        <sz val="11"/>
        <rFont val="Aptos Narrow"/>
        <family val="2"/>
        <scheme val="minor"/>
      </rPr>
      <t xml:space="preserve"> 350-400A</t>
    </r>
  </si>
  <si>
    <t>TMC</t>
  </si>
  <si>
    <t>PANO-40 MT KABLO,  380 V Multi-Outlet Electrical Panel / Distribution Board</t>
  </si>
  <si>
    <t>SEÇİLECEK</t>
  </si>
  <si>
    <t>BÜYÜK SİLİNDİR MAKİNESİ 3x5 mt</t>
  </si>
  <si>
    <t>FT MAKİNE</t>
  </si>
  <si>
    <t>KOMPRESÖR 16 BAR</t>
  </si>
  <si>
    <t>100 W PROJEKTÖR LAMBA</t>
  </si>
  <si>
    <t>DUMAN EMİCİ FAN  4000-4500 M3</t>
  </si>
  <si>
    <t>ŞERİT METRE 5 MT FİSCO</t>
  </si>
  <si>
    <t>ŞERİT METRE 30 MT FİSCO</t>
  </si>
  <si>
    <t>SİYAH ELEKTRİK BANDI</t>
  </si>
  <si>
    <t>TEFLON BANT</t>
  </si>
  <si>
    <t>BAĞ TELİ</t>
  </si>
  <si>
    <t>SU TERAZİSİ 60 CM MIKNATISLI</t>
  </si>
  <si>
    <t>3 TON PEHLİVAN KRİKO</t>
  </si>
  <si>
    <t>GÖNYE 35 CM</t>
  </si>
  <si>
    <t>EGESAN 180*8 TAŞLAMA TAŞI</t>
  </si>
  <si>
    <t>EGESAN 230*3 KESME TAŞI</t>
  </si>
  <si>
    <t xml:space="preserve">BOSCH GWS 750 TAŞLAMA </t>
  </si>
  <si>
    <t>BOSCH GSB 13 RE ELEKTRİKLİ MATKAP</t>
  </si>
  <si>
    <t>8 MM BİTS LOKMA</t>
  </si>
  <si>
    <t>PARMAK RULO DEKOR</t>
  </si>
  <si>
    <t>25 CM RULO DEKOR</t>
  </si>
  <si>
    <t>SELÜLOZİK TİNER</t>
  </si>
  <si>
    <t>İZELTAŞ 3 '' BORU ANAHTARI</t>
  </si>
  <si>
    <t>İZELTAŞ 1/2 BORU ANAHTARI</t>
  </si>
  <si>
    <t>İZELTAŞ 12 Lİ YILDIZ ANAHTAR TKM</t>
  </si>
  <si>
    <t>İZELTAŞ 12 Lİ AÇIK AĞIZ ANAHTAR TKM</t>
  </si>
  <si>
    <t>İZELTAŞ 500 MM LEVYE</t>
  </si>
  <si>
    <t>İZELTAŞ 160 MM PENSE</t>
  </si>
  <si>
    <t>İZELTAŞ YILDIZ TORNAVİDA 4,5*150</t>
  </si>
  <si>
    <t>İZELTAŞ KONTROL KALEMİ</t>
  </si>
  <si>
    <t>İZELTAŞ DÜZ TORNAVİDA 5*150</t>
  </si>
  <si>
    <t>İZELTAŞ 160 MM YAN KESKİ</t>
  </si>
  <si>
    <t>İZELTAŞ 12 PRÇ ALLEN SETİ</t>
  </si>
  <si>
    <t>5 KG BALYOZ</t>
  </si>
  <si>
    <t>500 GR ÇEKİÇ</t>
  </si>
  <si>
    <t>ATLAS ATCK 105-10 TON 5 MT CARASKAL</t>
  </si>
  <si>
    <t>3*2,5 TTR KABLO 220 GRUP PRİZ 220 ERKEK 20 MT</t>
  </si>
  <si>
    <t>4*2,5 TTR KABLO 380 GRUP PRİZ 380 ERKEK 20 MT</t>
  </si>
  <si>
    <t>TAŞLAMA GÖZLÜĞÜ</t>
  </si>
  <si>
    <t xml:space="preserve">MASKE CAMI SİYAH </t>
  </si>
  <si>
    <t>BAŞ MASKESİ</t>
  </si>
  <si>
    <t>SARI MONTAJ ELDİVENİ BEYBİ</t>
  </si>
  <si>
    <t>KAYNAKÇI ELDİVENİ</t>
  </si>
  <si>
    <t>8'' 4 mm dikişli boru 6 mt</t>
  </si>
  <si>
    <t>UMS</t>
  </si>
  <si>
    <t>EDO</t>
  </si>
  <si>
    <t>TARGET</t>
  </si>
  <si>
    <t>2'' 180° Dirsek SCH40</t>
  </si>
  <si>
    <t>2" 3,2 mm çelik çekme boru P235GH</t>
  </si>
  <si>
    <t>Antipas boya 25 kg</t>
  </si>
  <si>
    <t>ATP_5000m3_Bingazi</t>
  </si>
  <si>
    <t>VMP-S01090</t>
  </si>
  <si>
    <t>Trapez Vidası  5,5X25 MM</t>
  </si>
  <si>
    <t>VMP-S01089</t>
  </si>
  <si>
    <t>VMP-S01088</t>
  </si>
  <si>
    <t>İLİHAN</t>
  </si>
  <si>
    <t>EŞANJÖR(lazer kesim+talaşlı imalat+malzeme+işçilik)</t>
  </si>
  <si>
    <t>VMP-S01086</t>
  </si>
  <si>
    <t>VMP-S01085</t>
  </si>
  <si>
    <t>M²</t>
  </si>
  <si>
    <t>100 mm Taş Yünü Rabitz Telli en 1 mt boy 3 mt</t>
  </si>
  <si>
    <t>VMP-S01084</t>
  </si>
  <si>
    <t>BAYDOĞANLAR</t>
  </si>
  <si>
    <t>ETEK SACI - 3x100x2000 mm St37 sac</t>
  </si>
  <si>
    <t>VMP-S01082</t>
  </si>
  <si>
    <t>VMP-S01080</t>
  </si>
  <si>
    <t>VMP-S01087</t>
  </si>
  <si>
    <t>VMP-S01079</t>
  </si>
  <si>
    <t>1" 2 mm dikişli boru 6 mt</t>
  </si>
  <si>
    <t>VMP-S01076</t>
  </si>
  <si>
    <t>10x50 lama 6 mt</t>
  </si>
  <si>
    <t>VMP-S01083</t>
  </si>
  <si>
    <t>50x50x5 mm Köşebent</t>
  </si>
  <si>
    <t>VMP-S01081</t>
  </si>
  <si>
    <t>50x5 mm Silme 6 mt</t>
  </si>
  <si>
    <t>VMP-S01078</t>
  </si>
  <si>
    <t>30x3 mm Silme 6 mt</t>
  </si>
  <si>
    <t>VMP-S01077</t>
  </si>
  <si>
    <t>40x20x2 mm Kutu Profil</t>
  </si>
  <si>
    <t>VMP-S01075</t>
  </si>
  <si>
    <t>60x40x2 mm Kutu Profil</t>
  </si>
  <si>
    <t>VMP-S01074</t>
  </si>
  <si>
    <t>80 NPI 6 mt</t>
  </si>
  <si>
    <t>VMP-S01073</t>
  </si>
  <si>
    <t>VMP-S01072</t>
  </si>
  <si>
    <t>VMP-S01071</t>
  </si>
  <si>
    <t>ABC METAL</t>
  </si>
  <si>
    <t>VMP-S01070</t>
  </si>
  <si>
    <t>VMP-S01069</t>
  </si>
  <si>
    <t>VMP-S01068</t>
  </si>
  <si>
    <t>VMP-S01067</t>
  </si>
  <si>
    <t>VMP-S01066</t>
  </si>
  <si>
    <t>VMP-S01065</t>
  </si>
  <si>
    <t>VMP-S01064</t>
  </si>
  <si>
    <t>No</t>
  </si>
  <si>
    <t>Tip</t>
  </si>
  <si>
    <t>MÜŞTERİ</t>
  </si>
  <si>
    <t>PROJE ADI</t>
  </si>
  <si>
    <t>PROJE KODU</t>
  </si>
  <si>
    <t>Project</t>
  </si>
  <si>
    <t>Shipment ID</t>
  </si>
  <si>
    <t>Origin</t>
  </si>
  <si>
    <t>Supplier</t>
  </si>
  <si>
    <t>Cargo Group</t>
  </si>
  <si>
    <t>Material</t>
  </si>
  <si>
    <t>Description</t>
  </si>
  <si>
    <t>Qty</t>
  </si>
  <si>
    <t>Unit</t>
  </si>
  <si>
    <t>Unit Weight (kg)</t>
  </si>
  <si>
    <t>Total Weight (kg)</t>
  </si>
  <si>
    <t>Length (m)</t>
  </si>
  <si>
    <t>Width</t>
  </si>
  <si>
    <t>Height</t>
  </si>
  <si>
    <t>Package Type</t>
  </si>
  <si>
    <t>Package Qty</t>
  </si>
  <si>
    <t>HS Code (GTIP)</t>
  </si>
  <si>
    <t>Notes</t>
  </si>
  <si>
    <t>40OT</t>
  </si>
  <si>
    <t>Container Type</t>
  </si>
  <si>
    <t>pcs</t>
  </si>
  <si>
    <t>Container ID</t>
  </si>
  <si>
    <t>Package No</t>
  </si>
  <si>
    <t>Net Weight</t>
  </si>
  <si>
    <t>Gross Weight</t>
  </si>
  <si>
    <t>Dimensions</t>
  </si>
  <si>
    <t>HS Code</t>
  </si>
  <si>
    <t>WBS Code</t>
  </si>
  <si>
    <t>Deliverable Type</t>
  </si>
  <si>
    <t>İSKENDERUN</t>
  </si>
  <si>
    <t>NORM BORU</t>
  </si>
  <si>
    <t>ADANA</t>
  </si>
  <si>
    <t>ANKARA</t>
  </si>
  <si>
    <t>KAYSERİ</t>
  </si>
  <si>
    <t>BATMAN</t>
  </si>
  <si>
    <t>Net Weight (kg)</t>
  </si>
  <si>
    <t>Gross Weight (kg)</t>
  </si>
  <si>
    <t>3.1.2</t>
  </si>
  <si>
    <t>3.1.9</t>
  </si>
  <si>
    <t>3.1.10</t>
  </si>
  <si>
    <t>-</t>
  </si>
  <si>
    <t xml:space="preserve">12x1500x8000 mm ST37 Sac </t>
  </si>
  <si>
    <t xml:space="preserve">10x1500x6900 mm ST37 Sac </t>
  </si>
  <si>
    <t xml:space="preserve">8x1500x6900 mm ST37 Sac </t>
  </si>
  <si>
    <t xml:space="preserve">6x1500x6900 mm ST37 Sac </t>
  </si>
  <si>
    <t xml:space="preserve">4x1500x8000 mm ST37 Sac </t>
  </si>
  <si>
    <t xml:space="preserve">3x1500x8000 mm ST37 Sac </t>
  </si>
  <si>
    <t>Length (mm)</t>
  </si>
  <si>
    <t>Width (mm)</t>
  </si>
  <si>
    <t>Az Aşım</t>
  </si>
  <si>
    <t>4x1500x6000 mm ST37 Sac</t>
  </si>
  <si>
    <t>C20</t>
  </si>
  <si>
    <t>6x1500x6000 mm ST37 Sac</t>
  </si>
  <si>
    <t>C19</t>
  </si>
  <si>
    <t>8x1500x6000 mm ST37 Sac</t>
  </si>
  <si>
    <t>C18</t>
  </si>
  <si>
    <t>C17</t>
  </si>
  <si>
    <t>C16</t>
  </si>
  <si>
    <t>C15</t>
  </si>
  <si>
    <t>Limit Altı</t>
  </si>
  <si>
    <t>C14</t>
  </si>
  <si>
    <t>C13</t>
  </si>
  <si>
    <t>C12</t>
  </si>
  <si>
    <t>C11</t>
  </si>
  <si>
    <t>C10</t>
  </si>
  <si>
    <t>Sınırda</t>
  </si>
  <si>
    <t>C09</t>
  </si>
  <si>
    <t>C08</t>
  </si>
  <si>
    <t>C07</t>
  </si>
  <si>
    <t>C06</t>
  </si>
  <si>
    <t>C05</t>
  </si>
  <si>
    <t>C04</t>
  </si>
  <si>
    <t>C03</t>
  </si>
  <si>
    <t>C02</t>
  </si>
  <si>
    <t>C01</t>
  </si>
  <si>
    <t>Durum</t>
  </si>
  <si>
    <t>Adet 4</t>
  </si>
  <si>
    <t>Malzeme 4</t>
  </si>
  <si>
    <t>Adet 3</t>
  </si>
  <si>
    <t>Malzeme 3</t>
  </si>
  <si>
    <t>Adet 2</t>
  </si>
  <si>
    <t>Malzeme 2</t>
  </si>
  <si>
    <t>Malzeme 1</t>
  </si>
  <si>
    <t>Container No</t>
  </si>
  <si>
    <t>Baklavalı sacdan basamak-ÇİZİM VAR-DAR TARAFA 8" BORUYA GÖRE KAYNAK AĞIZLI</t>
  </si>
  <si>
    <t>MC METAL</t>
  </si>
  <si>
    <t>240 NPI 6mt</t>
  </si>
  <si>
    <t>180 NPI 6 mt</t>
  </si>
  <si>
    <t>80 NPI 6mt</t>
  </si>
  <si>
    <t>60x2</t>
  </si>
  <si>
    <t>40x2</t>
  </si>
  <si>
    <t>50x5</t>
  </si>
  <si>
    <t>iskenderun_shp1</t>
  </si>
  <si>
    <t>3.4</t>
  </si>
  <si>
    <t>karabükRM_shp3</t>
  </si>
  <si>
    <t>vimpoRM_shp4</t>
  </si>
  <si>
    <t>KARABÜK</t>
  </si>
  <si>
    <t>karabükRM_ship3</t>
  </si>
  <si>
    <t>mt</t>
  </si>
  <si>
    <t>adanaPPS_shp2</t>
  </si>
  <si>
    <t>3.2.2</t>
  </si>
  <si>
    <t>Total Container Weight (kg)</t>
  </si>
  <si>
    <t>2"  60,30x3,2 mm P235GH-TC1 çelik çekme boru L:11.9 mt</t>
  </si>
  <si>
    <t>adanaPPS_shp3</t>
  </si>
  <si>
    <t>adanaPPS_shp4</t>
  </si>
  <si>
    <t>adanaPPS_shp5</t>
  </si>
  <si>
    <t>adanaPPS_shp6</t>
  </si>
  <si>
    <t>Height-Thickness (mm)</t>
  </si>
  <si>
    <t>kg</t>
  </si>
  <si>
    <t>Toplam Cotainer Weight (kg)</t>
  </si>
  <si>
    <t>Payload Dif (kg)</t>
  </si>
  <si>
    <t>12x1500x8000 mm ST37 Sac</t>
  </si>
  <si>
    <t>10x1500x6900 mm ST37 Sac</t>
  </si>
  <si>
    <t>8x1500x6900 mm ST37 Sac</t>
  </si>
  <si>
    <t>4x1500x8000 mm ST37 Sac</t>
  </si>
  <si>
    <t>12x1500x6900 mm ST37 Sac</t>
  </si>
  <si>
    <t>3x1500x8000 mm ST37 Sac</t>
  </si>
  <si>
    <t>6x1500x6900 mm ST37 Sac</t>
  </si>
  <si>
    <r>
      <t>12x1500x</t>
    </r>
    <r>
      <rPr>
        <i/>
        <sz val="11"/>
        <rFont val="Aptos Narrow"/>
        <family val="2"/>
        <scheme val="minor"/>
      </rPr>
      <t>6900</t>
    </r>
    <r>
      <rPr>
        <sz val="11"/>
        <rFont val="Aptos Narrow"/>
        <family val="2"/>
        <scheme val="minor"/>
      </rPr>
      <t xml:space="preserve"> mm ST37 Sac </t>
    </r>
  </si>
  <si>
    <r>
      <t>8x1500x</t>
    </r>
    <r>
      <rPr>
        <i/>
        <sz val="11"/>
        <rFont val="Aptos Narrow"/>
        <family val="2"/>
        <scheme val="minor"/>
      </rPr>
      <t>6000</t>
    </r>
    <r>
      <rPr>
        <sz val="11"/>
        <rFont val="Aptos Narrow"/>
        <family val="2"/>
        <scheme val="minor"/>
      </rPr>
      <t xml:space="preserve"> mm St37 Sac</t>
    </r>
  </si>
  <si>
    <r>
      <t>6x1500x</t>
    </r>
    <r>
      <rPr>
        <i/>
        <sz val="11"/>
        <rFont val="Aptos Narrow"/>
        <family val="2"/>
        <scheme val="minor"/>
      </rPr>
      <t>6000</t>
    </r>
    <r>
      <rPr>
        <sz val="11"/>
        <rFont val="Aptos Narrow"/>
        <family val="2"/>
        <scheme val="minor"/>
      </rPr>
      <t xml:space="preserve"> mm St37 Sac</t>
    </r>
  </si>
  <si>
    <r>
      <t>4x1500x</t>
    </r>
    <r>
      <rPr>
        <i/>
        <sz val="11"/>
        <rFont val="Aptos Narrow"/>
        <family val="2"/>
        <scheme val="minor"/>
      </rPr>
      <t>6000</t>
    </r>
    <r>
      <rPr>
        <sz val="11"/>
        <rFont val="Aptos Narrow"/>
        <family val="2"/>
        <scheme val="minor"/>
      </rPr>
      <t xml:space="preserve"> mm St37 Sac</t>
    </r>
  </si>
  <si>
    <r>
      <t>2" 60,30x3,2 mm çelik çekme boru P235GH</t>
    </r>
    <r>
      <rPr>
        <b/>
        <i/>
        <sz val="11"/>
        <color rgb="FFC00000"/>
        <rFont val="Aptos Narrow"/>
        <family val="2"/>
        <scheme val="minor"/>
      </rPr>
      <t xml:space="preserve">  6 mt</t>
    </r>
  </si>
  <si>
    <t>6x1500x6900 St37 Sheet</t>
  </si>
  <si>
    <t>12x1500x8000 St37 Sheet</t>
  </si>
  <si>
    <t>3x1500x8000 St37 Sheet</t>
  </si>
  <si>
    <t>10x1500x6900 St37 Sheet</t>
  </si>
  <si>
    <t>8x1500x6900 St37 Sheet</t>
  </si>
  <si>
    <t>4x1500x8000 St37 Sheet</t>
  </si>
  <si>
    <t>12x1500x6900 St37 Sheet</t>
  </si>
  <si>
    <t>4x1500x6000 St37 Sheet</t>
  </si>
  <si>
    <t>6x1500x6000 St37 Sheet</t>
  </si>
  <si>
    <t>8x1500x6000 St37 Sheet</t>
  </si>
  <si>
    <t>Qty 1</t>
  </si>
  <si>
    <t>Unit 1</t>
  </si>
  <si>
    <t>Qty 2</t>
  </si>
  <si>
    <t>Unit 2</t>
  </si>
  <si>
    <t>Pos</t>
  </si>
  <si>
    <t>C21</t>
  </si>
  <si>
    <t>C22</t>
  </si>
  <si>
    <t>Limit</t>
  </si>
  <si>
    <t>C23</t>
  </si>
  <si>
    <t>C24</t>
  </si>
  <si>
    <t>C25</t>
  </si>
  <si>
    <t>pkg</t>
  </si>
  <si>
    <t>Total Lenght (m)</t>
  </si>
  <si>
    <t>Vendor</t>
  </si>
  <si>
    <t>Material Description</t>
  </si>
  <si>
    <t>3.3.2</t>
  </si>
  <si>
    <t>Malzeme Tanımı</t>
  </si>
  <si>
    <t>Loose</t>
  </si>
  <si>
    <t>Bundle</t>
  </si>
  <si>
    <t>Roll</t>
  </si>
  <si>
    <t>BT_steel_plates</t>
  </si>
  <si>
    <t>ST_steel_plates</t>
  </si>
  <si>
    <t>isolation</t>
  </si>
  <si>
    <t>siteequipment</t>
  </si>
  <si>
    <t>BT_pipe</t>
  </si>
  <si>
    <t>ST_pipe</t>
  </si>
  <si>
    <t>BT_material</t>
  </si>
  <si>
    <t>boiler</t>
  </si>
  <si>
    <t>platform</t>
  </si>
  <si>
    <t>controlroom</t>
  </si>
  <si>
    <t>ST_material</t>
  </si>
  <si>
    <t>can</t>
  </si>
  <si>
    <r>
      <t>BOYALI GALVANİZ FORMLU SAC  DX51 Z50 Tek Taraf Polyester 15/5/5 Ral 9002 Film: Yok Form: 27/200 - 1040 Trapez Levh Kalınlık: 0.7</t>
    </r>
    <r>
      <rPr>
        <b/>
        <i/>
        <sz val="11"/>
        <color rgb="FFC00000"/>
        <rFont val="Aptos Narrow"/>
        <family val="2"/>
        <scheme val="minor"/>
      </rPr>
      <t xml:space="preserve"> Boy:720</t>
    </r>
  </si>
  <si>
    <t>iskSHT_shp1</t>
  </si>
  <si>
    <r>
      <t xml:space="preserve">2"  60,30x3,2 mm P235GH-TC1   çelik çekme boru </t>
    </r>
    <r>
      <rPr>
        <b/>
        <sz val="11"/>
        <rFont val="Aptos Narrow"/>
        <family val="2"/>
        <scheme val="minor"/>
      </rPr>
      <t>12mt</t>
    </r>
  </si>
  <si>
    <t>240 NPI 12mt</t>
  </si>
  <si>
    <t>180 NPI 12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</si>
</sst>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₺-41F]* #,##0.00_-;\-[$₺-41F]* #,##0.00_-;_-[$₺-41F]* &quot;-&quot;??_-;_-@_-"/>
    <numFmt numFmtId="165" formatCode="_-[$€-2]\ * #,##0.00_-;\-[$€-2]\ * #,##0.00_-;_-[$€-2]\ * &quot;-&quot;??_-;_-@_-"/>
  </numFmts>
  <fonts count="21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i/>
      <sz val="11"/>
      <color rgb="FFC00000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0"/>
      <name val="Aptos Narrow"/>
      <family val="2"/>
      <scheme val="minor"/>
    </font>
    <font>
      <strike/>
      <sz val="11"/>
      <name val="Aptos Narrow"/>
      <family val="2"/>
      <scheme val="minor"/>
    </font>
    <font>
      <b/>
      <strike/>
      <sz val="12"/>
      <name val="Aptos Narrow"/>
      <family val="2"/>
      <scheme val="minor"/>
    </font>
    <font>
      <b/>
      <strike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53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/>
    <xf numFmtId="0" fontId="2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5" fillId="2" borderId="0" xfId="0" applyFont="1" applyFill="1"/>
    <xf numFmtId="0" fontId="8" fillId="2" borderId="1" xfId="0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2" fillId="2" borderId="0" xfId="0" applyNumberFormat="1" applyFont="1" applyFill="1"/>
    <xf numFmtId="49" fontId="1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2" fillId="4" borderId="0" xfId="0" applyFont="1" applyFill="1"/>
    <xf numFmtId="0" fontId="8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vertical="center"/>
    </xf>
    <xf numFmtId="0" fontId="8" fillId="4" borderId="0" xfId="0" applyFont="1" applyFill="1"/>
    <xf numFmtId="0" fontId="3" fillId="4" borderId="1" xfId="0" applyFont="1" applyFill="1" applyBorder="1" applyAlignment="1">
      <alignment vertical="center"/>
    </xf>
    <xf numFmtId="0" fontId="4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2" fillId="2" borderId="1" xfId="0" applyFont="1" applyFill="1" applyBorder="1"/>
    <xf numFmtId="2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2" fontId="5" fillId="2" borderId="0" xfId="0" applyNumberFormat="1" applyFont="1" applyFill="1" applyAlignment="1">
      <alignment vertical="center"/>
    </xf>
    <xf numFmtId="2" fontId="1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2" fontId="5" fillId="5" borderId="0" xfId="0" applyNumberFormat="1" applyFont="1" applyFill="1" applyAlignment="1">
      <alignment horizontal="center" vertical="center" wrapText="1"/>
    </xf>
    <xf numFmtId="2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left" vertical="center" wrapText="1"/>
    </xf>
    <xf numFmtId="2" fontId="5" fillId="3" borderId="0" xfId="0" applyNumberFormat="1" applyFont="1" applyFill="1" applyAlignment="1">
      <alignment horizontal="center" vertical="center" wrapText="1"/>
    </xf>
    <xf numFmtId="2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/>
    <xf numFmtId="0" fontId="9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2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1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0" fontId="20" fillId="2" borderId="0" xfId="0" applyFont="1" applyFill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37</xdr:row>
      <xdr:rowOff>0</xdr:rowOff>
    </xdr:from>
    <xdr:ext cx="19050" cy="19050"/>
    <xdr:pic>
      <xdr:nvPicPr>
        <xdr:cNvPr id="2" name="Resim 1">
          <a:extLst>
            <a:ext uri="{FF2B5EF4-FFF2-40B4-BE49-F238E27FC236}">
              <a16:creationId xmlns:a16="http://schemas.microsoft.com/office/drawing/2014/main" id="{A6D0C47B-EAD1-40FE-99EB-FD94F1863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818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5</xdr:row>
      <xdr:rowOff>0</xdr:rowOff>
    </xdr:from>
    <xdr:ext cx="19050" cy="19050"/>
    <xdr:pic>
      <xdr:nvPicPr>
        <xdr:cNvPr id="3" name="Resim 2">
          <a:extLst>
            <a:ext uri="{FF2B5EF4-FFF2-40B4-BE49-F238E27FC236}">
              <a16:creationId xmlns:a16="http://schemas.microsoft.com/office/drawing/2014/main" id="{80570E70-B91F-4991-A366-93329C310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403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99</xdr:row>
      <xdr:rowOff>0</xdr:rowOff>
    </xdr:from>
    <xdr:ext cx="19050" cy="19050"/>
    <xdr:pic>
      <xdr:nvPicPr>
        <xdr:cNvPr id="4" name="Resim 3">
          <a:extLst>
            <a:ext uri="{FF2B5EF4-FFF2-40B4-BE49-F238E27FC236}">
              <a16:creationId xmlns:a16="http://schemas.microsoft.com/office/drawing/2014/main" id="{D55394D7-DF6B-4683-87D8-33A0285A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625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37</xdr:row>
      <xdr:rowOff>0</xdr:rowOff>
    </xdr:from>
    <xdr:ext cx="19050" cy="19050"/>
    <xdr:pic>
      <xdr:nvPicPr>
        <xdr:cNvPr id="5" name="Resim 1">
          <a:extLst>
            <a:ext uri="{FF2B5EF4-FFF2-40B4-BE49-F238E27FC236}">
              <a16:creationId xmlns:a16="http://schemas.microsoft.com/office/drawing/2014/main" id="{CC977E55-CF92-45FE-B31B-D0196FD74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3714" y="13770429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</xdr:row>
      <xdr:rowOff>0</xdr:rowOff>
    </xdr:from>
    <xdr:ext cx="19050" cy="19050"/>
    <xdr:pic>
      <xdr:nvPicPr>
        <xdr:cNvPr id="6" name="Resim 2">
          <a:extLst>
            <a:ext uri="{FF2B5EF4-FFF2-40B4-BE49-F238E27FC236}">
              <a16:creationId xmlns:a16="http://schemas.microsoft.com/office/drawing/2014/main" id="{F023AEE2-5FE2-49D1-8233-320563EC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3714" y="1977571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99</xdr:row>
      <xdr:rowOff>0</xdr:rowOff>
    </xdr:from>
    <xdr:ext cx="19050" cy="19050"/>
    <xdr:pic>
      <xdr:nvPicPr>
        <xdr:cNvPr id="7" name="Resim 3">
          <a:extLst>
            <a:ext uri="{FF2B5EF4-FFF2-40B4-BE49-F238E27FC236}">
              <a16:creationId xmlns:a16="http://schemas.microsoft.com/office/drawing/2014/main" id="{485B259B-616F-411D-A5F1-7E6D94A9E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3714" y="28883429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99</xdr:row>
      <xdr:rowOff>0</xdr:rowOff>
    </xdr:from>
    <xdr:ext cx="19050" cy="19050"/>
    <xdr:pic>
      <xdr:nvPicPr>
        <xdr:cNvPr id="8" name="Resim 3">
          <a:extLst>
            <a:ext uri="{FF2B5EF4-FFF2-40B4-BE49-F238E27FC236}">
              <a16:creationId xmlns:a16="http://schemas.microsoft.com/office/drawing/2014/main" id="{83956F73-6508-4884-95E8-B9074FFE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1571" y="28883429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55</xdr:row>
      <xdr:rowOff>0</xdr:rowOff>
    </xdr:from>
    <xdr:to>
      <xdr:col>4</xdr:col>
      <xdr:colOff>19050</xdr:colOff>
      <xdr:row>55</xdr:row>
      <xdr:rowOff>19050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7E54443-E460-4322-AB65-FA93170D4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56</xdr:row>
      <xdr:rowOff>0</xdr:rowOff>
    </xdr:from>
    <xdr:ext cx="19050" cy="19050"/>
    <xdr:pic>
      <xdr:nvPicPr>
        <xdr:cNvPr id="3" name="Resim 1">
          <a:extLst>
            <a:ext uri="{FF2B5EF4-FFF2-40B4-BE49-F238E27FC236}">
              <a16:creationId xmlns:a16="http://schemas.microsoft.com/office/drawing/2014/main" id="{4739994E-AF7F-46CE-A522-E5350A1FB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98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BD5F-2D23-408C-A6B7-13CAE5074BC0}">
  <sheetPr>
    <tabColor rgb="FFC00000"/>
  </sheetPr>
  <dimension ref="A1:XEO102"/>
  <sheetViews>
    <sheetView topLeftCell="H1" zoomScale="60" zoomScaleNormal="60" workbookViewId="0">
      <pane ySplit="1" topLeftCell="A9" activePane="bottomLeft" state="frozen"/>
      <selection activeCell="E1" sqref="E1"/>
      <selection pane="bottomLeft" activeCell="R27" sqref="R27"/>
    </sheetView>
  </sheetViews>
  <sheetFormatPr defaultRowHeight="16" x14ac:dyDescent="0.4"/>
  <cols>
    <col min="1" max="1" width="12.81640625" style="1" hidden="1" customWidth="1"/>
    <col min="2" max="2" width="18.7265625" style="1" hidden="1" customWidth="1"/>
    <col min="3" max="3" width="10" style="1" hidden="1" customWidth="1"/>
    <col min="4" max="4" width="0" style="1" hidden="1" customWidth="1"/>
    <col min="5" max="5" width="8.7265625" style="1"/>
    <col min="6" max="6" width="15.6328125" style="41" customWidth="1"/>
    <col min="7" max="7" width="18.1796875" style="1" customWidth="1"/>
    <col min="8" max="8" width="5.54296875" style="1" customWidth="1"/>
    <col min="9" max="9" width="12" style="1" customWidth="1"/>
    <col min="10" max="10" width="28.6328125" style="1" customWidth="1"/>
    <col min="11" max="11" width="16.26953125" style="1" customWidth="1"/>
    <col min="12" max="13" width="8.7265625" style="113"/>
    <col min="14" max="15" width="8.7265625" style="1"/>
    <col min="16" max="16" width="12.453125" style="1" bestFit="1" customWidth="1"/>
    <col min="17" max="17" width="9.1796875" style="1" bestFit="1" customWidth="1"/>
    <col min="18" max="18" width="8.7265625" style="1"/>
    <col min="19" max="19" width="11.7265625" style="1" customWidth="1"/>
    <col min="20" max="20" width="10.81640625" style="1" bestFit="1" customWidth="1"/>
    <col min="21" max="21" width="10.36328125" style="1" bestFit="1" customWidth="1"/>
    <col min="22" max="22" width="13.6328125" style="1" customWidth="1"/>
    <col min="23" max="23" width="11.453125" style="1" customWidth="1"/>
    <col min="24" max="24" width="14.81640625" style="41" customWidth="1"/>
    <col min="25" max="27" width="8.7265625" style="1"/>
    <col min="28" max="28" width="10.7265625" style="1" customWidth="1"/>
    <col min="29" max="29" width="12.1796875" style="1" customWidth="1"/>
    <col min="30" max="16384" width="8.7265625" style="1"/>
  </cols>
  <sheetData>
    <row r="1" spans="1:29" s="34" customFormat="1" ht="50" customHeight="1" x14ac:dyDescent="0.35">
      <c r="A1" s="35" t="s">
        <v>124</v>
      </c>
      <c r="B1" s="35" t="s">
        <v>123</v>
      </c>
      <c r="C1" s="35" t="s">
        <v>122</v>
      </c>
      <c r="D1" s="35" t="s">
        <v>121</v>
      </c>
      <c r="E1" s="35" t="s">
        <v>152</v>
      </c>
      <c r="F1" s="35" t="s">
        <v>127</v>
      </c>
      <c r="G1" s="35" t="s">
        <v>126</v>
      </c>
      <c r="H1" s="35" t="s">
        <v>120</v>
      </c>
      <c r="I1" s="35" t="s">
        <v>141</v>
      </c>
      <c r="J1" s="35" t="s">
        <v>274</v>
      </c>
      <c r="K1" s="35" t="s">
        <v>272</v>
      </c>
      <c r="L1" s="35" t="s">
        <v>258</v>
      </c>
      <c r="M1" s="35" t="s">
        <v>259</v>
      </c>
      <c r="N1" s="35" t="s">
        <v>260</v>
      </c>
      <c r="O1" s="35" t="s">
        <v>261</v>
      </c>
      <c r="P1" s="35" t="s">
        <v>134</v>
      </c>
      <c r="Q1" s="35" t="s">
        <v>172</v>
      </c>
      <c r="R1" s="35" t="s">
        <v>173</v>
      </c>
      <c r="S1" s="35" t="s">
        <v>232</v>
      </c>
      <c r="T1" s="35" t="s">
        <v>135</v>
      </c>
      <c r="U1" s="35" t="s">
        <v>270</v>
      </c>
      <c r="V1" s="35" t="s">
        <v>271</v>
      </c>
      <c r="W1" s="35" t="s">
        <v>153</v>
      </c>
      <c r="X1" s="35" t="s">
        <v>129</v>
      </c>
      <c r="Y1" s="35" t="s">
        <v>139</v>
      </c>
      <c r="Z1" s="35" t="s">
        <v>140</v>
      </c>
      <c r="AA1" s="35" t="s">
        <v>147</v>
      </c>
      <c r="AB1" s="35" t="s">
        <v>160</v>
      </c>
      <c r="AC1" s="35" t="s">
        <v>161</v>
      </c>
    </row>
    <row r="2" spans="1:29" s="52" customFormat="1" ht="20" customHeight="1" x14ac:dyDescent="0.35">
      <c r="A2" s="50" t="s">
        <v>119</v>
      </c>
      <c r="B2" s="50" t="s">
        <v>76</v>
      </c>
      <c r="C2" s="50" t="s">
        <v>3</v>
      </c>
      <c r="D2" s="50" t="s">
        <v>2</v>
      </c>
      <c r="E2" s="46" t="s">
        <v>162</v>
      </c>
      <c r="F2" s="47" t="s">
        <v>154</v>
      </c>
      <c r="G2" s="44" t="s">
        <v>291</v>
      </c>
      <c r="H2" s="42">
        <v>1</v>
      </c>
      <c r="I2" s="51"/>
      <c r="J2" s="43" t="s">
        <v>166</v>
      </c>
      <c r="K2" s="43"/>
      <c r="L2" s="110">
        <v>136</v>
      </c>
      <c r="M2" s="110" t="s">
        <v>145</v>
      </c>
      <c r="N2" s="44"/>
      <c r="O2" s="44"/>
      <c r="P2" s="45">
        <v>1130.33</v>
      </c>
      <c r="Q2" s="44">
        <v>8000</v>
      </c>
      <c r="R2" s="44">
        <v>1500</v>
      </c>
      <c r="S2" s="46">
        <v>12</v>
      </c>
      <c r="T2" s="77">
        <f>P2*L2</f>
        <v>153724.88</v>
      </c>
      <c r="U2" s="44" t="s">
        <v>165</v>
      </c>
      <c r="V2" s="46" t="s">
        <v>112</v>
      </c>
      <c r="W2" s="48"/>
      <c r="X2" s="47" t="s">
        <v>278</v>
      </c>
      <c r="Y2" s="47" t="s">
        <v>275</v>
      </c>
      <c r="Z2" s="51"/>
      <c r="AA2" s="51"/>
      <c r="AB2" s="51"/>
      <c r="AC2" s="51"/>
    </row>
    <row r="3" spans="1:29" s="52" customFormat="1" ht="20" customHeight="1" x14ac:dyDescent="0.35">
      <c r="A3" s="50" t="s">
        <v>118</v>
      </c>
      <c r="B3" s="50" t="s">
        <v>76</v>
      </c>
      <c r="C3" s="50" t="s">
        <v>3</v>
      </c>
      <c r="D3" s="50" t="s">
        <v>2</v>
      </c>
      <c r="E3" s="46" t="s">
        <v>162</v>
      </c>
      <c r="F3" s="47" t="s">
        <v>154</v>
      </c>
      <c r="G3" s="44" t="s">
        <v>291</v>
      </c>
      <c r="H3" s="42">
        <v>2</v>
      </c>
      <c r="I3" s="53"/>
      <c r="J3" s="43" t="s">
        <v>243</v>
      </c>
      <c r="K3" s="43"/>
      <c r="L3" s="110">
        <v>80</v>
      </c>
      <c r="M3" s="110" t="s">
        <v>145</v>
      </c>
      <c r="N3" s="44"/>
      <c r="O3" s="44"/>
      <c r="P3" s="45">
        <v>974.94</v>
      </c>
      <c r="Q3" s="44">
        <v>6900</v>
      </c>
      <c r="R3" s="44">
        <v>1500</v>
      </c>
      <c r="S3" s="46">
        <v>12</v>
      </c>
      <c r="T3" s="77">
        <f t="shared" ref="T3:T11" si="0">P3*L3</f>
        <v>77995.200000000012</v>
      </c>
      <c r="U3" s="44" t="s">
        <v>165</v>
      </c>
      <c r="V3" s="46" t="s">
        <v>112</v>
      </c>
      <c r="W3" s="48"/>
      <c r="X3" s="47" t="s">
        <v>278</v>
      </c>
      <c r="Y3" s="47" t="s">
        <v>275</v>
      </c>
      <c r="Z3" s="53"/>
      <c r="AA3" s="53"/>
      <c r="AB3" s="53"/>
      <c r="AC3" s="53"/>
    </row>
    <row r="4" spans="1:29" s="52" customFormat="1" ht="20" customHeight="1" x14ac:dyDescent="0.35">
      <c r="A4" s="50" t="s">
        <v>117</v>
      </c>
      <c r="B4" s="50" t="s">
        <v>76</v>
      </c>
      <c r="C4" s="50" t="s">
        <v>3</v>
      </c>
      <c r="D4" s="50" t="s">
        <v>2</v>
      </c>
      <c r="E4" s="46" t="s">
        <v>162</v>
      </c>
      <c r="F4" s="47" t="s">
        <v>154</v>
      </c>
      <c r="G4" s="44" t="s">
        <v>291</v>
      </c>
      <c r="H4" s="42">
        <v>3</v>
      </c>
      <c r="I4" s="53"/>
      <c r="J4" s="43" t="s">
        <v>167</v>
      </c>
      <c r="K4" s="43"/>
      <c r="L4" s="110">
        <v>80</v>
      </c>
      <c r="M4" s="110" t="s">
        <v>145</v>
      </c>
      <c r="N4" s="44"/>
      <c r="O4" s="44"/>
      <c r="P4" s="45">
        <v>812.44</v>
      </c>
      <c r="Q4" s="44">
        <v>6900</v>
      </c>
      <c r="R4" s="44">
        <v>1500</v>
      </c>
      <c r="S4" s="46">
        <v>10</v>
      </c>
      <c r="T4" s="77">
        <f t="shared" si="0"/>
        <v>64995.200000000004</v>
      </c>
      <c r="U4" s="44" t="s">
        <v>165</v>
      </c>
      <c r="V4" s="46" t="s">
        <v>112</v>
      </c>
      <c r="W4" s="48"/>
      <c r="X4" s="47" t="s">
        <v>278</v>
      </c>
      <c r="Y4" s="47" t="s">
        <v>275</v>
      </c>
      <c r="Z4" s="53"/>
      <c r="AA4" s="53"/>
      <c r="AB4" s="53"/>
      <c r="AC4" s="53"/>
    </row>
    <row r="5" spans="1:29" s="52" customFormat="1" ht="20" customHeight="1" x14ac:dyDescent="0.35">
      <c r="A5" s="50" t="s">
        <v>116</v>
      </c>
      <c r="B5" s="50" t="s">
        <v>76</v>
      </c>
      <c r="C5" s="50" t="s">
        <v>3</v>
      </c>
      <c r="D5" s="50" t="s">
        <v>2</v>
      </c>
      <c r="E5" s="46" t="s">
        <v>162</v>
      </c>
      <c r="F5" s="47" t="s">
        <v>154</v>
      </c>
      <c r="G5" s="44" t="s">
        <v>291</v>
      </c>
      <c r="H5" s="42">
        <v>4</v>
      </c>
      <c r="I5" s="53"/>
      <c r="J5" s="43" t="s">
        <v>168</v>
      </c>
      <c r="K5" s="43"/>
      <c r="L5" s="110">
        <v>80</v>
      </c>
      <c r="M5" s="110" t="s">
        <v>145</v>
      </c>
      <c r="N5" s="44"/>
      <c r="O5" s="44"/>
      <c r="P5" s="45">
        <v>649.95000000000005</v>
      </c>
      <c r="Q5" s="44">
        <v>6900</v>
      </c>
      <c r="R5" s="44">
        <v>1500</v>
      </c>
      <c r="S5" s="46">
        <v>8</v>
      </c>
      <c r="T5" s="77">
        <f t="shared" si="0"/>
        <v>51996</v>
      </c>
      <c r="U5" s="44" t="s">
        <v>165</v>
      </c>
      <c r="V5" s="46" t="s">
        <v>112</v>
      </c>
      <c r="W5" s="48"/>
      <c r="X5" s="47" t="s">
        <v>278</v>
      </c>
      <c r="Y5" s="47" t="s">
        <v>275</v>
      </c>
      <c r="Z5" s="53"/>
      <c r="AA5" s="53"/>
      <c r="AB5" s="53"/>
      <c r="AC5" s="53"/>
    </row>
    <row r="6" spans="1:29" s="49" customFormat="1" ht="20" customHeight="1" x14ac:dyDescent="0.35">
      <c r="A6" s="42" t="s">
        <v>5</v>
      </c>
      <c r="B6" s="42" t="s">
        <v>4</v>
      </c>
      <c r="C6" s="42" t="s">
        <v>3</v>
      </c>
      <c r="D6" s="42" t="s">
        <v>2</v>
      </c>
      <c r="E6" s="46" t="s">
        <v>163</v>
      </c>
      <c r="F6" s="47" t="s">
        <v>154</v>
      </c>
      <c r="G6" s="44" t="s">
        <v>291</v>
      </c>
      <c r="H6" s="42">
        <v>5</v>
      </c>
      <c r="I6" s="44"/>
      <c r="J6" s="43" t="s">
        <v>244</v>
      </c>
      <c r="K6" s="43"/>
      <c r="L6" s="110">
        <v>18</v>
      </c>
      <c r="M6" s="110" t="s">
        <v>145</v>
      </c>
      <c r="N6" s="44"/>
      <c r="O6" s="44"/>
      <c r="P6" s="45">
        <v>565.44000000000005</v>
      </c>
      <c r="Q6" s="44">
        <v>6000</v>
      </c>
      <c r="R6" s="44">
        <v>1500</v>
      </c>
      <c r="S6" s="46">
        <v>8</v>
      </c>
      <c r="T6" s="77">
        <f t="shared" si="0"/>
        <v>10177.920000000002</v>
      </c>
      <c r="U6" s="46" t="s">
        <v>165</v>
      </c>
      <c r="V6" s="46" t="s">
        <v>112</v>
      </c>
      <c r="W6" s="48"/>
      <c r="X6" s="47" t="s">
        <v>279</v>
      </c>
      <c r="Y6" s="47" t="s">
        <v>275</v>
      </c>
      <c r="Z6" s="44"/>
      <c r="AA6" s="44"/>
      <c r="AB6" s="44"/>
      <c r="AC6" s="44"/>
    </row>
    <row r="7" spans="1:29" s="52" customFormat="1" ht="20" customHeight="1" x14ac:dyDescent="0.35">
      <c r="A7" s="50" t="s">
        <v>115</v>
      </c>
      <c r="B7" s="50" t="s">
        <v>76</v>
      </c>
      <c r="C7" s="50" t="s">
        <v>3</v>
      </c>
      <c r="D7" s="50" t="s">
        <v>2</v>
      </c>
      <c r="E7" s="46" t="s">
        <v>162</v>
      </c>
      <c r="F7" s="47" t="s">
        <v>154</v>
      </c>
      <c r="G7" s="44" t="s">
        <v>291</v>
      </c>
      <c r="H7" s="42">
        <v>6</v>
      </c>
      <c r="I7" s="53"/>
      <c r="J7" s="43" t="s">
        <v>169</v>
      </c>
      <c r="K7" s="43"/>
      <c r="L7" s="110">
        <v>120</v>
      </c>
      <c r="M7" s="110" t="s">
        <v>145</v>
      </c>
      <c r="N7" s="44"/>
      <c r="O7" s="44"/>
      <c r="P7" s="45">
        <v>487.49</v>
      </c>
      <c r="Q7" s="44">
        <v>6900</v>
      </c>
      <c r="R7" s="44">
        <v>1500</v>
      </c>
      <c r="S7" s="46">
        <v>6</v>
      </c>
      <c r="T7" s="77">
        <f t="shared" si="0"/>
        <v>58498.8</v>
      </c>
      <c r="U7" s="44" t="s">
        <v>165</v>
      </c>
      <c r="V7" s="46" t="s">
        <v>112</v>
      </c>
      <c r="W7" s="48"/>
      <c r="X7" s="47" t="s">
        <v>278</v>
      </c>
      <c r="Y7" s="47" t="s">
        <v>275</v>
      </c>
      <c r="Z7" s="53"/>
      <c r="AA7" s="53"/>
      <c r="AB7" s="53"/>
      <c r="AC7" s="53"/>
    </row>
    <row r="8" spans="1:29" s="49" customFormat="1" ht="20" customHeight="1" x14ac:dyDescent="0.35">
      <c r="A8" s="42" t="s">
        <v>5</v>
      </c>
      <c r="B8" s="42" t="s">
        <v>4</v>
      </c>
      <c r="C8" s="42" t="s">
        <v>3</v>
      </c>
      <c r="D8" s="42" t="s">
        <v>2</v>
      </c>
      <c r="E8" s="46" t="s">
        <v>164</v>
      </c>
      <c r="F8" s="47" t="s">
        <v>154</v>
      </c>
      <c r="G8" s="44" t="s">
        <v>291</v>
      </c>
      <c r="H8" s="42">
        <v>7</v>
      </c>
      <c r="I8" s="44"/>
      <c r="J8" s="43" t="s">
        <v>245</v>
      </c>
      <c r="K8" s="43"/>
      <c r="L8" s="110">
        <v>12</v>
      </c>
      <c r="M8" s="110" t="s">
        <v>145</v>
      </c>
      <c r="N8" s="44"/>
      <c r="O8" s="44"/>
      <c r="P8" s="45">
        <v>423.75</v>
      </c>
      <c r="Q8" s="44">
        <v>6000</v>
      </c>
      <c r="R8" s="44">
        <v>1500</v>
      </c>
      <c r="S8" s="46">
        <v>6</v>
      </c>
      <c r="T8" s="77">
        <f t="shared" si="0"/>
        <v>5085</v>
      </c>
      <c r="U8" s="46" t="s">
        <v>165</v>
      </c>
      <c r="V8" s="46" t="s">
        <v>112</v>
      </c>
      <c r="W8" s="48"/>
      <c r="X8" s="47" t="s">
        <v>279</v>
      </c>
      <c r="Y8" s="47" t="s">
        <v>275</v>
      </c>
      <c r="Z8" s="44"/>
      <c r="AA8" s="44"/>
      <c r="AB8" s="44"/>
      <c r="AC8" s="44"/>
    </row>
    <row r="9" spans="1:29" s="52" customFormat="1" ht="20" customHeight="1" x14ac:dyDescent="0.35">
      <c r="A9" s="50" t="s">
        <v>114</v>
      </c>
      <c r="B9" s="50" t="s">
        <v>76</v>
      </c>
      <c r="C9" s="50" t="s">
        <v>3</v>
      </c>
      <c r="D9" s="50" t="s">
        <v>2</v>
      </c>
      <c r="E9" s="46" t="s">
        <v>162</v>
      </c>
      <c r="F9" s="47" t="s">
        <v>154</v>
      </c>
      <c r="G9" s="44" t="s">
        <v>291</v>
      </c>
      <c r="H9" s="42">
        <v>8</v>
      </c>
      <c r="I9" s="53"/>
      <c r="J9" s="43" t="s">
        <v>170</v>
      </c>
      <c r="K9" s="43"/>
      <c r="L9" s="110">
        <v>136</v>
      </c>
      <c r="M9" s="110" t="s">
        <v>145</v>
      </c>
      <c r="N9" s="44"/>
      <c r="O9" s="44"/>
      <c r="P9" s="45">
        <v>376.8</v>
      </c>
      <c r="Q9" s="44">
        <v>8000</v>
      </c>
      <c r="R9" s="44">
        <v>1500</v>
      </c>
      <c r="S9" s="46">
        <v>4</v>
      </c>
      <c r="T9" s="77">
        <f t="shared" si="0"/>
        <v>51244.800000000003</v>
      </c>
      <c r="U9" s="44" t="s">
        <v>165</v>
      </c>
      <c r="V9" s="46" t="s">
        <v>112</v>
      </c>
      <c r="W9" s="48"/>
      <c r="X9" s="47" t="s">
        <v>278</v>
      </c>
      <c r="Y9" s="47" t="s">
        <v>275</v>
      </c>
      <c r="Z9" s="53"/>
      <c r="AA9" s="53"/>
      <c r="AB9" s="53"/>
      <c r="AC9" s="53"/>
    </row>
    <row r="10" spans="1:29" s="49" customFormat="1" ht="20" customHeight="1" x14ac:dyDescent="0.35">
      <c r="A10" s="42" t="s">
        <v>5</v>
      </c>
      <c r="B10" s="42" t="s">
        <v>4</v>
      </c>
      <c r="C10" s="42" t="s">
        <v>3</v>
      </c>
      <c r="D10" s="42" t="s">
        <v>2</v>
      </c>
      <c r="E10" s="46" t="s">
        <v>162</v>
      </c>
      <c r="F10" s="47" t="s">
        <v>154</v>
      </c>
      <c r="G10" s="44" t="s">
        <v>291</v>
      </c>
      <c r="H10" s="42">
        <v>9</v>
      </c>
      <c r="I10" s="44"/>
      <c r="J10" s="43" t="s">
        <v>246</v>
      </c>
      <c r="K10" s="43"/>
      <c r="L10" s="110">
        <v>8</v>
      </c>
      <c r="M10" s="110" t="s">
        <v>145</v>
      </c>
      <c r="N10" s="44"/>
      <c r="O10" s="44"/>
      <c r="P10" s="45">
        <v>282.63</v>
      </c>
      <c r="Q10" s="44">
        <v>6000</v>
      </c>
      <c r="R10" s="44">
        <v>1500</v>
      </c>
      <c r="S10" s="46">
        <v>4</v>
      </c>
      <c r="T10" s="77">
        <f t="shared" si="0"/>
        <v>2261.04</v>
      </c>
      <c r="U10" s="46" t="s">
        <v>165</v>
      </c>
      <c r="V10" s="46" t="s">
        <v>112</v>
      </c>
      <c r="W10" s="48"/>
      <c r="X10" s="47" t="s">
        <v>279</v>
      </c>
      <c r="Y10" s="47" t="s">
        <v>275</v>
      </c>
      <c r="Z10" s="44"/>
      <c r="AA10" s="44"/>
      <c r="AB10" s="44"/>
      <c r="AC10" s="44"/>
    </row>
    <row r="11" spans="1:29" s="52" customFormat="1" ht="20" customHeight="1" x14ac:dyDescent="0.35">
      <c r="A11" s="50" t="s">
        <v>113</v>
      </c>
      <c r="B11" s="50" t="s">
        <v>76</v>
      </c>
      <c r="C11" s="50" t="s">
        <v>3</v>
      </c>
      <c r="D11" s="50" t="s">
        <v>2</v>
      </c>
      <c r="E11" s="46" t="s">
        <v>162</v>
      </c>
      <c r="F11" s="47" t="s">
        <v>154</v>
      </c>
      <c r="G11" s="44" t="s">
        <v>291</v>
      </c>
      <c r="H11" s="42">
        <v>10</v>
      </c>
      <c r="I11" s="53"/>
      <c r="J11" s="43" t="s">
        <v>171</v>
      </c>
      <c r="K11" s="43"/>
      <c r="L11" s="110">
        <v>136</v>
      </c>
      <c r="M11" s="110" t="s">
        <v>145</v>
      </c>
      <c r="N11" s="44"/>
      <c r="O11" s="44"/>
      <c r="P11" s="45">
        <v>282.63</v>
      </c>
      <c r="Q11" s="44">
        <v>8000</v>
      </c>
      <c r="R11" s="44">
        <v>1500</v>
      </c>
      <c r="S11" s="46">
        <v>3</v>
      </c>
      <c r="T11" s="77">
        <f t="shared" si="0"/>
        <v>38437.68</v>
      </c>
      <c r="U11" s="44" t="s">
        <v>165</v>
      </c>
      <c r="V11" s="46" t="s">
        <v>112</v>
      </c>
      <c r="W11" s="48"/>
      <c r="X11" s="47" t="s">
        <v>278</v>
      </c>
      <c r="Y11" s="47" t="s">
        <v>275</v>
      </c>
      <c r="Z11" s="53"/>
      <c r="AA11" s="53"/>
      <c r="AB11" s="53"/>
      <c r="AC11" s="53"/>
    </row>
    <row r="12" spans="1:29" s="152" customFormat="1" ht="19.5" customHeight="1" x14ac:dyDescent="0.35">
      <c r="A12" s="141" t="s">
        <v>111</v>
      </c>
      <c r="B12" s="141" t="s">
        <v>76</v>
      </c>
      <c r="C12" s="141" t="s">
        <v>3</v>
      </c>
      <c r="D12" s="141" t="s">
        <v>2</v>
      </c>
      <c r="E12" s="142" t="s">
        <v>218</v>
      </c>
      <c r="F12" s="143" t="s">
        <v>221</v>
      </c>
      <c r="G12" s="143" t="s">
        <v>219</v>
      </c>
      <c r="H12" s="144">
        <v>11</v>
      </c>
      <c r="I12" s="145"/>
      <c r="J12" s="146" t="s">
        <v>211</v>
      </c>
      <c r="K12" s="146"/>
      <c r="L12" s="147">
        <v>192</v>
      </c>
      <c r="M12" s="147" t="s">
        <v>145</v>
      </c>
      <c r="N12" s="148"/>
      <c r="O12" s="148"/>
      <c r="P12" s="149">
        <v>216</v>
      </c>
      <c r="Q12" s="150">
        <v>6000</v>
      </c>
      <c r="R12" s="150">
        <v>106</v>
      </c>
      <c r="S12" s="150">
        <v>240</v>
      </c>
      <c r="T12" s="151">
        <f>P12*L12</f>
        <v>41472</v>
      </c>
      <c r="U12" s="148">
        <f>L12*6</f>
        <v>1152</v>
      </c>
      <c r="V12" s="142" t="s">
        <v>210</v>
      </c>
      <c r="W12" s="145"/>
      <c r="X12" s="143" t="s">
        <v>284</v>
      </c>
      <c r="Y12" s="143" t="s">
        <v>276</v>
      </c>
      <c r="Z12" s="145"/>
      <c r="AA12" s="145"/>
      <c r="AB12" s="145"/>
      <c r="AC12" s="145"/>
    </row>
    <row r="13" spans="1:29" s="104" customFormat="1" ht="19.5" customHeight="1" x14ac:dyDescent="0.35">
      <c r="A13" s="129" t="s">
        <v>111</v>
      </c>
      <c r="B13" s="129" t="s">
        <v>76</v>
      </c>
      <c r="C13" s="129" t="s">
        <v>3</v>
      </c>
      <c r="D13" s="129" t="s">
        <v>2</v>
      </c>
      <c r="E13" s="130" t="s">
        <v>218</v>
      </c>
      <c r="F13" s="131" t="s">
        <v>221</v>
      </c>
      <c r="G13" s="131" t="s">
        <v>219</v>
      </c>
      <c r="H13" s="132">
        <v>11</v>
      </c>
      <c r="I13" s="133"/>
      <c r="J13" s="134" t="s">
        <v>293</v>
      </c>
      <c r="K13" s="134"/>
      <c r="L13" s="135">
        <v>96</v>
      </c>
      <c r="M13" s="135" t="s">
        <v>145</v>
      </c>
      <c r="N13" s="136"/>
      <c r="O13" s="136"/>
      <c r="P13" s="137">
        <v>432</v>
      </c>
      <c r="Q13" s="138">
        <v>6000</v>
      </c>
      <c r="R13" s="138">
        <v>106</v>
      </c>
      <c r="S13" s="138">
        <v>240</v>
      </c>
      <c r="T13" s="139">
        <f>P13*L13</f>
        <v>41472</v>
      </c>
      <c r="U13" s="136">
        <f>L13*6</f>
        <v>576</v>
      </c>
      <c r="V13" s="130" t="s">
        <v>210</v>
      </c>
      <c r="W13" s="133"/>
      <c r="X13" s="131" t="s">
        <v>284</v>
      </c>
      <c r="Y13" s="131" t="s">
        <v>276</v>
      </c>
      <c r="Z13" s="133"/>
      <c r="AA13" s="133"/>
      <c r="AB13" s="133"/>
      <c r="AC13" s="133"/>
    </row>
    <row r="14" spans="1:29" s="152" customFormat="1" ht="19.5" customHeight="1" x14ac:dyDescent="0.35">
      <c r="A14" s="141" t="s">
        <v>110</v>
      </c>
      <c r="B14" s="141" t="s">
        <v>76</v>
      </c>
      <c r="C14" s="141" t="s">
        <v>3</v>
      </c>
      <c r="D14" s="141" t="s">
        <v>2</v>
      </c>
      <c r="E14" s="142" t="s">
        <v>218</v>
      </c>
      <c r="F14" s="143" t="s">
        <v>221</v>
      </c>
      <c r="G14" s="143" t="s">
        <v>219</v>
      </c>
      <c r="H14" s="144">
        <v>12</v>
      </c>
      <c r="I14" s="145"/>
      <c r="J14" s="146" t="s">
        <v>212</v>
      </c>
      <c r="K14" s="146"/>
      <c r="L14" s="147">
        <v>60</v>
      </c>
      <c r="M14" s="147" t="s">
        <v>145</v>
      </c>
      <c r="N14" s="148"/>
      <c r="O14" s="148"/>
      <c r="P14" s="149">
        <v>131.4</v>
      </c>
      <c r="Q14" s="150">
        <v>6000</v>
      </c>
      <c r="R14" s="150">
        <v>82</v>
      </c>
      <c r="S14" s="150">
        <v>180</v>
      </c>
      <c r="T14" s="151">
        <f t="shared" ref="T14:T23" si="1">P14*L14</f>
        <v>7884</v>
      </c>
      <c r="U14" s="148">
        <f>L14*6</f>
        <v>360</v>
      </c>
      <c r="V14" s="142" t="s">
        <v>210</v>
      </c>
      <c r="W14" s="145"/>
      <c r="X14" s="143" t="s">
        <v>284</v>
      </c>
      <c r="Y14" s="143" t="s">
        <v>276</v>
      </c>
      <c r="Z14" s="145"/>
      <c r="AA14" s="145"/>
      <c r="AB14" s="145"/>
      <c r="AC14" s="145"/>
    </row>
    <row r="15" spans="1:29" s="104" customFormat="1" ht="19.5" customHeight="1" x14ac:dyDescent="0.35">
      <c r="A15" s="129" t="s">
        <v>110</v>
      </c>
      <c r="B15" s="129" t="s">
        <v>76</v>
      </c>
      <c r="C15" s="129" t="s">
        <v>3</v>
      </c>
      <c r="D15" s="129" t="s">
        <v>2</v>
      </c>
      <c r="E15" s="130" t="s">
        <v>218</v>
      </c>
      <c r="F15" s="131" t="s">
        <v>221</v>
      </c>
      <c r="G15" s="131" t="s">
        <v>219</v>
      </c>
      <c r="H15" s="132">
        <v>12</v>
      </c>
      <c r="I15" s="140"/>
      <c r="J15" s="134" t="s">
        <v>294</v>
      </c>
      <c r="K15" s="134"/>
      <c r="L15" s="135">
        <v>30</v>
      </c>
      <c r="M15" s="135" t="s">
        <v>145</v>
      </c>
      <c r="N15" s="136"/>
      <c r="O15" s="136"/>
      <c r="P15" s="137">
        <v>264</v>
      </c>
      <c r="Q15" s="138">
        <v>6000</v>
      </c>
      <c r="R15" s="138">
        <v>82</v>
      </c>
      <c r="S15" s="138">
        <v>180</v>
      </c>
      <c r="T15" s="139">
        <f t="shared" ref="T15" si="2">P15*L15</f>
        <v>7920</v>
      </c>
      <c r="U15" s="136">
        <f>L15*6</f>
        <v>180</v>
      </c>
      <c r="V15" s="130" t="s">
        <v>210</v>
      </c>
      <c r="W15" s="140"/>
      <c r="X15" s="131" t="s">
        <v>284</v>
      </c>
      <c r="Y15" s="131" t="s">
        <v>276</v>
      </c>
      <c r="Z15" s="140"/>
      <c r="AA15" s="140"/>
      <c r="AB15" s="140"/>
      <c r="AC15" s="140"/>
    </row>
    <row r="16" spans="1:29" s="29" customFormat="1" ht="19.5" customHeight="1" x14ac:dyDescent="0.35">
      <c r="A16" s="30" t="s">
        <v>109</v>
      </c>
      <c r="B16" s="30" t="s">
        <v>76</v>
      </c>
      <c r="C16" s="30" t="s">
        <v>3</v>
      </c>
      <c r="D16" s="30" t="s">
        <v>2</v>
      </c>
      <c r="E16" s="7" t="s">
        <v>218</v>
      </c>
      <c r="F16" s="12" t="s">
        <v>221</v>
      </c>
      <c r="G16" s="12" t="s">
        <v>220</v>
      </c>
      <c r="H16" s="4">
        <v>13</v>
      </c>
      <c r="I16" s="33"/>
      <c r="J16" s="8" t="s">
        <v>108</v>
      </c>
      <c r="K16" s="8"/>
      <c r="L16" s="111">
        <v>100</v>
      </c>
      <c r="M16" s="111" t="s">
        <v>145</v>
      </c>
      <c r="N16" s="6"/>
      <c r="O16" s="6"/>
      <c r="P16" s="60">
        <v>35.64</v>
      </c>
      <c r="Q16" s="59">
        <v>6000</v>
      </c>
      <c r="R16" s="59">
        <v>42</v>
      </c>
      <c r="S16" s="59">
        <v>80</v>
      </c>
      <c r="T16" s="58">
        <f t="shared" si="1"/>
        <v>3564</v>
      </c>
      <c r="U16" s="6">
        <f>L16*6</f>
        <v>600</v>
      </c>
      <c r="V16" s="7" t="s">
        <v>210</v>
      </c>
      <c r="W16" s="33"/>
      <c r="X16" s="12" t="s">
        <v>284</v>
      </c>
      <c r="Y16" s="12" t="s">
        <v>276</v>
      </c>
      <c r="Z16" s="33"/>
      <c r="AA16" s="33"/>
      <c r="AB16" s="33"/>
      <c r="AC16" s="33"/>
    </row>
    <row r="17" spans="1:29" s="29" customFormat="1" ht="19.5" customHeight="1" x14ac:dyDescent="0.35">
      <c r="A17" s="30" t="s">
        <v>5</v>
      </c>
      <c r="B17" s="30" t="s">
        <v>4</v>
      </c>
      <c r="C17" s="30" t="s">
        <v>3</v>
      </c>
      <c r="D17" s="30" t="s">
        <v>2</v>
      </c>
      <c r="E17" s="7" t="s">
        <v>218</v>
      </c>
      <c r="F17" s="12" t="s">
        <v>157</v>
      </c>
      <c r="G17" s="12" t="s">
        <v>220</v>
      </c>
      <c r="H17" s="4">
        <v>14</v>
      </c>
      <c r="I17" s="33"/>
      <c r="J17" s="8" t="s">
        <v>213</v>
      </c>
      <c r="K17" s="8"/>
      <c r="L17" s="111">
        <v>36</v>
      </c>
      <c r="M17" s="111" t="s">
        <v>145</v>
      </c>
      <c r="N17" s="6"/>
      <c r="O17" s="6"/>
      <c r="P17" s="61">
        <v>35.64</v>
      </c>
      <c r="Q17" s="59">
        <v>6000</v>
      </c>
      <c r="R17" s="59">
        <v>42</v>
      </c>
      <c r="S17" s="59">
        <v>80</v>
      </c>
      <c r="T17" s="58">
        <f>P17*L17</f>
        <v>1283.04</v>
      </c>
      <c r="U17" s="6">
        <f t="shared" ref="U17:U23" si="3">L17*6</f>
        <v>216</v>
      </c>
      <c r="V17" s="6" t="s">
        <v>210</v>
      </c>
      <c r="W17" s="33"/>
      <c r="X17" s="12" t="s">
        <v>288</v>
      </c>
      <c r="Y17" s="12" t="s">
        <v>276</v>
      </c>
      <c r="Z17" s="33"/>
      <c r="AA17" s="33"/>
      <c r="AB17" s="33"/>
      <c r="AC17" s="33"/>
    </row>
    <row r="18" spans="1:29" s="29" customFormat="1" ht="19.5" customHeight="1" x14ac:dyDescent="0.35">
      <c r="A18" s="30" t="s">
        <v>107</v>
      </c>
      <c r="B18" s="30" t="s">
        <v>76</v>
      </c>
      <c r="C18" s="30" t="s">
        <v>3</v>
      </c>
      <c r="D18" s="30" t="s">
        <v>2</v>
      </c>
      <c r="E18" s="7" t="s">
        <v>218</v>
      </c>
      <c r="F18" s="12" t="s">
        <v>157</v>
      </c>
      <c r="G18" s="12" t="s">
        <v>220</v>
      </c>
      <c r="H18" s="4">
        <v>15</v>
      </c>
      <c r="I18" s="33"/>
      <c r="J18" s="8" t="s">
        <v>106</v>
      </c>
      <c r="K18" s="8"/>
      <c r="L18" s="111">
        <v>600</v>
      </c>
      <c r="M18" s="111" t="s">
        <v>145</v>
      </c>
      <c r="N18" s="6"/>
      <c r="O18" s="6"/>
      <c r="P18" s="61">
        <v>18.079999999999998</v>
      </c>
      <c r="Q18" s="59">
        <v>6000</v>
      </c>
      <c r="R18" s="59">
        <v>40</v>
      </c>
      <c r="S18" s="59" t="s">
        <v>214</v>
      </c>
      <c r="T18" s="58">
        <f t="shared" si="1"/>
        <v>10847.999999999998</v>
      </c>
      <c r="U18" s="6">
        <f t="shared" si="3"/>
        <v>3600</v>
      </c>
      <c r="V18" s="7" t="s">
        <v>210</v>
      </c>
      <c r="W18" s="33"/>
      <c r="X18" s="12" t="s">
        <v>284</v>
      </c>
      <c r="Y18" s="12" t="s">
        <v>276</v>
      </c>
      <c r="Z18" s="33"/>
      <c r="AA18" s="33"/>
      <c r="AB18" s="33"/>
      <c r="AC18" s="33"/>
    </row>
    <row r="19" spans="1:29" s="29" customFormat="1" ht="19.5" customHeight="1" x14ac:dyDescent="0.35">
      <c r="A19" s="30" t="s">
        <v>105</v>
      </c>
      <c r="B19" s="30" t="s">
        <v>76</v>
      </c>
      <c r="C19" s="30" t="s">
        <v>3</v>
      </c>
      <c r="D19" s="30" t="s">
        <v>2</v>
      </c>
      <c r="E19" s="7" t="s">
        <v>218</v>
      </c>
      <c r="F19" s="12" t="s">
        <v>157</v>
      </c>
      <c r="G19" s="12" t="s">
        <v>220</v>
      </c>
      <c r="H19" s="4">
        <v>16</v>
      </c>
      <c r="I19" s="33"/>
      <c r="J19" s="8" t="s">
        <v>104</v>
      </c>
      <c r="K19" s="8"/>
      <c r="L19" s="111">
        <v>200</v>
      </c>
      <c r="M19" s="111" t="s">
        <v>145</v>
      </c>
      <c r="N19" s="6"/>
      <c r="O19" s="6"/>
      <c r="P19" s="61">
        <v>10.55</v>
      </c>
      <c r="Q19" s="59">
        <v>6000</v>
      </c>
      <c r="R19" s="59">
        <v>20</v>
      </c>
      <c r="S19" s="59" t="s">
        <v>215</v>
      </c>
      <c r="T19" s="58">
        <f t="shared" si="1"/>
        <v>2110</v>
      </c>
      <c r="U19" s="6">
        <f t="shared" si="3"/>
        <v>1200</v>
      </c>
      <c r="V19" s="7" t="s">
        <v>210</v>
      </c>
      <c r="W19" s="33"/>
      <c r="X19" s="12" t="s">
        <v>284</v>
      </c>
      <c r="Y19" s="12" t="s">
        <v>276</v>
      </c>
      <c r="Z19" s="33"/>
      <c r="AA19" s="33"/>
      <c r="AB19" s="33"/>
      <c r="AC19" s="33"/>
    </row>
    <row r="20" spans="1:29" s="29" customFormat="1" ht="19.5" customHeight="1" x14ac:dyDescent="0.35">
      <c r="A20" s="30" t="s">
        <v>103</v>
      </c>
      <c r="B20" s="30" t="s">
        <v>76</v>
      </c>
      <c r="C20" s="30" t="s">
        <v>3</v>
      </c>
      <c r="D20" s="30" t="s">
        <v>2</v>
      </c>
      <c r="E20" s="7" t="s">
        <v>218</v>
      </c>
      <c r="F20" s="12" t="s">
        <v>157</v>
      </c>
      <c r="G20" s="12" t="s">
        <v>220</v>
      </c>
      <c r="H20" s="4">
        <v>17</v>
      </c>
      <c r="I20" s="33"/>
      <c r="J20" s="8" t="s">
        <v>102</v>
      </c>
      <c r="K20" s="8"/>
      <c r="L20" s="111">
        <v>840</v>
      </c>
      <c r="M20" s="111" t="s">
        <v>145</v>
      </c>
      <c r="N20" s="6"/>
      <c r="O20" s="6"/>
      <c r="P20" s="61">
        <v>4.24</v>
      </c>
      <c r="Q20" s="59">
        <v>6000</v>
      </c>
      <c r="R20" s="59">
        <v>30</v>
      </c>
      <c r="S20" s="59">
        <v>3</v>
      </c>
      <c r="T20" s="58">
        <f t="shared" si="1"/>
        <v>3561.6000000000004</v>
      </c>
      <c r="U20" s="6">
        <f t="shared" si="3"/>
        <v>5040</v>
      </c>
      <c r="V20" s="7" t="s">
        <v>210</v>
      </c>
      <c r="W20" s="33"/>
      <c r="X20" s="12" t="s">
        <v>284</v>
      </c>
      <c r="Y20" s="12" t="s">
        <v>276</v>
      </c>
      <c r="Z20" s="33"/>
      <c r="AA20" s="33"/>
      <c r="AB20" s="33"/>
      <c r="AC20" s="33"/>
    </row>
    <row r="21" spans="1:29" s="29" customFormat="1" ht="19.5" customHeight="1" x14ac:dyDescent="0.35">
      <c r="A21" s="30" t="s">
        <v>101</v>
      </c>
      <c r="B21" s="30" t="s">
        <v>76</v>
      </c>
      <c r="C21" s="30" t="s">
        <v>3</v>
      </c>
      <c r="D21" s="30" t="s">
        <v>2</v>
      </c>
      <c r="E21" s="7" t="s">
        <v>218</v>
      </c>
      <c r="F21" s="12" t="s">
        <v>157</v>
      </c>
      <c r="G21" s="12" t="s">
        <v>220</v>
      </c>
      <c r="H21" s="4">
        <v>18</v>
      </c>
      <c r="I21" s="33"/>
      <c r="J21" s="8" t="s">
        <v>100</v>
      </c>
      <c r="K21" s="8"/>
      <c r="L21" s="111">
        <v>96</v>
      </c>
      <c r="M21" s="111" t="s">
        <v>145</v>
      </c>
      <c r="N21" s="6"/>
      <c r="O21" s="6"/>
      <c r="P21" s="61">
        <v>11.78</v>
      </c>
      <c r="Q21" s="59">
        <v>6000</v>
      </c>
      <c r="R21" s="59">
        <v>50</v>
      </c>
      <c r="S21" s="59">
        <v>5</v>
      </c>
      <c r="T21" s="58">
        <f t="shared" si="1"/>
        <v>1130.8799999999999</v>
      </c>
      <c r="U21" s="6">
        <f t="shared" si="3"/>
        <v>576</v>
      </c>
      <c r="V21" s="7" t="s">
        <v>210</v>
      </c>
      <c r="W21" s="33"/>
      <c r="X21" s="12" t="s">
        <v>284</v>
      </c>
      <c r="Y21" s="12" t="s">
        <v>276</v>
      </c>
      <c r="Z21" s="33"/>
      <c r="AA21" s="33"/>
      <c r="AB21" s="33"/>
      <c r="AC21" s="33"/>
    </row>
    <row r="22" spans="1:29" s="29" customFormat="1" ht="19.5" customHeight="1" x14ac:dyDescent="0.35">
      <c r="A22" s="30" t="s">
        <v>99</v>
      </c>
      <c r="B22" s="30" t="s">
        <v>76</v>
      </c>
      <c r="C22" s="30" t="s">
        <v>3</v>
      </c>
      <c r="D22" s="30" t="s">
        <v>2</v>
      </c>
      <c r="E22" s="7" t="s">
        <v>218</v>
      </c>
      <c r="F22" s="12" t="s">
        <v>157</v>
      </c>
      <c r="G22" s="12" t="s">
        <v>220</v>
      </c>
      <c r="H22" s="4">
        <v>19</v>
      </c>
      <c r="I22" s="33"/>
      <c r="J22" s="8" t="s">
        <v>98</v>
      </c>
      <c r="K22" s="8"/>
      <c r="L22" s="111">
        <v>40</v>
      </c>
      <c r="M22" s="111" t="s">
        <v>145</v>
      </c>
      <c r="N22" s="6"/>
      <c r="O22" s="6"/>
      <c r="P22" s="61">
        <v>22.37</v>
      </c>
      <c r="Q22" s="59">
        <v>6000</v>
      </c>
      <c r="R22" s="59">
        <v>50</v>
      </c>
      <c r="S22" s="59" t="s">
        <v>216</v>
      </c>
      <c r="T22" s="58">
        <f t="shared" si="1"/>
        <v>894.80000000000007</v>
      </c>
      <c r="U22" s="6">
        <f t="shared" si="3"/>
        <v>240</v>
      </c>
      <c r="V22" s="7" t="s">
        <v>210</v>
      </c>
      <c r="W22" s="33"/>
      <c r="X22" s="12" t="s">
        <v>284</v>
      </c>
      <c r="Y22" s="12" t="s">
        <v>276</v>
      </c>
      <c r="Z22" s="33"/>
      <c r="AA22" s="33"/>
      <c r="AB22" s="33"/>
      <c r="AC22" s="33"/>
    </row>
    <row r="23" spans="1:29" s="29" customFormat="1" ht="19.5" customHeight="1" x14ac:dyDescent="0.35">
      <c r="A23" s="30" t="s">
        <v>97</v>
      </c>
      <c r="B23" s="30" t="s">
        <v>76</v>
      </c>
      <c r="C23" s="30" t="s">
        <v>3</v>
      </c>
      <c r="D23" s="30" t="s">
        <v>2</v>
      </c>
      <c r="E23" s="7" t="s">
        <v>218</v>
      </c>
      <c r="F23" s="12" t="s">
        <v>157</v>
      </c>
      <c r="G23" s="12" t="s">
        <v>220</v>
      </c>
      <c r="H23" s="4">
        <v>20</v>
      </c>
      <c r="I23" s="33"/>
      <c r="J23" s="8" t="s">
        <v>96</v>
      </c>
      <c r="K23" s="8"/>
      <c r="L23" s="111">
        <v>60</v>
      </c>
      <c r="M23" s="111" t="s">
        <v>145</v>
      </c>
      <c r="N23" s="6"/>
      <c r="O23" s="6"/>
      <c r="P23" s="61">
        <v>23.55</v>
      </c>
      <c r="Q23" s="59">
        <v>6000</v>
      </c>
      <c r="R23" s="59">
        <v>50</v>
      </c>
      <c r="S23" s="59">
        <v>10</v>
      </c>
      <c r="T23" s="58">
        <f t="shared" si="1"/>
        <v>1413</v>
      </c>
      <c r="U23" s="6">
        <f t="shared" si="3"/>
        <v>360</v>
      </c>
      <c r="V23" s="7" t="s">
        <v>210</v>
      </c>
      <c r="W23" s="33"/>
      <c r="X23" s="12" t="s">
        <v>284</v>
      </c>
      <c r="Y23" s="12" t="s">
        <v>276</v>
      </c>
      <c r="Z23" s="33"/>
      <c r="AA23" s="33"/>
      <c r="AB23" s="33"/>
      <c r="AC23" s="33"/>
    </row>
    <row r="24" spans="1:29" s="2" customFormat="1" x14ac:dyDescent="0.35">
      <c r="A24" s="4"/>
      <c r="B24" s="4"/>
      <c r="C24" s="4"/>
      <c r="D24" s="4"/>
      <c r="E24" s="6"/>
      <c r="F24" s="12"/>
      <c r="G24" s="6"/>
      <c r="H24" s="4"/>
      <c r="I24" s="6"/>
      <c r="J24" s="16"/>
      <c r="K24" s="16"/>
      <c r="L24" s="111"/>
      <c r="M24" s="111"/>
      <c r="N24" s="6"/>
      <c r="O24" s="6"/>
      <c r="P24" s="6"/>
      <c r="Q24" s="6"/>
      <c r="R24" s="6"/>
      <c r="S24" s="6"/>
      <c r="T24" s="6"/>
      <c r="U24" s="7"/>
      <c r="V24" s="12"/>
      <c r="W24" s="6"/>
      <c r="X24" s="6"/>
      <c r="Y24" s="6"/>
      <c r="Z24" s="6"/>
      <c r="AA24" s="6"/>
      <c r="AB24" s="6"/>
      <c r="AC24" s="6"/>
    </row>
    <row r="25" spans="1:29" s="31" customFormat="1" ht="23.5" customHeight="1" x14ac:dyDescent="0.35">
      <c r="A25" s="30" t="s">
        <v>95</v>
      </c>
      <c r="B25" s="30" t="s">
        <v>76</v>
      </c>
      <c r="C25" s="30" t="s">
        <v>3</v>
      </c>
      <c r="D25" s="30" t="s">
        <v>2</v>
      </c>
      <c r="E25" s="7" t="s">
        <v>225</v>
      </c>
      <c r="F25" s="6" t="s">
        <v>156</v>
      </c>
      <c r="G25" s="6" t="s">
        <v>224</v>
      </c>
      <c r="H25" s="4">
        <v>21</v>
      </c>
      <c r="I25" s="6"/>
      <c r="J25" s="8" t="s">
        <v>94</v>
      </c>
      <c r="K25" s="8"/>
      <c r="L25" s="111">
        <v>312</v>
      </c>
      <c r="M25" s="111" t="s">
        <v>223</v>
      </c>
      <c r="N25" s="6"/>
      <c r="O25" s="6"/>
      <c r="P25" s="6">
        <v>2.19</v>
      </c>
      <c r="Q25" s="6"/>
      <c r="R25" s="6"/>
      <c r="S25" s="6"/>
      <c r="T25" s="6"/>
      <c r="U25" s="6"/>
      <c r="V25" s="7" t="s">
        <v>155</v>
      </c>
      <c r="W25" s="6"/>
      <c r="X25" s="6" t="s">
        <v>282</v>
      </c>
      <c r="Y25" s="6"/>
      <c r="Z25" s="6"/>
      <c r="AA25" s="6"/>
      <c r="AB25" s="6"/>
      <c r="AC25" s="6"/>
    </row>
    <row r="26" spans="1:29" s="29" customFormat="1" ht="23.5" customHeight="1" x14ac:dyDescent="0.35">
      <c r="A26" s="30" t="s">
        <v>93</v>
      </c>
      <c r="B26" s="30" t="s">
        <v>76</v>
      </c>
      <c r="C26" s="30" t="s">
        <v>3</v>
      </c>
      <c r="D26" s="30" t="s">
        <v>2</v>
      </c>
      <c r="E26" s="7" t="s">
        <v>225</v>
      </c>
      <c r="F26" s="6" t="s">
        <v>156</v>
      </c>
      <c r="G26" s="6" t="s">
        <v>228</v>
      </c>
      <c r="H26" s="4">
        <v>22</v>
      </c>
      <c r="I26" s="6"/>
      <c r="J26" s="16" t="s">
        <v>69</v>
      </c>
      <c r="K26" s="16"/>
      <c r="L26" s="111">
        <v>120</v>
      </c>
      <c r="M26" s="111" t="s">
        <v>223</v>
      </c>
      <c r="N26" s="6"/>
      <c r="O26" s="6"/>
      <c r="P26" s="6">
        <v>118.4</v>
      </c>
      <c r="Q26" s="6"/>
      <c r="R26" s="6"/>
      <c r="S26" s="6"/>
      <c r="T26" s="6"/>
      <c r="U26" s="6"/>
      <c r="V26" s="7" t="s">
        <v>155</v>
      </c>
      <c r="W26" s="6"/>
      <c r="X26" s="6" t="s">
        <v>282</v>
      </c>
      <c r="Y26" s="6"/>
      <c r="Z26" s="6"/>
      <c r="AA26" s="6"/>
      <c r="AB26" s="6"/>
      <c r="AC26" s="6"/>
    </row>
    <row r="27" spans="1:29" s="29" customFormat="1" ht="23.5" customHeight="1" x14ac:dyDescent="0.35">
      <c r="A27" s="30" t="s">
        <v>92</v>
      </c>
      <c r="B27" s="30" t="s">
        <v>76</v>
      </c>
      <c r="C27" s="30" t="s">
        <v>3</v>
      </c>
      <c r="D27" s="30" t="s">
        <v>2</v>
      </c>
      <c r="E27" s="7" t="s">
        <v>225</v>
      </c>
      <c r="F27" s="12" t="s">
        <v>156</v>
      </c>
      <c r="G27" s="6" t="s">
        <v>229</v>
      </c>
      <c r="H27" s="4">
        <v>23</v>
      </c>
      <c r="I27" s="12"/>
      <c r="J27" s="16" t="s">
        <v>292</v>
      </c>
      <c r="K27" s="26"/>
      <c r="L27" s="111">
        <v>10500</v>
      </c>
      <c r="M27" s="111" t="s">
        <v>223</v>
      </c>
      <c r="N27" s="6"/>
      <c r="O27" s="6"/>
      <c r="P27" s="12"/>
      <c r="Q27" s="12"/>
      <c r="R27" s="12"/>
      <c r="S27" s="12"/>
      <c r="T27" s="6"/>
      <c r="U27" s="6"/>
      <c r="V27" s="7" t="s">
        <v>155</v>
      </c>
      <c r="W27" s="12"/>
      <c r="X27" s="6" t="s">
        <v>282</v>
      </c>
      <c r="Y27" s="12"/>
      <c r="Z27" s="12"/>
      <c r="AA27" s="12"/>
      <c r="AB27" s="12"/>
      <c r="AC27" s="12"/>
    </row>
    <row r="28" spans="1:29" s="2" customFormat="1" ht="23.5" customHeight="1" x14ac:dyDescent="0.35">
      <c r="A28" s="4" t="s">
        <v>5</v>
      </c>
      <c r="B28" s="4" t="s">
        <v>4</v>
      </c>
      <c r="C28" s="4" t="s">
        <v>3</v>
      </c>
      <c r="D28" s="4" t="s">
        <v>2</v>
      </c>
      <c r="E28" s="7" t="s">
        <v>225</v>
      </c>
      <c r="F28" s="12" t="s">
        <v>156</v>
      </c>
      <c r="G28" s="6" t="s">
        <v>230</v>
      </c>
      <c r="H28" s="4">
        <v>24</v>
      </c>
      <c r="I28" s="6"/>
      <c r="J28" s="8" t="s">
        <v>69</v>
      </c>
      <c r="K28" s="8"/>
      <c r="L28" s="111">
        <v>24</v>
      </c>
      <c r="M28" s="111" t="s">
        <v>223</v>
      </c>
      <c r="N28" s="6"/>
      <c r="O28" s="6"/>
      <c r="P28" s="6"/>
      <c r="Q28" s="6"/>
      <c r="R28" s="6"/>
      <c r="S28" s="6"/>
      <c r="T28" s="6">
        <v>509</v>
      </c>
      <c r="U28" s="7"/>
      <c r="V28" s="7" t="s">
        <v>155</v>
      </c>
      <c r="W28" s="6"/>
      <c r="X28" s="6" t="s">
        <v>283</v>
      </c>
      <c r="Y28" s="6"/>
      <c r="Z28" s="6"/>
      <c r="AA28" s="6"/>
      <c r="AB28" s="6"/>
      <c r="AC28" s="6"/>
    </row>
    <row r="29" spans="1:29" s="2" customFormat="1" ht="23.5" customHeight="1" x14ac:dyDescent="0.35">
      <c r="A29" s="4" t="s">
        <v>5</v>
      </c>
      <c r="B29" s="4" t="s">
        <v>4</v>
      </c>
      <c r="C29" s="4" t="s">
        <v>3</v>
      </c>
      <c r="D29" s="4" t="s">
        <v>2</v>
      </c>
      <c r="E29" s="7" t="s">
        <v>225</v>
      </c>
      <c r="F29" s="12" t="s">
        <v>156</v>
      </c>
      <c r="G29" s="6" t="s">
        <v>231</v>
      </c>
      <c r="H29" s="4">
        <v>25</v>
      </c>
      <c r="I29" s="6"/>
      <c r="J29" s="8" t="s">
        <v>74</v>
      </c>
      <c r="K29" s="8"/>
      <c r="L29" s="111">
        <v>800</v>
      </c>
      <c r="M29" s="111" t="s">
        <v>223</v>
      </c>
      <c r="N29" s="6"/>
      <c r="O29" s="6"/>
      <c r="P29" s="6"/>
      <c r="Q29" s="6"/>
      <c r="R29" s="6"/>
      <c r="S29" s="6"/>
      <c r="T29" s="6">
        <v>3590</v>
      </c>
      <c r="U29" s="7"/>
      <c r="V29" s="7" t="s">
        <v>155</v>
      </c>
      <c r="W29" s="6"/>
      <c r="X29" s="6" t="s">
        <v>283</v>
      </c>
      <c r="Y29" s="6"/>
      <c r="Z29" s="6"/>
      <c r="AA29" s="6"/>
      <c r="AB29" s="6"/>
      <c r="AC29" s="6"/>
    </row>
    <row r="30" spans="1:29" s="29" customFormat="1" x14ac:dyDescent="0.35">
      <c r="A30" s="30"/>
      <c r="B30" s="30"/>
      <c r="C30" s="30"/>
      <c r="D30" s="30"/>
      <c r="E30" s="12"/>
      <c r="F30" s="12"/>
      <c r="G30" s="12"/>
      <c r="H30" s="4"/>
      <c r="I30" s="12"/>
      <c r="J30" s="26"/>
      <c r="K30" s="26"/>
      <c r="L30" s="111"/>
      <c r="M30" s="111"/>
      <c r="N30" s="6"/>
      <c r="O30" s="6"/>
      <c r="P30" s="12"/>
      <c r="Q30" s="12"/>
      <c r="R30" s="12"/>
      <c r="S30" s="12"/>
      <c r="T30" s="6"/>
      <c r="U30" s="6"/>
      <c r="V30" s="7"/>
      <c r="W30" s="12"/>
      <c r="X30" s="12"/>
      <c r="Y30" s="12"/>
      <c r="Z30" s="12"/>
      <c r="AA30" s="12"/>
      <c r="AB30" s="12"/>
      <c r="AC30" s="12"/>
    </row>
    <row r="31" spans="1:29" s="29" customFormat="1" ht="22" customHeight="1" x14ac:dyDescent="0.35">
      <c r="A31" s="30" t="s">
        <v>91</v>
      </c>
      <c r="B31" s="30" t="s">
        <v>76</v>
      </c>
      <c r="C31" s="30" t="s">
        <v>3</v>
      </c>
      <c r="D31" s="30" t="s">
        <v>2</v>
      </c>
      <c r="E31" s="6"/>
      <c r="F31" s="6" t="s">
        <v>157</v>
      </c>
      <c r="G31" s="6"/>
      <c r="H31" s="4">
        <v>17</v>
      </c>
      <c r="I31" s="6"/>
      <c r="J31" s="16" t="s">
        <v>209</v>
      </c>
      <c r="K31" s="16"/>
      <c r="L31" s="111">
        <v>220</v>
      </c>
      <c r="M31" s="111" t="s">
        <v>145</v>
      </c>
      <c r="N31" s="6"/>
      <c r="O31" s="6"/>
      <c r="P31" s="6"/>
      <c r="Q31" s="6"/>
      <c r="R31" s="6"/>
      <c r="S31" s="6"/>
      <c r="T31" s="6"/>
      <c r="U31" s="6"/>
      <c r="V31" s="7" t="s">
        <v>88</v>
      </c>
      <c r="W31" s="6"/>
      <c r="X31" s="6" t="s">
        <v>284</v>
      </c>
      <c r="Y31" s="6"/>
      <c r="Z31" s="6"/>
      <c r="AA31" s="6"/>
      <c r="AB31" s="6"/>
      <c r="AC31" s="6"/>
    </row>
    <row r="32" spans="1:29" s="29" customFormat="1" ht="22" customHeight="1" x14ac:dyDescent="0.35">
      <c r="A32" s="30" t="s">
        <v>90</v>
      </c>
      <c r="B32" s="30" t="s">
        <v>76</v>
      </c>
      <c r="C32" s="30" t="s">
        <v>3</v>
      </c>
      <c r="D32" s="30" t="s">
        <v>2</v>
      </c>
      <c r="E32" s="6"/>
      <c r="F32" s="6" t="s">
        <v>157</v>
      </c>
      <c r="G32" s="6"/>
      <c r="H32" s="4">
        <v>19</v>
      </c>
      <c r="I32" s="6"/>
      <c r="J32" s="16" t="s">
        <v>89</v>
      </c>
      <c r="K32" s="16"/>
      <c r="L32" s="111">
        <v>140</v>
      </c>
      <c r="M32" s="111" t="s">
        <v>145</v>
      </c>
      <c r="N32" s="6"/>
      <c r="O32" s="6"/>
      <c r="P32" s="6"/>
      <c r="Q32" s="6"/>
      <c r="R32" s="6"/>
      <c r="S32" s="6"/>
      <c r="T32" s="6"/>
      <c r="U32" s="6"/>
      <c r="V32" s="7" t="s">
        <v>88</v>
      </c>
      <c r="W32" s="6"/>
      <c r="X32" s="6" t="s">
        <v>284</v>
      </c>
      <c r="Y32" s="6"/>
      <c r="Z32" s="6"/>
      <c r="AA32" s="6"/>
      <c r="AB32" s="6"/>
      <c r="AC32" s="6"/>
    </row>
    <row r="33" spans="1:29" s="29" customFormat="1" ht="24.65" customHeight="1" x14ac:dyDescent="0.35">
      <c r="A33" s="30" t="s">
        <v>80</v>
      </c>
      <c r="B33" s="30" t="s">
        <v>76</v>
      </c>
      <c r="C33" s="30" t="s">
        <v>3</v>
      </c>
      <c r="D33" s="30" t="s">
        <v>2</v>
      </c>
      <c r="E33" s="12"/>
      <c r="F33" s="12" t="s">
        <v>157</v>
      </c>
      <c r="G33" s="12"/>
      <c r="H33" s="4">
        <v>25</v>
      </c>
      <c r="I33" s="12"/>
      <c r="J33" s="16" t="s">
        <v>73</v>
      </c>
      <c r="K33" s="16"/>
      <c r="L33" s="111">
        <v>840</v>
      </c>
      <c r="M33" s="111" t="s">
        <v>145</v>
      </c>
      <c r="N33" s="6"/>
      <c r="O33" s="6"/>
      <c r="P33" s="58">
        <v>1.8</v>
      </c>
      <c r="Q33" s="12"/>
      <c r="R33" s="12"/>
      <c r="S33" s="12"/>
      <c r="T33" s="6"/>
      <c r="U33" s="6"/>
      <c r="V33" s="7" t="s">
        <v>72</v>
      </c>
      <c r="W33" s="12"/>
      <c r="X33" s="6" t="s">
        <v>284</v>
      </c>
      <c r="Y33" s="12"/>
      <c r="Z33" s="12"/>
      <c r="AA33" s="12"/>
      <c r="AB33" s="12"/>
      <c r="AC33" s="12"/>
    </row>
    <row r="34" spans="1:29" s="2" customFormat="1" ht="21.5" customHeight="1" x14ac:dyDescent="0.35">
      <c r="A34" s="4" t="s">
        <v>5</v>
      </c>
      <c r="B34" s="4" t="s">
        <v>4</v>
      </c>
      <c r="C34" s="4" t="s">
        <v>3</v>
      </c>
      <c r="D34" s="4" t="s">
        <v>2</v>
      </c>
      <c r="E34" s="6"/>
      <c r="F34" s="12" t="s">
        <v>157</v>
      </c>
      <c r="G34" s="6"/>
      <c r="H34" s="4">
        <v>6</v>
      </c>
      <c r="I34" s="6"/>
      <c r="J34" s="16" t="s">
        <v>73</v>
      </c>
      <c r="K34" s="16"/>
      <c r="L34" s="111">
        <v>100</v>
      </c>
      <c r="M34" s="111" t="s">
        <v>145</v>
      </c>
      <c r="N34" s="6"/>
      <c r="O34" s="6"/>
      <c r="P34" s="58">
        <v>1.8</v>
      </c>
      <c r="Q34" s="6"/>
      <c r="R34" s="6"/>
      <c r="S34" s="6"/>
      <c r="T34" s="6"/>
      <c r="V34" s="7" t="s">
        <v>72</v>
      </c>
      <c r="W34" s="6"/>
      <c r="X34" s="6" t="s">
        <v>284</v>
      </c>
      <c r="Y34" s="6"/>
      <c r="Z34" s="6"/>
      <c r="AA34" s="6"/>
      <c r="AB34" s="6"/>
      <c r="AC34" s="6"/>
    </row>
    <row r="35" spans="1:29" s="29" customFormat="1" ht="24.65" customHeight="1" x14ac:dyDescent="0.35">
      <c r="A35" s="30" t="s">
        <v>79</v>
      </c>
      <c r="B35" s="30" t="s">
        <v>76</v>
      </c>
      <c r="C35" s="30" t="s">
        <v>3</v>
      </c>
      <c r="D35" s="30" t="s">
        <v>2</v>
      </c>
      <c r="E35" s="6"/>
      <c r="F35" s="6" t="s">
        <v>157</v>
      </c>
      <c r="G35" s="6"/>
      <c r="H35" s="4">
        <v>26</v>
      </c>
      <c r="I35" s="6"/>
      <c r="J35" s="16" t="s">
        <v>78</v>
      </c>
      <c r="K35" s="16"/>
      <c r="L35" s="111">
        <v>60</v>
      </c>
      <c r="M35" s="111" t="s">
        <v>233</v>
      </c>
      <c r="N35" s="6"/>
      <c r="O35" s="6"/>
      <c r="P35" s="61">
        <v>60</v>
      </c>
      <c r="Q35" s="6"/>
      <c r="R35" s="6"/>
      <c r="S35" s="6"/>
      <c r="T35" s="6">
        <v>60</v>
      </c>
      <c r="U35" s="6"/>
      <c r="V35" s="7" t="s">
        <v>28</v>
      </c>
      <c r="W35" s="6"/>
      <c r="X35" s="6" t="s">
        <v>284</v>
      </c>
      <c r="Y35" s="6"/>
      <c r="Z35" s="6"/>
      <c r="AA35" s="6"/>
      <c r="AB35" s="6"/>
      <c r="AC35" s="6"/>
    </row>
    <row r="36" spans="1:29" s="29" customFormat="1" ht="24.65" customHeight="1" x14ac:dyDescent="0.35">
      <c r="A36" s="30" t="s">
        <v>77</v>
      </c>
      <c r="B36" s="30" t="s">
        <v>76</v>
      </c>
      <c r="C36" s="30" t="s">
        <v>3</v>
      </c>
      <c r="D36" s="30" t="s">
        <v>2</v>
      </c>
      <c r="E36" s="6"/>
      <c r="F36" s="6" t="s">
        <v>157</v>
      </c>
      <c r="G36" s="6"/>
      <c r="H36" s="4">
        <v>27</v>
      </c>
      <c r="I36" s="6"/>
      <c r="J36" s="16" t="s">
        <v>75</v>
      </c>
      <c r="K36" s="16"/>
      <c r="L36" s="111">
        <v>16</v>
      </c>
      <c r="M36" s="111" t="s">
        <v>289</v>
      </c>
      <c r="N36" s="6"/>
      <c r="O36" s="6"/>
      <c r="P36" s="6">
        <v>25</v>
      </c>
      <c r="Q36" s="6"/>
      <c r="R36" s="6"/>
      <c r="S36" s="6"/>
      <c r="T36" s="6">
        <f>P36*L36</f>
        <v>400</v>
      </c>
      <c r="U36" s="6"/>
      <c r="V36" s="7" t="s">
        <v>28</v>
      </c>
      <c r="W36" s="6"/>
      <c r="X36" s="6" t="s">
        <v>284</v>
      </c>
      <c r="Y36" s="6"/>
      <c r="Z36" s="6"/>
      <c r="AA36" s="6"/>
      <c r="AB36" s="6"/>
      <c r="AC36" s="6"/>
    </row>
    <row r="37" spans="1:29" x14ac:dyDescent="0.4">
      <c r="A37" s="3"/>
      <c r="B37" s="3"/>
      <c r="C37" s="3"/>
      <c r="D37" s="3"/>
      <c r="E37" s="3"/>
      <c r="F37" s="40"/>
      <c r="G37" s="3"/>
      <c r="H37" s="3"/>
      <c r="I37" s="3"/>
      <c r="J37" s="3"/>
      <c r="K37" s="3"/>
      <c r="L37" s="112"/>
      <c r="M37" s="112"/>
      <c r="N37" s="3"/>
      <c r="O37" s="3"/>
      <c r="P37" s="3"/>
      <c r="Q37" s="3"/>
      <c r="R37" s="3"/>
      <c r="S37" s="3"/>
      <c r="T37" s="3"/>
      <c r="U37" s="3"/>
      <c r="V37" s="3"/>
      <c r="W37" s="3"/>
      <c r="X37" s="40"/>
      <c r="Y37" s="3"/>
      <c r="Z37" s="3"/>
      <c r="AA37" s="3"/>
      <c r="AB37" s="3"/>
      <c r="AC37" s="3"/>
    </row>
    <row r="38" spans="1:29" s="15" customFormat="1" ht="18.649999999999999" customHeight="1" x14ac:dyDescent="0.35">
      <c r="A38" s="4" t="s">
        <v>5</v>
      </c>
      <c r="B38" s="4" t="s">
        <v>4</v>
      </c>
      <c r="C38" s="4" t="s">
        <v>3</v>
      </c>
      <c r="D38" s="4" t="s">
        <v>2</v>
      </c>
      <c r="E38" s="5"/>
      <c r="F38" s="6" t="s">
        <v>157</v>
      </c>
      <c r="G38" s="5"/>
      <c r="H38" s="4">
        <v>1</v>
      </c>
      <c r="I38" s="5"/>
      <c r="J38" s="16" t="s">
        <v>68</v>
      </c>
      <c r="K38" s="16"/>
      <c r="L38" s="111">
        <v>180</v>
      </c>
      <c r="M38" s="111" t="s">
        <v>145</v>
      </c>
      <c r="N38" s="6"/>
      <c r="O38" s="6"/>
      <c r="P38" s="5"/>
      <c r="Q38" s="5"/>
      <c r="R38" s="5"/>
      <c r="S38" s="5"/>
      <c r="T38" s="54"/>
      <c r="U38" s="12"/>
      <c r="V38" s="7" t="s">
        <v>28</v>
      </c>
      <c r="W38" s="5"/>
      <c r="X38" s="23" t="s">
        <v>281</v>
      </c>
      <c r="Y38" s="5"/>
      <c r="Z38" s="5"/>
      <c r="AA38" s="5"/>
      <c r="AB38" s="5"/>
      <c r="AC38" s="5"/>
    </row>
    <row r="39" spans="1:29" s="15" customFormat="1" ht="18.649999999999999" customHeight="1" x14ac:dyDescent="0.35">
      <c r="A39" s="4" t="s">
        <v>5</v>
      </c>
      <c r="B39" s="4" t="s">
        <v>4</v>
      </c>
      <c r="C39" s="4" t="s">
        <v>3</v>
      </c>
      <c r="D39" s="4" t="s">
        <v>2</v>
      </c>
      <c r="E39" s="5"/>
      <c r="F39" s="6" t="s">
        <v>157</v>
      </c>
      <c r="G39" s="5"/>
      <c r="H39" s="4">
        <v>2</v>
      </c>
      <c r="I39" s="5"/>
      <c r="J39" s="16" t="s">
        <v>67</v>
      </c>
      <c r="K39" s="16"/>
      <c r="L39" s="111">
        <v>300</v>
      </c>
      <c r="M39" s="111" t="s">
        <v>145</v>
      </c>
      <c r="N39" s="6"/>
      <c r="O39" s="6"/>
      <c r="P39" s="5"/>
      <c r="Q39" s="5"/>
      <c r="R39" s="5"/>
      <c r="S39" s="5"/>
      <c r="T39" s="54"/>
      <c r="U39" s="12"/>
      <c r="V39" s="7" t="s">
        <v>28</v>
      </c>
      <c r="W39" s="5"/>
      <c r="X39" s="23" t="s">
        <v>281</v>
      </c>
      <c r="Y39" s="5"/>
      <c r="Z39" s="5"/>
      <c r="AA39" s="5"/>
      <c r="AB39" s="5"/>
      <c r="AC39" s="5"/>
    </row>
    <row r="40" spans="1:29" s="15" customFormat="1" ht="18.649999999999999" customHeight="1" x14ac:dyDescent="0.35">
      <c r="A40" s="4" t="s">
        <v>5</v>
      </c>
      <c r="B40" s="4" t="s">
        <v>4</v>
      </c>
      <c r="C40" s="4" t="s">
        <v>3</v>
      </c>
      <c r="D40" s="4" t="s">
        <v>2</v>
      </c>
      <c r="E40" s="5"/>
      <c r="F40" s="6" t="s">
        <v>157</v>
      </c>
      <c r="G40" s="5"/>
      <c r="H40" s="4">
        <v>3</v>
      </c>
      <c r="I40" s="5"/>
      <c r="J40" s="16" t="s">
        <v>66</v>
      </c>
      <c r="K40" s="16"/>
      <c r="L40" s="111">
        <v>10</v>
      </c>
      <c r="M40" s="111" t="s">
        <v>145</v>
      </c>
      <c r="N40" s="6"/>
      <c r="O40" s="6"/>
      <c r="P40" s="5"/>
      <c r="Q40" s="5"/>
      <c r="R40" s="5"/>
      <c r="S40" s="5"/>
      <c r="T40" s="54"/>
      <c r="U40" s="12"/>
      <c r="V40" s="7" t="s">
        <v>28</v>
      </c>
      <c r="W40" s="5"/>
      <c r="X40" s="23" t="s">
        <v>281</v>
      </c>
      <c r="Y40" s="5"/>
      <c r="Z40" s="5"/>
      <c r="AA40" s="5"/>
      <c r="AB40" s="5"/>
      <c r="AC40" s="5"/>
    </row>
    <row r="41" spans="1:29" s="15" customFormat="1" ht="18.649999999999999" customHeight="1" x14ac:dyDescent="0.35">
      <c r="A41" s="4" t="s">
        <v>5</v>
      </c>
      <c r="B41" s="4" t="s">
        <v>4</v>
      </c>
      <c r="C41" s="4" t="s">
        <v>3</v>
      </c>
      <c r="D41" s="4" t="s">
        <v>2</v>
      </c>
      <c r="E41" s="5"/>
      <c r="F41" s="6" t="s">
        <v>157</v>
      </c>
      <c r="G41" s="5"/>
      <c r="H41" s="4">
        <v>4</v>
      </c>
      <c r="I41" s="5"/>
      <c r="J41" s="16" t="s">
        <v>65</v>
      </c>
      <c r="K41" s="16"/>
      <c r="L41" s="111">
        <v>100</v>
      </c>
      <c r="M41" s="111" t="s">
        <v>145</v>
      </c>
      <c r="N41" s="6"/>
      <c r="O41" s="6"/>
      <c r="P41" s="5"/>
      <c r="Q41" s="5"/>
      <c r="R41" s="5"/>
      <c r="S41" s="5"/>
      <c r="T41" s="54"/>
      <c r="U41" s="12"/>
      <c r="V41" s="7" t="s">
        <v>28</v>
      </c>
      <c r="W41" s="5"/>
      <c r="X41" s="23" t="s">
        <v>281</v>
      </c>
      <c r="Y41" s="5"/>
      <c r="Z41" s="5"/>
      <c r="AA41" s="5"/>
      <c r="AB41" s="5"/>
      <c r="AC41" s="5"/>
    </row>
    <row r="42" spans="1:29" s="15" customFormat="1" ht="18.649999999999999" customHeight="1" x14ac:dyDescent="0.35">
      <c r="A42" s="4" t="s">
        <v>5</v>
      </c>
      <c r="B42" s="4" t="s">
        <v>4</v>
      </c>
      <c r="C42" s="4" t="s">
        <v>3</v>
      </c>
      <c r="D42" s="4" t="s">
        <v>2</v>
      </c>
      <c r="E42" s="5"/>
      <c r="F42" s="6" t="s">
        <v>157</v>
      </c>
      <c r="G42" s="5"/>
      <c r="H42" s="4">
        <v>5</v>
      </c>
      <c r="I42" s="5"/>
      <c r="J42" s="16" t="s">
        <v>64</v>
      </c>
      <c r="K42" s="16"/>
      <c r="L42" s="111">
        <v>20</v>
      </c>
      <c r="M42" s="111" t="s">
        <v>145</v>
      </c>
      <c r="N42" s="6"/>
      <c r="O42" s="6"/>
      <c r="P42" s="5"/>
      <c r="Q42" s="5"/>
      <c r="R42" s="5"/>
      <c r="S42" s="5"/>
      <c r="T42" s="54"/>
      <c r="U42" s="12"/>
      <c r="V42" s="7" t="s">
        <v>28</v>
      </c>
      <c r="W42" s="5"/>
      <c r="X42" s="23" t="s">
        <v>281</v>
      </c>
      <c r="Y42" s="5"/>
      <c r="Z42" s="5"/>
      <c r="AA42" s="5"/>
      <c r="AB42" s="5"/>
      <c r="AC42" s="5"/>
    </row>
    <row r="43" spans="1:29" s="15" customFormat="1" ht="17.5" customHeight="1" x14ac:dyDescent="0.35">
      <c r="A43" s="4" t="s">
        <v>5</v>
      </c>
      <c r="B43" s="4" t="s">
        <v>4</v>
      </c>
      <c r="C43" s="4" t="s">
        <v>3</v>
      </c>
      <c r="D43" s="4" t="s">
        <v>2</v>
      </c>
      <c r="E43" s="5"/>
      <c r="F43" s="6" t="s">
        <v>157</v>
      </c>
      <c r="G43" s="5"/>
      <c r="H43" s="4">
        <v>6</v>
      </c>
      <c r="I43" s="5"/>
      <c r="J43" s="16" t="s">
        <v>63</v>
      </c>
      <c r="K43" s="16"/>
      <c r="L43" s="111">
        <v>4</v>
      </c>
      <c r="M43" s="111" t="s">
        <v>145</v>
      </c>
      <c r="N43" s="6"/>
      <c r="O43" s="6"/>
      <c r="P43" s="5"/>
      <c r="Q43" s="5"/>
      <c r="R43" s="5"/>
      <c r="S43" s="5"/>
      <c r="T43" s="54"/>
      <c r="U43" s="12"/>
      <c r="V43" s="7" t="s">
        <v>28</v>
      </c>
      <c r="W43" s="5"/>
      <c r="X43" s="23" t="s">
        <v>281</v>
      </c>
      <c r="Y43" s="5"/>
      <c r="Z43" s="5"/>
      <c r="AA43" s="5"/>
      <c r="AB43" s="5"/>
      <c r="AC43" s="5"/>
    </row>
    <row r="44" spans="1:29" s="15" customFormat="1" ht="17.5" customHeight="1" x14ac:dyDescent="0.35">
      <c r="A44" s="4" t="s">
        <v>5</v>
      </c>
      <c r="B44" s="4" t="s">
        <v>4</v>
      </c>
      <c r="C44" s="4" t="s">
        <v>3</v>
      </c>
      <c r="D44" s="4" t="s">
        <v>2</v>
      </c>
      <c r="E44" s="5"/>
      <c r="F44" s="6" t="s">
        <v>157</v>
      </c>
      <c r="G44" s="5"/>
      <c r="H44" s="4">
        <v>7</v>
      </c>
      <c r="I44" s="5"/>
      <c r="J44" s="16" t="s">
        <v>62</v>
      </c>
      <c r="K44" s="16"/>
      <c r="L44" s="111">
        <v>4</v>
      </c>
      <c r="M44" s="111" t="s">
        <v>145</v>
      </c>
      <c r="N44" s="6"/>
      <c r="O44" s="6"/>
      <c r="P44" s="5"/>
      <c r="Q44" s="5"/>
      <c r="R44" s="5"/>
      <c r="S44" s="5"/>
      <c r="T44" s="54"/>
      <c r="U44" s="12"/>
      <c r="V44" s="7" t="s">
        <v>28</v>
      </c>
      <c r="W44" s="5"/>
      <c r="X44" s="23" t="s">
        <v>281</v>
      </c>
      <c r="Y44" s="5"/>
      <c r="Z44" s="5"/>
      <c r="AA44" s="5"/>
      <c r="AB44" s="5"/>
      <c r="AC44" s="5"/>
    </row>
    <row r="45" spans="1:29" s="15" customFormat="1" ht="20.5" customHeight="1" x14ac:dyDescent="0.35">
      <c r="A45" s="4" t="s">
        <v>5</v>
      </c>
      <c r="B45" s="4" t="s">
        <v>4</v>
      </c>
      <c r="C45" s="4" t="s">
        <v>3</v>
      </c>
      <c r="D45" s="4" t="s">
        <v>2</v>
      </c>
      <c r="E45" s="5"/>
      <c r="F45" s="6" t="s">
        <v>157</v>
      </c>
      <c r="G45" s="5"/>
      <c r="H45" s="4">
        <v>8</v>
      </c>
      <c r="I45" s="5"/>
      <c r="J45" s="16" t="s">
        <v>61</v>
      </c>
      <c r="K45" s="16"/>
      <c r="L45" s="111">
        <v>8</v>
      </c>
      <c r="M45" s="111" t="s">
        <v>145</v>
      </c>
      <c r="N45" s="6"/>
      <c r="O45" s="6"/>
      <c r="P45" s="5"/>
      <c r="Q45" s="5"/>
      <c r="R45" s="5"/>
      <c r="S45" s="5"/>
      <c r="T45" s="54"/>
      <c r="U45" s="12"/>
      <c r="V45" s="7" t="s">
        <v>28</v>
      </c>
      <c r="W45" s="5"/>
      <c r="X45" s="23" t="s">
        <v>281</v>
      </c>
      <c r="Y45" s="5"/>
      <c r="Z45" s="5"/>
      <c r="AA45" s="5"/>
      <c r="AB45" s="5"/>
      <c r="AC45" s="5"/>
    </row>
    <row r="46" spans="1:29" s="15" customFormat="1" ht="14.5" customHeight="1" x14ac:dyDescent="0.35">
      <c r="A46" s="4" t="s">
        <v>5</v>
      </c>
      <c r="B46" s="4" t="s">
        <v>4</v>
      </c>
      <c r="C46" s="4" t="s">
        <v>3</v>
      </c>
      <c r="D46" s="4" t="s">
        <v>2</v>
      </c>
      <c r="E46" s="5"/>
      <c r="F46" s="6" t="s">
        <v>157</v>
      </c>
      <c r="G46" s="5"/>
      <c r="H46" s="4">
        <v>9</v>
      </c>
      <c r="I46" s="5"/>
      <c r="J46" s="16" t="s">
        <v>60</v>
      </c>
      <c r="K46" s="16"/>
      <c r="L46" s="111">
        <v>5</v>
      </c>
      <c r="M46" s="111" t="s">
        <v>145</v>
      </c>
      <c r="N46" s="6"/>
      <c r="O46" s="6"/>
      <c r="P46" s="5"/>
      <c r="Q46" s="5"/>
      <c r="R46" s="5"/>
      <c r="S46" s="5"/>
      <c r="T46" s="54"/>
      <c r="U46" s="12"/>
      <c r="V46" s="7" t="s">
        <v>28</v>
      </c>
      <c r="W46" s="5"/>
      <c r="X46" s="23" t="s">
        <v>281</v>
      </c>
      <c r="Y46" s="5"/>
      <c r="Z46" s="5"/>
      <c r="AA46" s="5"/>
      <c r="AB46" s="5"/>
      <c r="AC46" s="5"/>
    </row>
    <row r="47" spans="1:29" s="15" customFormat="1" ht="14.5" customHeight="1" x14ac:dyDescent="0.35">
      <c r="A47" s="4" t="s">
        <v>5</v>
      </c>
      <c r="B47" s="4" t="s">
        <v>4</v>
      </c>
      <c r="C47" s="4" t="s">
        <v>3</v>
      </c>
      <c r="D47" s="4" t="s">
        <v>2</v>
      </c>
      <c r="E47" s="5"/>
      <c r="F47" s="6" t="s">
        <v>157</v>
      </c>
      <c r="G47" s="5"/>
      <c r="H47" s="4">
        <v>10</v>
      </c>
      <c r="I47" s="5"/>
      <c r="J47" s="16" t="s">
        <v>59</v>
      </c>
      <c r="K47" s="16"/>
      <c r="L47" s="111">
        <v>3</v>
      </c>
      <c r="M47" s="111" t="s">
        <v>145</v>
      </c>
      <c r="N47" s="6"/>
      <c r="O47" s="6"/>
      <c r="P47" s="5"/>
      <c r="Q47" s="5"/>
      <c r="R47" s="5"/>
      <c r="S47" s="5"/>
      <c r="T47" s="54"/>
      <c r="U47" s="12"/>
      <c r="V47" s="7" t="s">
        <v>28</v>
      </c>
      <c r="W47" s="5"/>
      <c r="X47" s="23" t="s">
        <v>281</v>
      </c>
      <c r="Y47" s="5"/>
      <c r="Z47" s="5"/>
      <c r="AA47" s="5"/>
      <c r="AB47" s="5"/>
      <c r="AC47" s="5"/>
    </row>
    <row r="48" spans="1:29" s="15" customFormat="1" x14ac:dyDescent="0.35">
      <c r="A48" s="4" t="s">
        <v>5</v>
      </c>
      <c r="B48" s="4" t="s">
        <v>4</v>
      </c>
      <c r="C48" s="4" t="s">
        <v>3</v>
      </c>
      <c r="D48" s="4" t="s">
        <v>2</v>
      </c>
      <c r="E48" s="5"/>
      <c r="F48" s="6" t="s">
        <v>157</v>
      </c>
      <c r="G48" s="5"/>
      <c r="H48" s="4">
        <v>11</v>
      </c>
      <c r="I48" s="5"/>
      <c r="J48" s="16" t="s">
        <v>58</v>
      </c>
      <c r="K48" s="16"/>
      <c r="L48" s="111">
        <v>1</v>
      </c>
      <c r="M48" s="111" t="s">
        <v>145</v>
      </c>
      <c r="N48" s="6"/>
      <c r="O48" s="6"/>
      <c r="P48" s="5"/>
      <c r="Q48" s="5"/>
      <c r="R48" s="5"/>
      <c r="S48" s="5"/>
      <c r="T48" s="54"/>
      <c r="U48" s="12"/>
      <c r="V48" s="7" t="s">
        <v>28</v>
      </c>
      <c r="W48" s="5"/>
      <c r="X48" s="23" t="s">
        <v>281</v>
      </c>
      <c r="Y48" s="5"/>
      <c r="Z48" s="5"/>
      <c r="AA48" s="5"/>
      <c r="AB48" s="5"/>
      <c r="AC48" s="5"/>
    </row>
    <row r="49" spans="1:29" s="15" customFormat="1" ht="14.5" customHeight="1" x14ac:dyDescent="0.35">
      <c r="A49" s="4" t="s">
        <v>5</v>
      </c>
      <c r="B49" s="4" t="s">
        <v>4</v>
      </c>
      <c r="C49" s="4" t="s">
        <v>3</v>
      </c>
      <c r="D49" s="4" t="s">
        <v>2</v>
      </c>
      <c r="E49" s="5"/>
      <c r="F49" s="6" t="s">
        <v>157</v>
      </c>
      <c r="G49" s="5"/>
      <c r="H49" s="4">
        <v>12</v>
      </c>
      <c r="I49" s="5"/>
      <c r="J49" s="16" t="s">
        <v>57</v>
      </c>
      <c r="K49" s="16"/>
      <c r="L49" s="111">
        <v>5</v>
      </c>
      <c r="M49" s="111" t="s">
        <v>145</v>
      </c>
      <c r="N49" s="6"/>
      <c r="O49" s="6"/>
      <c r="P49" s="5"/>
      <c r="Q49" s="5"/>
      <c r="R49" s="5"/>
      <c r="S49" s="5"/>
      <c r="T49" s="54"/>
      <c r="U49" s="12"/>
      <c r="V49" s="7" t="s">
        <v>28</v>
      </c>
      <c r="W49" s="5"/>
      <c r="X49" s="23" t="s">
        <v>281</v>
      </c>
      <c r="Y49" s="5"/>
      <c r="Z49" s="5"/>
      <c r="AA49" s="5"/>
      <c r="AB49" s="5"/>
      <c r="AC49" s="5"/>
    </row>
    <row r="50" spans="1:29" s="15" customFormat="1" ht="14.5" customHeight="1" x14ac:dyDescent="0.35">
      <c r="A50" s="4" t="s">
        <v>5</v>
      </c>
      <c r="B50" s="4" t="s">
        <v>4</v>
      </c>
      <c r="C50" s="4" t="s">
        <v>3</v>
      </c>
      <c r="D50" s="4" t="s">
        <v>2</v>
      </c>
      <c r="E50" s="5"/>
      <c r="F50" s="6" t="s">
        <v>157</v>
      </c>
      <c r="G50" s="5"/>
      <c r="H50" s="4">
        <v>13</v>
      </c>
      <c r="I50" s="5"/>
      <c r="J50" s="16" t="s">
        <v>56</v>
      </c>
      <c r="K50" s="16"/>
      <c r="L50" s="111">
        <v>5</v>
      </c>
      <c r="M50" s="111" t="s">
        <v>145</v>
      </c>
      <c r="N50" s="6"/>
      <c r="O50" s="6"/>
      <c r="P50" s="5"/>
      <c r="Q50" s="5"/>
      <c r="R50" s="5"/>
      <c r="S50" s="5"/>
      <c r="T50" s="54"/>
      <c r="U50" s="12"/>
      <c r="V50" s="7" t="s">
        <v>28</v>
      </c>
      <c r="W50" s="5"/>
      <c r="X50" s="23" t="s">
        <v>281</v>
      </c>
      <c r="Y50" s="5"/>
      <c r="Z50" s="5"/>
      <c r="AA50" s="5"/>
      <c r="AB50" s="5"/>
      <c r="AC50" s="5"/>
    </row>
    <row r="51" spans="1:29" s="15" customFormat="1" ht="14.5" customHeight="1" x14ac:dyDescent="0.35">
      <c r="A51" s="4" t="s">
        <v>5</v>
      </c>
      <c r="B51" s="4" t="s">
        <v>4</v>
      </c>
      <c r="C51" s="4" t="s">
        <v>3</v>
      </c>
      <c r="D51" s="4" t="s">
        <v>2</v>
      </c>
      <c r="E51" s="5"/>
      <c r="F51" s="6" t="s">
        <v>157</v>
      </c>
      <c r="G51" s="5"/>
      <c r="H51" s="4">
        <v>14</v>
      </c>
      <c r="I51" s="5"/>
      <c r="J51" s="16" t="s">
        <v>55</v>
      </c>
      <c r="K51" s="16"/>
      <c r="L51" s="111">
        <v>5</v>
      </c>
      <c r="M51" s="111" t="s">
        <v>145</v>
      </c>
      <c r="N51" s="6"/>
      <c r="O51" s="6"/>
      <c r="P51" s="5"/>
      <c r="Q51" s="5"/>
      <c r="R51" s="5"/>
      <c r="S51" s="5"/>
      <c r="T51" s="54"/>
      <c r="U51" s="12"/>
      <c r="V51" s="7" t="s">
        <v>28</v>
      </c>
      <c r="W51" s="5"/>
      <c r="X51" s="23" t="s">
        <v>281</v>
      </c>
      <c r="Y51" s="5"/>
      <c r="Z51" s="5"/>
      <c r="AA51" s="5"/>
      <c r="AB51" s="5"/>
      <c r="AC51" s="5"/>
    </row>
    <row r="52" spans="1:29" s="15" customFormat="1" ht="14.5" customHeight="1" x14ac:dyDescent="0.35">
      <c r="A52" s="4" t="s">
        <v>5</v>
      </c>
      <c r="B52" s="4" t="s">
        <v>4</v>
      </c>
      <c r="C52" s="4" t="s">
        <v>3</v>
      </c>
      <c r="D52" s="4" t="s">
        <v>2</v>
      </c>
      <c r="E52" s="5"/>
      <c r="F52" s="6" t="s">
        <v>157</v>
      </c>
      <c r="G52" s="5"/>
      <c r="H52" s="4">
        <v>15</v>
      </c>
      <c r="I52" s="5"/>
      <c r="J52" s="16" t="s">
        <v>54</v>
      </c>
      <c r="K52" s="16"/>
      <c r="L52" s="111">
        <v>5</v>
      </c>
      <c r="M52" s="111" t="s">
        <v>145</v>
      </c>
      <c r="N52" s="6"/>
      <c r="O52" s="6"/>
      <c r="P52" s="5"/>
      <c r="Q52" s="5"/>
      <c r="R52" s="5"/>
      <c r="S52" s="5"/>
      <c r="T52" s="54"/>
      <c r="U52" s="12"/>
      <c r="V52" s="7" t="s">
        <v>28</v>
      </c>
      <c r="W52" s="5"/>
      <c r="X52" s="23" t="s">
        <v>281</v>
      </c>
      <c r="Y52" s="5"/>
      <c r="Z52" s="5"/>
      <c r="AA52" s="5"/>
      <c r="AB52" s="5"/>
      <c r="AC52" s="5"/>
    </row>
    <row r="53" spans="1:29" s="15" customFormat="1" ht="14.5" customHeight="1" x14ac:dyDescent="0.35">
      <c r="A53" s="4" t="s">
        <v>5</v>
      </c>
      <c r="B53" s="4" t="s">
        <v>4</v>
      </c>
      <c r="C53" s="4" t="s">
        <v>3</v>
      </c>
      <c r="D53" s="4" t="s">
        <v>2</v>
      </c>
      <c r="E53" s="5"/>
      <c r="F53" s="6" t="s">
        <v>157</v>
      </c>
      <c r="G53" s="5"/>
      <c r="H53" s="4">
        <v>16</v>
      </c>
      <c r="I53" s="5"/>
      <c r="J53" s="16" t="s">
        <v>53</v>
      </c>
      <c r="K53" s="16"/>
      <c r="L53" s="111">
        <v>5</v>
      </c>
      <c r="M53" s="111" t="s">
        <v>145</v>
      </c>
      <c r="N53" s="6"/>
      <c r="O53" s="6"/>
      <c r="P53" s="5"/>
      <c r="Q53" s="5"/>
      <c r="R53" s="5"/>
      <c r="S53" s="5"/>
      <c r="T53" s="54"/>
      <c r="U53" s="12"/>
      <c r="V53" s="7" t="s">
        <v>28</v>
      </c>
      <c r="W53" s="5"/>
      <c r="X53" s="23" t="s">
        <v>281</v>
      </c>
      <c r="Y53" s="5"/>
      <c r="Z53" s="5"/>
      <c r="AA53" s="5"/>
      <c r="AB53" s="5"/>
      <c r="AC53" s="5"/>
    </row>
    <row r="54" spans="1:29" s="15" customFormat="1" ht="14.5" customHeight="1" x14ac:dyDescent="0.35">
      <c r="A54" s="4" t="s">
        <v>5</v>
      </c>
      <c r="B54" s="4" t="s">
        <v>4</v>
      </c>
      <c r="C54" s="4" t="s">
        <v>3</v>
      </c>
      <c r="D54" s="4" t="s">
        <v>2</v>
      </c>
      <c r="E54" s="5"/>
      <c r="F54" s="6" t="s">
        <v>157</v>
      </c>
      <c r="G54" s="5"/>
      <c r="H54" s="4">
        <v>17</v>
      </c>
      <c r="I54" s="5"/>
      <c r="J54" s="16" t="s">
        <v>52</v>
      </c>
      <c r="K54" s="16"/>
      <c r="L54" s="111">
        <v>10</v>
      </c>
      <c r="M54" s="111" t="s">
        <v>145</v>
      </c>
      <c r="N54" s="6"/>
      <c r="O54" s="6"/>
      <c r="P54" s="5"/>
      <c r="Q54" s="5"/>
      <c r="R54" s="5"/>
      <c r="S54" s="5"/>
      <c r="T54" s="54"/>
      <c r="U54" s="12"/>
      <c r="V54" s="7" t="s">
        <v>28</v>
      </c>
      <c r="W54" s="5"/>
      <c r="X54" s="23" t="s">
        <v>281</v>
      </c>
      <c r="Y54" s="5"/>
      <c r="Z54" s="5"/>
      <c r="AA54" s="5"/>
      <c r="AB54" s="5"/>
      <c r="AC54" s="5"/>
    </row>
    <row r="55" spans="1:29" s="15" customFormat="1" ht="14.5" customHeight="1" x14ac:dyDescent="0.35">
      <c r="A55" s="4" t="s">
        <v>5</v>
      </c>
      <c r="B55" s="4" t="s">
        <v>4</v>
      </c>
      <c r="C55" s="4" t="s">
        <v>3</v>
      </c>
      <c r="D55" s="4" t="s">
        <v>2</v>
      </c>
      <c r="E55" s="5"/>
      <c r="F55" s="6" t="s">
        <v>157</v>
      </c>
      <c r="G55" s="5"/>
      <c r="H55" s="4">
        <v>18</v>
      </c>
      <c r="I55" s="5"/>
      <c r="J55" s="16" t="s">
        <v>51</v>
      </c>
      <c r="K55" s="16"/>
      <c r="L55" s="111">
        <v>1</v>
      </c>
      <c r="M55" s="111" t="s">
        <v>145</v>
      </c>
      <c r="N55" s="6"/>
      <c r="O55" s="6"/>
      <c r="P55" s="5"/>
      <c r="Q55" s="5"/>
      <c r="R55" s="5"/>
      <c r="S55" s="5"/>
      <c r="T55" s="54"/>
      <c r="U55" s="12"/>
      <c r="V55" s="7" t="s">
        <v>28</v>
      </c>
      <c r="W55" s="5"/>
      <c r="X55" s="23" t="s">
        <v>281</v>
      </c>
      <c r="Y55" s="5"/>
      <c r="Z55" s="5"/>
      <c r="AA55" s="5"/>
      <c r="AB55" s="5"/>
      <c r="AC55" s="5"/>
    </row>
    <row r="56" spans="1:29" s="15" customFormat="1" ht="14.5" customHeight="1" x14ac:dyDescent="0.35">
      <c r="A56" s="4" t="s">
        <v>5</v>
      </c>
      <c r="B56" s="4" t="s">
        <v>4</v>
      </c>
      <c r="C56" s="4" t="s">
        <v>3</v>
      </c>
      <c r="D56" s="4" t="s">
        <v>2</v>
      </c>
      <c r="E56" s="5"/>
      <c r="F56" s="6" t="s">
        <v>157</v>
      </c>
      <c r="G56" s="5"/>
      <c r="H56" s="4">
        <v>19</v>
      </c>
      <c r="I56" s="5"/>
      <c r="J56" s="16" t="s">
        <v>50</v>
      </c>
      <c r="K56" s="16"/>
      <c r="L56" s="111">
        <v>1</v>
      </c>
      <c r="M56" s="111" t="s">
        <v>145</v>
      </c>
      <c r="N56" s="6"/>
      <c r="O56" s="6"/>
      <c r="P56" s="5"/>
      <c r="Q56" s="5"/>
      <c r="R56" s="5"/>
      <c r="S56" s="5"/>
      <c r="T56" s="54"/>
      <c r="U56" s="12"/>
      <c r="V56" s="7" t="s">
        <v>28</v>
      </c>
      <c r="W56" s="5"/>
      <c r="X56" s="23" t="s">
        <v>281</v>
      </c>
      <c r="Y56" s="5"/>
      <c r="Z56" s="5"/>
      <c r="AA56" s="5"/>
      <c r="AB56" s="5"/>
      <c r="AC56" s="5"/>
    </row>
    <row r="57" spans="1:29" s="15" customFormat="1" ht="14.5" customHeight="1" x14ac:dyDescent="0.35">
      <c r="A57" s="4" t="s">
        <v>5</v>
      </c>
      <c r="B57" s="4" t="s">
        <v>4</v>
      </c>
      <c r="C57" s="4" t="s">
        <v>3</v>
      </c>
      <c r="D57" s="4" t="s">
        <v>2</v>
      </c>
      <c r="E57" s="5"/>
      <c r="F57" s="6" t="s">
        <v>157</v>
      </c>
      <c r="G57" s="5"/>
      <c r="H57" s="4">
        <v>20</v>
      </c>
      <c r="I57" s="5"/>
      <c r="J57" s="16" t="s">
        <v>49</v>
      </c>
      <c r="K57" s="16"/>
      <c r="L57" s="111">
        <v>1</v>
      </c>
      <c r="M57" s="111" t="s">
        <v>145</v>
      </c>
      <c r="N57" s="6"/>
      <c r="O57" s="6"/>
      <c r="P57" s="5"/>
      <c r="Q57" s="5"/>
      <c r="R57" s="5"/>
      <c r="S57" s="5"/>
      <c r="T57" s="54"/>
      <c r="U57" s="12"/>
      <c r="V57" s="7" t="s">
        <v>28</v>
      </c>
      <c r="W57" s="5"/>
      <c r="X57" s="23" t="s">
        <v>281</v>
      </c>
      <c r="Y57" s="5"/>
      <c r="Z57" s="5"/>
      <c r="AA57" s="5"/>
      <c r="AB57" s="5"/>
      <c r="AC57" s="5"/>
    </row>
    <row r="58" spans="1:29" s="15" customFormat="1" ht="14.5" customHeight="1" x14ac:dyDescent="0.35">
      <c r="A58" s="4" t="s">
        <v>5</v>
      </c>
      <c r="B58" s="4" t="s">
        <v>4</v>
      </c>
      <c r="C58" s="4" t="s">
        <v>3</v>
      </c>
      <c r="D58" s="4" t="s">
        <v>2</v>
      </c>
      <c r="E58" s="5"/>
      <c r="F58" s="6" t="s">
        <v>157</v>
      </c>
      <c r="G58" s="5"/>
      <c r="H58" s="4">
        <v>21</v>
      </c>
      <c r="I58" s="5"/>
      <c r="J58" s="16" t="s">
        <v>48</v>
      </c>
      <c r="K58" s="16"/>
      <c r="L58" s="111">
        <v>1</v>
      </c>
      <c r="M58" s="111" t="s">
        <v>145</v>
      </c>
      <c r="N58" s="6"/>
      <c r="O58" s="6"/>
      <c r="P58" s="5"/>
      <c r="Q58" s="5"/>
      <c r="R58" s="5"/>
      <c r="S58" s="5"/>
      <c r="T58" s="54"/>
      <c r="U58" s="12"/>
      <c r="V58" s="7" t="s">
        <v>28</v>
      </c>
      <c r="W58" s="5"/>
      <c r="X58" s="23" t="s">
        <v>281</v>
      </c>
      <c r="Y58" s="5"/>
      <c r="Z58" s="5"/>
      <c r="AA58" s="5"/>
      <c r="AB58" s="5"/>
      <c r="AC58" s="5"/>
    </row>
    <row r="59" spans="1:29" s="15" customFormat="1" ht="14.5" customHeight="1" x14ac:dyDescent="0.35">
      <c r="A59" s="4" t="s">
        <v>5</v>
      </c>
      <c r="B59" s="4" t="s">
        <v>4</v>
      </c>
      <c r="C59" s="4" t="s">
        <v>3</v>
      </c>
      <c r="D59" s="4" t="s">
        <v>2</v>
      </c>
      <c r="E59" s="5"/>
      <c r="F59" s="6" t="s">
        <v>157</v>
      </c>
      <c r="G59" s="5"/>
      <c r="H59" s="4">
        <v>22</v>
      </c>
      <c r="I59" s="5"/>
      <c r="J59" s="16" t="s">
        <v>47</v>
      </c>
      <c r="K59" s="16"/>
      <c r="L59" s="111">
        <v>4</v>
      </c>
      <c r="M59" s="111" t="s">
        <v>145</v>
      </c>
      <c r="N59" s="6"/>
      <c r="O59" s="6"/>
      <c r="P59" s="5"/>
      <c r="Q59" s="5"/>
      <c r="R59" s="5"/>
      <c r="S59" s="5"/>
      <c r="T59" s="54"/>
      <c r="U59" s="12"/>
      <c r="V59" s="7" t="s">
        <v>28</v>
      </c>
      <c r="W59" s="5"/>
      <c r="X59" s="23" t="s">
        <v>281</v>
      </c>
      <c r="Y59" s="5"/>
      <c r="Z59" s="5"/>
      <c r="AA59" s="5"/>
      <c r="AB59" s="5"/>
      <c r="AC59" s="5"/>
    </row>
    <row r="60" spans="1:29" s="15" customFormat="1" ht="14.5" customHeight="1" x14ac:dyDescent="0.35">
      <c r="A60" s="4" t="s">
        <v>5</v>
      </c>
      <c r="B60" s="4" t="s">
        <v>4</v>
      </c>
      <c r="C60" s="4" t="s">
        <v>3</v>
      </c>
      <c r="D60" s="4" t="s">
        <v>2</v>
      </c>
      <c r="E60" s="5"/>
      <c r="F60" s="6" t="s">
        <v>157</v>
      </c>
      <c r="G60" s="5"/>
      <c r="H60" s="4">
        <v>23</v>
      </c>
      <c r="I60" s="5"/>
      <c r="J60" s="16" t="s">
        <v>46</v>
      </c>
      <c r="K60" s="16"/>
      <c r="L60" s="111">
        <v>4</v>
      </c>
      <c r="M60" s="111" t="s">
        <v>145</v>
      </c>
      <c r="N60" s="6"/>
      <c r="O60" s="6"/>
      <c r="P60" s="5"/>
      <c r="Q60" s="5"/>
      <c r="R60" s="5"/>
      <c r="S60" s="5"/>
      <c r="T60" s="54"/>
      <c r="U60" s="12"/>
      <c r="V60" s="7" t="s">
        <v>28</v>
      </c>
      <c r="W60" s="5"/>
      <c r="X60" s="23" t="s">
        <v>281</v>
      </c>
      <c r="Y60" s="5"/>
      <c r="Z60" s="5"/>
      <c r="AA60" s="5"/>
      <c r="AB60" s="5"/>
      <c r="AC60" s="5"/>
    </row>
    <row r="61" spans="1:29" s="15" customFormat="1" ht="14.5" customHeight="1" x14ac:dyDescent="0.35">
      <c r="A61" s="4" t="s">
        <v>5</v>
      </c>
      <c r="B61" s="4" t="s">
        <v>4</v>
      </c>
      <c r="C61" s="4" t="s">
        <v>3</v>
      </c>
      <c r="D61" s="4" t="s">
        <v>2</v>
      </c>
      <c r="E61" s="5"/>
      <c r="F61" s="6" t="s">
        <v>157</v>
      </c>
      <c r="G61" s="5"/>
      <c r="H61" s="4">
        <v>24</v>
      </c>
      <c r="I61" s="5"/>
      <c r="J61" s="16" t="s">
        <v>45</v>
      </c>
      <c r="K61" s="16"/>
      <c r="L61" s="111">
        <v>15</v>
      </c>
      <c r="M61" s="111" t="s">
        <v>145</v>
      </c>
      <c r="N61" s="6"/>
      <c r="O61" s="6"/>
      <c r="P61" s="5"/>
      <c r="Q61" s="5"/>
      <c r="R61" s="5"/>
      <c r="S61" s="5"/>
      <c r="T61" s="54"/>
      <c r="U61" s="12"/>
      <c r="V61" s="7" t="s">
        <v>28</v>
      </c>
      <c r="W61" s="5"/>
      <c r="X61" s="23" t="s">
        <v>281</v>
      </c>
      <c r="Y61" s="5"/>
      <c r="Z61" s="5"/>
      <c r="AA61" s="5"/>
      <c r="AB61" s="5"/>
      <c r="AC61" s="5"/>
    </row>
    <row r="62" spans="1:29" s="15" customFormat="1" ht="14.5" customHeight="1" x14ac:dyDescent="0.35">
      <c r="A62" s="4" t="s">
        <v>5</v>
      </c>
      <c r="B62" s="4" t="s">
        <v>4</v>
      </c>
      <c r="C62" s="4" t="s">
        <v>3</v>
      </c>
      <c r="D62" s="4" t="s">
        <v>2</v>
      </c>
      <c r="E62" s="5"/>
      <c r="F62" s="6" t="s">
        <v>157</v>
      </c>
      <c r="G62" s="5"/>
      <c r="H62" s="4">
        <v>25</v>
      </c>
      <c r="I62" s="5"/>
      <c r="J62" s="16" t="s">
        <v>44</v>
      </c>
      <c r="K62" s="16"/>
      <c r="L62" s="111">
        <v>10</v>
      </c>
      <c r="M62" s="111" t="s">
        <v>145</v>
      </c>
      <c r="N62" s="6"/>
      <c r="O62" s="6"/>
      <c r="P62" s="5"/>
      <c r="Q62" s="5"/>
      <c r="R62" s="5"/>
      <c r="S62" s="5"/>
      <c r="T62" s="54"/>
      <c r="U62" s="12"/>
      <c r="V62" s="7" t="s">
        <v>28</v>
      </c>
      <c r="W62" s="5"/>
      <c r="X62" s="23" t="s">
        <v>281</v>
      </c>
      <c r="Y62" s="5"/>
      <c r="Z62" s="5"/>
      <c r="AA62" s="5"/>
      <c r="AB62" s="5"/>
      <c r="AC62" s="5"/>
    </row>
    <row r="63" spans="1:29" s="28" customFormat="1" ht="14.5" customHeight="1" x14ac:dyDescent="0.35">
      <c r="A63" s="4" t="s">
        <v>5</v>
      </c>
      <c r="B63" s="4" t="s">
        <v>4</v>
      </c>
      <c r="C63" s="4" t="s">
        <v>3</v>
      </c>
      <c r="D63" s="4" t="s">
        <v>2</v>
      </c>
      <c r="E63" s="5"/>
      <c r="F63" s="6" t="s">
        <v>157</v>
      </c>
      <c r="G63" s="5"/>
      <c r="H63" s="4">
        <v>26</v>
      </c>
      <c r="I63" s="5"/>
      <c r="J63" s="16" t="s">
        <v>43</v>
      </c>
      <c r="K63" s="16"/>
      <c r="L63" s="111">
        <v>1</v>
      </c>
      <c r="M63" s="111" t="s">
        <v>145</v>
      </c>
      <c r="N63" s="6"/>
      <c r="O63" s="6"/>
      <c r="P63" s="5"/>
      <c r="Q63" s="5"/>
      <c r="R63" s="5"/>
      <c r="S63" s="5"/>
      <c r="T63" s="55"/>
      <c r="U63" s="12"/>
      <c r="V63" s="7" t="s">
        <v>28</v>
      </c>
      <c r="W63" s="5"/>
      <c r="X63" s="23" t="s">
        <v>281</v>
      </c>
      <c r="Y63" s="5"/>
      <c r="Z63" s="5"/>
      <c r="AA63" s="5"/>
      <c r="AB63" s="5"/>
      <c r="AC63" s="5"/>
    </row>
    <row r="64" spans="1:29" s="28" customFormat="1" ht="14.5" customHeight="1" x14ac:dyDescent="0.35">
      <c r="A64" s="4" t="s">
        <v>5</v>
      </c>
      <c r="B64" s="4" t="s">
        <v>4</v>
      </c>
      <c r="C64" s="4" t="s">
        <v>3</v>
      </c>
      <c r="D64" s="4" t="s">
        <v>2</v>
      </c>
      <c r="E64" s="5"/>
      <c r="F64" s="6" t="s">
        <v>157</v>
      </c>
      <c r="G64" s="5"/>
      <c r="H64" s="4">
        <v>27</v>
      </c>
      <c r="I64" s="5"/>
      <c r="J64" s="16" t="s">
        <v>42</v>
      </c>
      <c r="K64" s="16"/>
      <c r="L64" s="111">
        <v>1</v>
      </c>
      <c r="M64" s="111" t="s">
        <v>145</v>
      </c>
      <c r="N64" s="6"/>
      <c r="O64" s="6"/>
      <c r="P64" s="5"/>
      <c r="Q64" s="5"/>
      <c r="R64" s="5"/>
      <c r="S64" s="5"/>
      <c r="T64" s="55"/>
      <c r="U64" s="12"/>
      <c r="V64" s="7" t="s">
        <v>28</v>
      </c>
      <c r="W64" s="5"/>
      <c r="X64" s="23" t="s">
        <v>281</v>
      </c>
      <c r="Y64" s="5"/>
      <c r="Z64" s="5"/>
      <c r="AA64" s="5"/>
      <c r="AB64" s="5"/>
      <c r="AC64" s="5"/>
    </row>
    <row r="65" spans="1:29" s="28" customFormat="1" ht="14.5" customHeight="1" x14ac:dyDescent="0.35">
      <c r="A65" s="4" t="s">
        <v>5</v>
      </c>
      <c r="B65" s="4" t="s">
        <v>4</v>
      </c>
      <c r="C65" s="4" t="s">
        <v>3</v>
      </c>
      <c r="D65" s="4" t="s">
        <v>2</v>
      </c>
      <c r="E65" s="5"/>
      <c r="F65" s="6" t="s">
        <v>157</v>
      </c>
      <c r="G65" s="5"/>
      <c r="H65" s="4">
        <v>28</v>
      </c>
      <c r="I65" s="5"/>
      <c r="J65" s="16" t="s">
        <v>41</v>
      </c>
      <c r="K65" s="16"/>
      <c r="L65" s="111">
        <v>125</v>
      </c>
      <c r="M65" s="111" t="s">
        <v>145</v>
      </c>
      <c r="N65" s="6"/>
      <c r="O65" s="6"/>
      <c r="P65" s="5"/>
      <c r="Q65" s="5"/>
      <c r="R65" s="5"/>
      <c r="S65" s="5"/>
      <c r="T65" s="55"/>
      <c r="U65" s="12"/>
      <c r="V65" s="7" t="s">
        <v>28</v>
      </c>
      <c r="W65" s="5"/>
      <c r="X65" s="23" t="s">
        <v>281</v>
      </c>
      <c r="Y65" s="5"/>
      <c r="Z65" s="5"/>
      <c r="AA65" s="5"/>
      <c r="AB65" s="5"/>
      <c r="AC65" s="5"/>
    </row>
    <row r="66" spans="1:29" s="28" customFormat="1" ht="14.5" customHeight="1" x14ac:dyDescent="0.35">
      <c r="A66" s="4" t="s">
        <v>5</v>
      </c>
      <c r="B66" s="4" t="s">
        <v>4</v>
      </c>
      <c r="C66" s="4" t="s">
        <v>3</v>
      </c>
      <c r="D66" s="4" t="s">
        <v>2</v>
      </c>
      <c r="E66" s="5"/>
      <c r="F66" s="6" t="s">
        <v>157</v>
      </c>
      <c r="G66" s="5"/>
      <c r="H66" s="4">
        <v>29</v>
      </c>
      <c r="I66" s="5"/>
      <c r="J66" s="16" t="s">
        <v>40</v>
      </c>
      <c r="K66" s="16"/>
      <c r="L66" s="111">
        <v>150</v>
      </c>
      <c r="M66" s="111" t="s">
        <v>145</v>
      </c>
      <c r="N66" s="6"/>
      <c r="O66" s="6"/>
      <c r="P66" s="5"/>
      <c r="Q66" s="5"/>
      <c r="R66" s="5"/>
      <c r="S66" s="5"/>
      <c r="T66" s="55"/>
      <c r="U66" s="12"/>
      <c r="V66" s="7" t="s">
        <v>28</v>
      </c>
      <c r="W66" s="5"/>
      <c r="X66" s="23" t="s">
        <v>281</v>
      </c>
      <c r="Y66" s="5"/>
      <c r="Z66" s="5"/>
      <c r="AA66" s="5"/>
      <c r="AB66" s="5"/>
      <c r="AC66" s="5"/>
    </row>
    <row r="67" spans="1:29" s="28" customFormat="1" ht="14.5" customHeight="1" x14ac:dyDescent="0.35">
      <c r="A67" s="4" t="s">
        <v>5</v>
      </c>
      <c r="B67" s="4" t="s">
        <v>4</v>
      </c>
      <c r="C67" s="4" t="s">
        <v>3</v>
      </c>
      <c r="D67" s="4" t="s">
        <v>2</v>
      </c>
      <c r="E67" s="5"/>
      <c r="F67" s="6" t="s">
        <v>157</v>
      </c>
      <c r="G67" s="5"/>
      <c r="H67" s="4">
        <v>30</v>
      </c>
      <c r="I67" s="5"/>
      <c r="J67" s="16" t="s">
        <v>39</v>
      </c>
      <c r="K67" s="16"/>
      <c r="L67" s="111">
        <v>3</v>
      </c>
      <c r="M67" s="111" t="s">
        <v>145</v>
      </c>
      <c r="N67" s="6"/>
      <c r="O67" s="6"/>
      <c r="P67" s="5"/>
      <c r="Q67" s="5"/>
      <c r="R67" s="5"/>
      <c r="S67" s="5"/>
      <c r="T67" s="55"/>
      <c r="U67" s="12"/>
      <c r="V67" s="7" t="s">
        <v>28</v>
      </c>
      <c r="W67" s="5"/>
      <c r="X67" s="23" t="s">
        <v>281</v>
      </c>
      <c r="Y67" s="5"/>
      <c r="Z67" s="5"/>
      <c r="AA67" s="5"/>
      <c r="AB67" s="5"/>
      <c r="AC67" s="5"/>
    </row>
    <row r="68" spans="1:29" s="28" customFormat="1" ht="14.5" customHeight="1" x14ac:dyDescent="0.35">
      <c r="A68" s="4" t="s">
        <v>5</v>
      </c>
      <c r="B68" s="4" t="s">
        <v>4</v>
      </c>
      <c r="C68" s="4" t="s">
        <v>3</v>
      </c>
      <c r="D68" s="4" t="s">
        <v>2</v>
      </c>
      <c r="E68" s="5"/>
      <c r="F68" s="6" t="s">
        <v>157</v>
      </c>
      <c r="G68" s="5"/>
      <c r="H68" s="4">
        <v>31</v>
      </c>
      <c r="I68" s="5"/>
      <c r="J68" s="16" t="s">
        <v>38</v>
      </c>
      <c r="K68" s="16"/>
      <c r="L68" s="111">
        <v>1</v>
      </c>
      <c r="M68" s="111" t="s">
        <v>145</v>
      </c>
      <c r="N68" s="6"/>
      <c r="O68" s="6"/>
      <c r="P68" s="5"/>
      <c r="Q68" s="5"/>
      <c r="R68" s="5"/>
      <c r="S68" s="5"/>
      <c r="T68" s="55"/>
      <c r="U68" s="12"/>
      <c r="V68" s="7" t="s">
        <v>28</v>
      </c>
      <c r="W68" s="5"/>
      <c r="X68" s="23" t="s">
        <v>281</v>
      </c>
      <c r="Y68" s="5"/>
      <c r="Z68" s="5"/>
      <c r="AA68" s="5"/>
      <c r="AB68" s="5"/>
      <c r="AC68" s="5"/>
    </row>
    <row r="69" spans="1:29" s="28" customFormat="1" ht="14.5" customHeight="1" x14ac:dyDescent="0.35">
      <c r="A69" s="4" t="s">
        <v>5</v>
      </c>
      <c r="B69" s="4" t="s">
        <v>4</v>
      </c>
      <c r="C69" s="4" t="s">
        <v>3</v>
      </c>
      <c r="D69" s="4" t="s">
        <v>2</v>
      </c>
      <c r="E69" s="5"/>
      <c r="F69" s="6" t="s">
        <v>157</v>
      </c>
      <c r="G69" s="5"/>
      <c r="H69" s="4">
        <v>32</v>
      </c>
      <c r="I69" s="5"/>
      <c r="J69" s="16" t="s">
        <v>37</v>
      </c>
      <c r="K69" s="16"/>
      <c r="L69" s="111">
        <v>5</v>
      </c>
      <c r="M69" s="111" t="s">
        <v>145</v>
      </c>
      <c r="N69" s="6"/>
      <c r="O69" s="6"/>
      <c r="P69" s="5"/>
      <c r="Q69" s="5"/>
      <c r="R69" s="5"/>
      <c r="S69" s="5"/>
      <c r="T69" s="55"/>
      <c r="U69" s="12"/>
      <c r="V69" s="7" t="s">
        <v>28</v>
      </c>
      <c r="W69" s="5"/>
      <c r="X69" s="23" t="s">
        <v>281</v>
      </c>
      <c r="Y69" s="5"/>
      <c r="Z69" s="5"/>
      <c r="AA69" s="5"/>
      <c r="AB69" s="5"/>
      <c r="AC69" s="5"/>
    </row>
    <row r="70" spans="1:29" s="28" customFormat="1" ht="14.5" customHeight="1" x14ac:dyDescent="0.35">
      <c r="A70" s="4" t="s">
        <v>5</v>
      </c>
      <c r="B70" s="4" t="s">
        <v>4</v>
      </c>
      <c r="C70" s="4" t="s">
        <v>3</v>
      </c>
      <c r="D70" s="4" t="s">
        <v>2</v>
      </c>
      <c r="E70" s="5"/>
      <c r="F70" s="6" t="s">
        <v>157</v>
      </c>
      <c r="G70" s="5"/>
      <c r="H70" s="4">
        <v>33</v>
      </c>
      <c r="I70" s="5"/>
      <c r="J70" s="16" t="s">
        <v>36</v>
      </c>
      <c r="K70" s="16"/>
      <c r="L70" s="111">
        <v>20</v>
      </c>
      <c r="M70" s="111" t="s">
        <v>145</v>
      </c>
      <c r="N70" s="6"/>
      <c r="O70" s="6"/>
      <c r="P70" s="5"/>
      <c r="Q70" s="5"/>
      <c r="R70" s="5"/>
      <c r="S70" s="5"/>
      <c r="T70" s="55"/>
      <c r="U70" s="12"/>
      <c r="V70" s="7" t="s">
        <v>28</v>
      </c>
      <c r="W70" s="5"/>
      <c r="X70" s="23" t="s">
        <v>281</v>
      </c>
      <c r="Y70" s="5"/>
      <c r="Z70" s="5"/>
      <c r="AA70" s="5"/>
      <c r="AB70" s="5"/>
      <c r="AC70" s="5"/>
    </row>
    <row r="71" spans="1:29" s="28" customFormat="1" ht="18.5" customHeight="1" x14ac:dyDescent="0.35">
      <c r="A71" s="4" t="s">
        <v>5</v>
      </c>
      <c r="B71" s="4" t="s">
        <v>4</v>
      </c>
      <c r="C71" s="4" t="s">
        <v>3</v>
      </c>
      <c r="D71" s="4" t="s">
        <v>2</v>
      </c>
      <c r="E71" s="5"/>
      <c r="F71" s="6" t="s">
        <v>157</v>
      </c>
      <c r="G71" s="5"/>
      <c r="H71" s="4">
        <v>34</v>
      </c>
      <c r="I71" s="5"/>
      <c r="J71" s="16" t="s">
        <v>35</v>
      </c>
      <c r="K71" s="16"/>
      <c r="L71" s="111">
        <v>10</v>
      </c>
      <c r="M71" s="111" t="s">
        <v>145</v>
      </c>
      <c r="N71" s="6"/>
      <c r="O71" s="6"/>
      <c r="P71" s="5"/>
      <c r="Q71" s="5"/>
      <c r="R71" s="5"/>
      <c r="S71" s="5"/>
      <c r="T71" s="55"/>
      <c r="U71" s="12"/>
      <c r="V71" s="7" t="s">
        <v>28</v>
      </c>
      <c r="W71" s="5"/>
      <c r="X71" s="23" t="s">
        <v>281</v>
      </c>
      <c r="Y71" s="5"/>
      <c r="Z71" s="5"/>
      <c r="AA71" s="5"/>
      <c r="AB71" s="5"/>
      <c r="AC71" s="5"/>
    </row>
    <row r="72" spans="1:29" s="28" customFormat="1" ht="18.5" customHeight="1" x14ac:dyDescent="0.35">
      <c r="A72" s="4" t="s">
        <v>5</v>
      </c>
      <c r="B72" s="4" t="s">
        <v>4</v>
      </c>
      <c r="C72" s="4" t="s">
        <v>3</v>
      </c>
      <c r="D72" s="4" t="s">
        <v>2</v>
      </c>
      <c r="E72" s="5"/>
      <c r="F72" s="6" t="s">
        <v>157</v>
      </c>
      <c r="G72" s="5"/>
      <c r="H72" s="4">
        <v>35</v>
      </c>
      <c r="I72" s="5"/>
      <c r="J72" s="16" t="s">
        <v>34</v>
      </c>
      <c r="K72" s="16"/>
      <c r="L72" s="111">
        <v>20</v>
      </c>
      <c r="M72" s="111" t="s">
        <v>145</v>
      </c>
      <c r="N72" s="6"/>
      <c r="O72" s="6"/>
      <c r="P72" s="5"/>
      <c r="Q72" s="5"/>
      <c r="R72" s="5"/>
      <c r="S72" s="5"/>
      <c r="T72" s="55"/>
      <c r="U72" s="12"/>
      <c r="V72" s="7" t="s">
        <v>28</v>
      </c>
      <c r="W72" s="5"/>
      <c r="X72" s="23" t="s">
        <v>281</v>
      </c>
      <c r="Y72" s="5"/>
      <c r="Z72" s="5"/>
      <c r="AA72" s="5"/>
      <c r="AB72" s="5"/>
      <c r="AC72" s="5"/>
    </row>
    <row r="73" spans="1:29" s="28" customFormat="1" ht="18.5" customHeight="1" x14ac:dyDescent="0.35">
      <c r="A73" s="4" t="s">
        <v>5</v>
      </c>
      <c r="B73" s="4" t="s">
        <v>4</v>
      </c>
      <c r="C73" s="4" t="s">
        <v>3</v>
      </c>
      <c r="D73" s="4" t="s">
        <v>2</v>
      </c>
      <c r="E73" s="5"/>
      <c r="F73" s="6" t="s">
        <v>157</v>
      </c>
      <c r="G73" s="5"/>
      <c r="H73" s="4">
        <v>36</v>
      </c>
      <c r="I73" s="5"/>
      <c r="J73" s="16" t="s">
        <v>33</v>
      </c>
      <c r="K73" s="16"/>
      <c r="L73" s="111">
        <v>1</v>
      </c>
      <c r="M73" s="111" t="s">
        <v>145</v>
      </c>
      <c r="N73" s="6"/>
      <c r="O73" s="6"/>
      <c r="P73" s="5"/>
      <c r="Q73" s="5"/>
      <c r="R73" s="5"/>
      <c r="S73" s="5"/>
      <c r="T73" s="55"/>
      <c r="U73" s="12"/>
      <c r="V73" s="7" t="s">
        <v>28</v>
      </c>
      <c r="W73" s="5"/>
      <c r="X73" s="23" t="s">
        <v>281</v>
      </c>
      <c r="Y73" s="5"/>
      <c r="Z73" s="5"/>
      <c r="AA73" s="5"/>
      <c r="AB73" s="5"/>
      <c r="AC73" s="5"/>
    </row>
    <row r="74" spans="1:29" s="28" customFormat="1" ht="18.5" customHeight="1" x14ac:dyDescent="0.35">
      <c r="A74" s="4" t="s">
        <v>5</v>
      </c>
      <c r="B74" s="4" t="s">
        <v>4</v>
      </c>
      <c r="C74" s="4" t="s">
        <v>3</v>
      </c>
      <c r="D74" s="4" t="s">
        <v>2</v>
      </c>
      <c r="E74" s="5"/>
      <c r="F74" s="6" t="s">
        <v>157</v>
      </c>
      <c r="G74" s="5"/>
      <c r="H74" s="4">
        <v>37</v>
      </c>
      <c r="I74" s="5"/>
      <c r="J74" s="16" t="s">
        <v>32</v>
      </c>
      <c r="K74" s="16"/>
      <c r="L74" s="111">
        <v>5</v>
      </c>
      <c r="M74" s="111" t="s">
        <v>145</v>
      </c>
      <c r="N74" s="6"/>
      <c r="O74" s="6"/>
      <c r="P74" s="5"/>
      <c r="Q74" s="5"/>
      <c r="R74" s="5"/>
      <c r="S74" s="5"/>
      <c r="T74" s="55"/>
      <c r="U74" s="12"/>
      <c r="V74" s="7" t="s">
        <v>28</v>
      </c>
      <c r="W74" s="5"/>
      <c r="X74" s="23" t="s">
        <v>281</v>
      </c>
      <c r="Y74" s="5"/>
      <c r="Z74" s="5"/>
      <c r="AA74" s="5"/>
      <c r="AB74" s="5"/>
      <c r="AC74" s="5"/>
    </row>
    <row r="75" spans="1:29" s="28" customFormat="1" ht="18.5" customHeight="1" x14ac:dyDescent="0.35">
      <c r="A75" s="4" t="s">
        <v>5</v>
      </c>
      <c r="B75" s="4" t="s">
        <v>4</v>
      </c>
      <c r="C75" s="4" t="s">
        <v>3</v>
      </c>
      <c r="D75" s="4" t="s">
        <v>2</v>
      </c>
      <c r="E75" s="5"/>
      <c r="F75" s="6" t="s">
        <v>157</v>
      </c>
      <c r="G75" s="5"/>
      <c r="H75" s="4">
        <v>38</v>
      </c>
      <c r="I75" s="5"/>
      <c r="J75" s="16" t="s">
        <v>31</v>
      </c>
      <c r="K75" s="16"/>
      <c r="L75" s="111">
        <v>1</v>
      </c>
      <c r="M75" s="111" t="s">
        <v>145</v>
      </c>
      <c r="N75" s="6"/>
      <c r="O75" s="6"/>
      <c r="P75" s="5"/>
      <c r="Q75" s="5"/>
      <c r="R75" s="5"/>
      <c r="S75" s="5"/>
      <c r="T75" s="55"/>
      <c r="U75" s="12"/>
      <c r="V75" s="7" t="s">
        <v>28</v>
      </c>
      <c r="W75" s="5"/>
      <c r="X75" s="23" t="s">
        <v>281</v>
      </c>
      <c r="Y75" s="5"/>
      <c r="Z75" s="5"/>
      <c r="AA75" s="5"/>
      <c r="AB75" s="5"/>
      <c r="AC75" s="5"/>
    </row>
    <row r="76" spans="1:29" s="28" customFormat="1" ht="18.5" customHeight="1" x14ac:dyDescent="0.35">
      <c r="A76" s="4" t="s">
        <v>5</v>
      </c>
      <c r="B76" s="4" t="s">
        <v>4</v>
      </c>
      <c r="C76" s="4" t="s">
        <v>3</v>
      </c>
      <c r="D76" s="4" t="s">
        <v>2</v>
      </c>
      <c r="E76" s="5"/>
      <c r="F76" s="6" t="s">
        <v>157</v>
      </c>
      <c r="G76" s="5"/>
      <c r="H76" s="4">
        <v>39</v>
      </c>
      <c r="I76" s="5"/>
      <c r="J76" s="16" t="s">
        <v>30</v>
      </c>
      <c r="K76" s="16"/>
      <c r="L76" s="111">
        <v>5</v>
      </c>
      <c r="M76" s="111" t="s">
        <v>145</v>
      </c>
      <c r="N76" s="6"/>
      <c r="O76" s="6"/>
      <c r="P76" s="5"/>
      <c r="Q76" s="5"/>
      <c r="R76" s="5"/>
      <c r="S76" s="5"/>
      <c r="T76" s="55"/>
      <c r="U76" s="12"/>
      <c r="V76" s="7" t="s">
        <v>28</v>
      </c>
      <c r="W76" s="5"/>
      <c r="X76" s="23" t="s">
        <v>281</v>
      </c>
      <c r="Y76" s="5"/>
      <c r="Z76" s="5"/>
      <c r="AA76" s="5"/>
      <c r="AB76" s="5"/>
      <c r="AC76" s="5"/>
    </row>
    <row r="77" spans="1:29" s="28" customFormat="1" ht="19" customHeight="1" x14ac:dyDescent="0.35">
      <c r="A77" s="4" t="s">
        <v>5</v>
      </c>
      <c r="B77" s="4" t="s">
        <v>4</v>
      </c>
      <c r="C77" s="4" t="s">
        <v>3</v>
      </c>
      <c r="D77" s="4" t="s">
        <v>2</v>
      </c>
      <c r="E77" s="5"/>
      <c r="F77" s="6" t="s">
        <v>157</v>
      </c>
      <c r="G77" s="5"/>
      <c r="H77" s="4">
        <v>40</v>
      </c>
      <c r="I77" s="5"/>
      <c r="J77" s="16" t="s">
        <v>29</v>
      </c>
      <c r="K77" s="16"/>
      <c r="L77" s="111">
        <v>1</v>
      </c>
      <c r="M77" s="111" t="s">
        <v>145</v>
      </c>
      <c r="N77" s="6"/>
      <c r="O77" s="6"/>
      <c r="P77" s="5"/>
      <c r="Q77" s="5"/>
      <c r="R77" s="5"/>
      <c r="S77" s="5"/>
      <c r="T77" s="55"/>
      <c r="U77" s="12"/>
      <c r="V77" s="7" t="s">
        <v>28</v>
      </c>
      <c r="W77" s="5"/>
      <c r="X77" s="23" t="s">
        <v>281</v>
      </c>
      <c r="Y77" s="5"/>
      <c r="Z77" s="5"/>
      <c r="AA77" s="5"/>
      <c r="AB77" s="5"/>
      <c r="AC77" s="5"/>
    </row>
    <row r="78" spans="1:29" s="2" customFormat="1" ht="19" customHeight="1" x14ac:dyDescent="0.35">
      <c r="A78" s="4" t="s">
        <v>5</v>
      </c>
      <c r="B78" s="4" t="s">
        <v>4</v>
      </c>
      <c r="C78" s="4" t="s">
        <v>3</v>
      </c>
      <c r="D78" s="4" t="s">
        <v>2</v>
      </c>
      <c r="E78" s="5"/>
      <c r="F78" s="6" t="s">
        <v>157</v>
      </c>
      <c r="G78" s="5"/>
      <c r="H78" s="4">
        <v>38</v>
      </c>
      <c r="I78" s="5"/>
      <c r="J78" s="16" t="s">
        <v>25</v>
      </c>
      <c r="K78" s="16"/>
      <c r="L78" s="111">
        <v>3</v>
      </c>
      <c r="M78" s="111" t="s">
        <v>145</v>
      </c>
      <c r="N78" s="6"/>
      <c r="O78" s="6"/>
      <c r="P78" s="5"/>
      <c r="Q78" s="5"/>
      <c r="R78" s="5"/>
      <c r="S78" s="5"/>
      <c r="U78" s="12"/>
      <c r="V78" s="7" t="s">
        <v>24</v>
      </c>
      <c r="W78" s="5"/>
      <c r="X78" s="23" t="s">
        <v>281</v>
      </c>
      <c r="Y78" s="5"/>
      <c r="Z78" s="5"/>
      <c r="AA78" s="5"/>
      <c r="AB78" s="5"/>
      <c r="AC78" s="5"/>
    </row>
    <row r="79" spans="1:29" s="15" customFormat="1" ht="24" customHeight="1" x14ac:dyDescent="0.35">
      <c r="A79" s="4" t="s">
        <v>5</v>
      </c>
      <c r="B79" s="4" t="s">
        <v>4</v>
      </c>
      <c r="C79" s="4" t="s">
        <v>3</v>
      </c>
      <c r="D79" s="4" t="s">
        <v>2</v>
      </c>
      <c r="E79" s="5"/>
      <c r="F79" s="6" t="s">
        <v>157</v>
      </c>
      <c r="G79" s="5"/>
      <c r="H79" s="4">
        <v>39</v>
      </c>
      <c r="I79" s="5"/>
      <c r="J79" s="16" t="s">
        <v>23</v>
      </c>
      <c r="K79" s="16"/>
      <c r="L79" s="111">
        <v>4</v>
      </c>
      <c r="M79" s="111" t="s">
        <v>145</v>
      </c>
      <c r="N79" s="6"/>
      <c r="O79" s="6"/>
      <c r="P79" s="5"/>
      <c r="Q79" s="5"/>
      <c r="R79" s="5"/>
      <c r="S79" s="5"/>
      <c r="U79" s="12"/>
      <c r="V79" s="7" t="s">
        <v>8</v>
      </c>
      <c r="W79" s="5"/>
      <c r="X79" s="23" t="s">
        <v>281</v>
      </c>
      <c r="Y79" s="5"/>
      <c r="Z79" s="5"/>
      <c r="AA79" s="5"/>
      <c r="AB79" s="5"/>
      <c r="AC79" s="5"/>
    </row>
    <row r="80" spans="1:29" s="9" customFormat="1" ht="20" customHeight="1" x14ac:dyDescent="0.35">
      <c r="A80" s="4" t="s">
        <v>5</v>
      </c>
      <c r="B80" s="4" t="s">
        <v>4</v>
      </c>
      <c r="C80" s="4" t="s">
        <v>3</v>
      </c>
      <c r="D80" s="4" t="s">
        <v>2</v>
      </c>
      <c r="E80" s="5"/>
      <c r="F80" s="6" t="s">
        <v>157</v>
      </c>
      <c r="G80" s="5"/>
      <c r="H80" s="4">
        <v>40</v>
      </c>
      <c r="I80" s="5"/>
      <c r="J80" s="11" t="s">
        <v>22</v>
      </c>
      <c r="K80" s="11"/>
      <c r="L80" s="111">
        <v>300</v>
      </c>
      <c r="M80" s="111" t="s">
        <v>223</v>
      </c>
      <c r="N80" s="10"/>
      <c r="O80" s="10"/>
      <c r="P80" s="5"/>
      <c r="Q80" s="5"/>
      <c r="R80" s="5"/>
      <c r="S80" s="5"/>
      <c r="T80" s="14"/>
      <c r="U80" s="12"/>
      <c r="V80" s="7" t="s">
        <v>8</v>
      </c>
      <c r="W80" s="5"/>
      <c r="X80" s="23" t="s">
        <v>281</v>
      </c>
      <c r="Y80" s="5"/>
      <c r="Z80" s="5"/>
      <c r="AA80" s="5"/>
      <c r="AB80" s="5"/>
      <c r="AC80" s="5"/>
    </row>
    <row r="81" spans="1:29" s="9" customFormat="1" ht="20" customHeight="1" x14ac:dyDescent="0.35">
      <c r="A81" s="4" t="s">
        <v>5</v>
      </c>
      <c r="B81" s="4" t="s">
        <v>4</v>
      </c>
      <c r="C81" s="4" t="s">
        <v>3</v>
      </c>
      <c r="D81" s="4" t="s">
        <v>2</v>
      </c>
      <c r="E81" s="5"/>
      <c r="F81" s="6" t="s">
        <v>157</v>
      </c>
      <c r="G81" s="5"/>
      <c r="H81" s="4">
        <v>41</v>
      </c>
      <c r="I81" s="5"/>
      <c r="J81" s="11" t="s">
        <v>21</v>
      </c>
      <c r="K81" s="11"/>
      <c r="L81" s="111">
        <v>20</v>
      </c>
      <c r="M81" s="111" t="s">
        <v>145</v>
      </c>
      <c r="N81" s="10"/>
      <c r="O81" s="10"/>
      <c r="P81" s="5"/>
      <c r="Q81" s="5"/>
      <c r="R81" s="5"/>
      <c r="S81" s="5"/>
      <c r="T81" s="14"/>
      <c r="U81" s="14"/>
      <c r="V81" s="7" t="s">
        <v>8</v>
      </c>
      <c r="W81" s="5"/>
      <c r="X81" s="23" t="s">
        <v>281</v>
      </c>
      <c r="Y81" s="5"/>
      <c r="Z81" s="5"/>
      <c r="AA81" s="5"/>
      <c r="AB81" s="5"/>
      <c r="AC81" s="5"/>
    </row>
    <row r="82" spans="1:29" s="9" customFormat="1" ht="20" customHeight="1" x14ac:dyDescent="0.35">
      <c r="A82" s="4" t="s">
        <v>5</v>
      </c>
      <c r="B82" s="4" t="s">
        <v>4</v>
      </c>
      <c r="C82" s="4" t="s">
        <v>3</v>
      </c>
      <c r="D82" s="4" t="s">
        <v>2</v>
      </c>
      <c r="E82" s="5"/>
      <c r="F82" s="6" t="s">
        <v>157</v>
      </c>
      <c r="G82" s="5"/>
      <c r="H82" s="4">
        <v>42</v>
      </c>
      <c r="I82" s="5"/>
      <c r="J82" s="11" t="s">
        <v>20</v>
      </c>
      <c r="K82" s="11"/>
      <c r="L82" s="111">
        <v>3</v>
      </c>
      <c r="M82" s="111" t="s">
        <v>145</v>
      </c>
      <c r="N82" s="10"/>
      <c r="O82" s="10"/>
      <c r="P82" s="5"/>
      <c r="Q82" s="5"/>
      <c r="R82" s="5"/>
      <c r="S82" s="5"/>
      <c r="T82" s="14"/>
      <c r="U82" s="6"/>
      <c r="V82" s="7" t="s">
        <v>8</v>
      </c>
      <c r="W82" s="5"/>
      <c r="X82" s="23" t="s">
        <v>281</v>
      </c>
      <c r="Y82" s="5"/>
      <c r="Z82" s="5"/>
      <c r="AA82" s="5"/>
      <c r="AB82" s="5"/>
      <c r="AC82" s="5"/>
    </row>
    <row r="83" spans="1:29" s="9" customFormat="1" ht="20" customHeight="1" x14ac:dyDescent="0.35">
      <c r="A83" s="4" t="s">
        <v>5</v>
      </c>
      <c r="B83" s="4" t="s">
        <v>4</v>
      </c>
      <c r="C83" s="4" t="s">
        <v>3</v>
      </c>
      <c r="D83" s="4" t="s">
        <v>2</v>
      </c>
      <c r="E83" s="5"/>
      <c r="F83" s="6" t="s">
        <v>157</v>
      </c>
      <c r="G83" s="5"/>
      <c r="H83" s="4">
        <v>43</v>
      </c>
      <c r="I83" s="5"/>
      <c r="J83" s="11" t="s">
        <v>19</v>
      </c>
      <c r="K83" s="11"/>
      <c r="L83" s="111">
        <v>3</v>
      </c>
      <c r="M83" s="111" t="s">
        <v>145</v>
      </c>
      <c r="N83" s="10"/>
      <c r="O83" s="10"/>
      <c r="P83" s="5"/>
      <c r="Q83" s="5"/>
      <c r="R83" s="5"/>
      <c r="S83" s="5"/>
      <c r="T83" s="14"/>
      <c r="U83" s="6"/>
      <c r="V83" s="7" t="s">
        <v>8</v>
      </c>
      <c r="W83" s="5"/>
      <c r="X83" s="23" t="s">
        <v>281</v>
      </c>
      <c r="Y83" s="5"/>
      <c r="Z83" s="5"/>
      <c r="AA83" s="5"/>
      <c r="AB83" s="5"/>
      <c r="AC83" s="5"/>
    </row>
    <row r="84" spans="1:29" s="9" customFormat="1" ht="20" customHeight="1" x14ac:dyDescent="0.35">
      <c r="A84" s="4" t="s">
        <v>5</v>
      </c>
      <c r="B84" s="4" t="s">
        <v>4</v>
      </c>
      <c r="C84" s="4" t="s">
        <v>3</v>
      </c>
      <c r="D84" s="4" t="s">
        <v>2</v>
      </c>
      <c r="E84" s="5"/>
      <c r="F84" s="6" t="s">
        <v>157</v>
      </c>
      <c r="G84" s="5"/>
      <c r="H84" s="4">
        <v>44</v>
      </c>
      <c r="I84" s="5"/>
      <c r="J84" s="11" t="s">
        <v>18</v>
      </c>
      <c r="K84" s="11"/>
      <c r="L84" s="111">
        <v>3</v>
      </c>
      <c r="M84" s="111" t="s">
        <v>145</v>
      </c>
      <c r="N84" s="10"/>
      <c r="O84" s="10"/>
      <c r="P84" s="5"/>
      <c r="Q84" s="5"/>
      <c r="R84" s="5"/>
      <c r="S84" s="5"/>
      <c r="T84" s="14"/>
      <c r="U84" s="6"/>
      <c r="V84" s="7" t="s">
        <v>8</v>
      </c>
      <c r="W84" s="5"/>
      <c r="X84" s="23" t="s">
        <v>281</v>
      </c>
      <c r="Y84" s="5"/>
      <c r="Z84" s="5"/>
      <c r="AA84" s="5"/>
      <c r="AB84" s="5"/>
      <c r="AC84" s="5"/>
    </row>
    <row r="85" spans="1:29" s="9" customFormat="1" ht="20" customHeight="1" x14ac:dyDescent="0.35">
      <c r="A85" s="4" t="s">
        <v>5</v>
      </c>
      <c r="B85" s="4" t="s">
        <v>4</v>
      </c>
      <c r="C85" s="4" t="s">
        <v>3</v>
      </c>
      <c r="D85" s="4" t="s">
        <v>2</v>
      </c>
      <c r="E85" s="5"/>
      <c r="F85" s="6" t="s">
        <v>157</v>
      </c>
      <c r="G85" s="5"/>
      <c r="H85" s="4">
        <v>45</v>
      </c>
      <c r="I85" s="5"/>
      <c r="J85" s="11" t="s">
        <v>17</v>
      </c>
      <c r="K85" s="11"/>
      <c r="L85" s="111">
        <v>30</v>
      </c>
      <c r="M85" s="111" t="s">
        <v>223</v>
      </c>
      <c r="N85" s="10"/>
      <c r="O85" s="10"/>
      <c r="P85" s="5"/>
      <c r="Q85" s="5"/>
      <c r="R85" s="5"/>
      <c r="S85" s="5"/>
      <c r="T85" s="14"/>
      <c r="U85" s="6"/>
      <c r="V85" s="7" t="s">
        <v>8</v>
      </c>
      <c r="W85" s="5"/>
      <c r="X85" s="23" t="s">
        <v>281</v>
      </c>
      <c r="Y85" s="5"/>
      <c r="Z85" s="5"/>
      <c r="AA85" s="5"/>
      <c r="AB85" s="5"/>
      <c r="AC85" s="5"/>
    </row>
    <row r="86" spans="1:29" s="9" customFormat="1" ht="20" customHeight="1" x14ac:dyDescent="0.35">
      <c r="A86" s="4" t="s">
        <v>5</v>
      </c>
      <c r="B86" s="4" t="s">
        <v>4</v>
      </c>
      <c r="C86" s="4" t="s">
        <v>3</v>
      </c>
      <c r="D86" s="4" t="s">
        <v>2</v>
      </c>
      <c r="E86" s="5"/>
      <c r="F86" s="6" t="s">
        <v>157</v>
      </c>
      <c r="G86" s="5"/>
      <c r="H86" s="4">
        <v>46</v>
      </c>
      <c r="I86" s="5"/>
      <c r="J86" s="11" t="s">
        <v>16</v>
      </c>
      <c r="K86" s="11"/>
      <c r="L86" s="111">
        <v>15</v>
      </c>
      <c r="M86" s="111" t="s">
        <v>145</v>
      </c>
      <c r="N86" s="10"/>
      <c r="O86" s="10"/>
      <c r="P86" s="5"/>
      <c r="Q86" s="5"/>
      <c r="R86" s="5"/>
      <c r="S86" s="5"/>
      <c r="T86" s="14"/>
      <c r="U86" s="6"/>
      <c r="V86" s="7" t="s">
        <v>8</v>
      </c>
      <c r="W86" s="5"/>
      <c r="X86" s="23" t="s">
        <v>281</v>
      </c>
      <c r="Y86" s="5"/>
      <c r="Z86" s="5"/>
      <c r="AA86" s="5"/>
      <c r="AB86" s="5"/>
      <c r="AC86" s="5"/>
    </row>
    <row r="87" spans="1:29" s="9" customFormat="1" ht="20" customHeight="1" x14ac:dyDescent="0.35">
      <c r="A87" s="4" t="s">
        <v>5</v>
      </c>
      <c r="B87" s="4" t="s">
        <v>4</v>
      </c>
      <c r="C87" s="4" t="s">
        <v>3</v>
      </c>
      <c r="D87" s="4" t="s">
        <v>2</v>
      </c>
      <c r="E87" s="5"/>
      <c r="F87" s="6" t="s">
        <v>157</v>
      </c>
      <c r="G87" s="5"/>
      <c r="H87" s="4">
        <v>47</v>
      </c>
      <c r="I87" s="5"/>
      <c r="J87" s="11" t="s">
        <v>15</v>
      </c>
      <c r="K87" s="11"/>
      <c r="L87" s="111">
        <v>15</v>
      </c>
      <c r="M87" s="111" t="s">
        <v>145</v>
      </c>
      <c r="N87" s="10"/>
      <c r="O87" s="10"/>
      <c r="P87" s="5"/>
      <c r="Q87" s="5"/>
      <c r="R87" s="5"/>
      <c r="S87" s="5"/>
      <c r="T87" s="14"/>
      <c r="U87" s="6"/>
      <c r="V87" s="7" t="s">
        <v>8</v>
      </c>
      <c r="W87" s="5"/>
      <c r="X87" s="23" t="s">
        <v>281</v>
      </c>
      <c r="Y87" s="5"/>
      <c r="Z87" s="5"/>
      <c r="AA87" s="5"/>
      <c r="AB87" s="5"/>
      <c r="AC87" s="5"/>
    </row>
    <row r="88" spans="1:29" s="13" customFormat="1" ht="20" customHeight="1" x14ac:dyDescent="0.35">
      <c r="A88" s="4" t="s">
        <v>5</v>
      </c>
      <c r="B88" s="4" t="s">
        <v>4</v>
      </c>
      <c r="C88" s="4" t="s">
        <v>3</v>
      </c>
      <c r="D88" s="4" t="s">
        <v>2</v>
      </c>
      <c r="E88" s="5"/>
      <c r="F88" s="6" t="s">
        <v>157</v>
      </c>
      <c r="G88" s="5"/>
      <c r="H88" s="4">
        <v>48</v>
      </c>
      <c r="I88" s="5"/>
      <c r="J88" s="11" t="s">
        <v>14</v>
      </c>
      <c r="K88" s="11"/>
      <c r="L88" s="111">
        <v>35100</v>
      </c>
      <c r="M88" s="111" t="s">
        <v>145</v>
      </c>
      <c r="N88" s="10"/>
      <c r="O88" s="10"/>
      <c r="P88" s="5"/>
      <c r="Q88" s="5"/>
      <c r="R88" s="5"/>
      <c r="S88" s="5"/>
      <c r="T88" s="56"/>
      <c r="U88" s="6"/>
      <c r="V88" s="7" t="s">
        <v>8</v>
      </c>
      <c r="W88" s="5"/>
      <c r="X88" s="23" t="s">
        <v>281</v>
      </c>
      <c r="Y88" s="5"/>
      <c r="Z88" s="5"/>
      <c r="AA88" s="5"/>
      <c r="AB88" s="5"/>
      <c r="AC88" s="5"/>
    </row>
    <row r="89" spans="1:29" s="9" customFormat="1" ht="20" customHeight="1" x14ac:dyDescent="0.35">
      <c r="A89" s="4" t="s">
        <v>5</v>
      </c>
      <c r="B89" s="4" t="s">
        <v>4</v>
      </c>
      <c r="C89" s="4" t="s">
        <v>3</v>
      </c>
      <c r="D89" s="4" t="s">
        <v>2</v>
      </c>
      <c r="E89" s="5"/>
      <c r="F89" s="6" t="s">
        <v>157</v>
      </c>
      <c r="G89" s="5"/>
      <c r="H89" s="4">
        <v>40</v>
      </c>
      <c r="I89" s="5"/>
      <c r="J89" s="11" t="s">
        <v>13</v>
      </c>
      <c r="K89" s="11"/>
      <c r="L89" s="111">
        <v>10800</v>
      </c>
      <c r="M89" s="111" t="s">
        <v>145</v>
      </c>
      <c r="N89" s="10"/>
      <c r="O89" s="10"/>
      <c r="P89" s="5"/>
      <c r="Q89" s="5"/>
      <c r="R89" s="5"/>
      <c r="S89" s="5"/>
      <c r="T89" s="14"/>
      <c r="U89" s="12"/>
      <c r="V89" s="7" t="s">
        <v>8</v>
      </c>
      <c r="W89" s="5"/>
      <c r="X89" s="23" t="s">
        <v>281</v>
      </c>
      <c r="Y89" s="5"/>
      <c r="Z89" s="5"/>
      <c r="AA89" s="5"/>
      <c r="AB89" s="5"/>
      <c r="AC89" s="5"/>
    </row>
    <row r="90" spans="1:29" s="9" customFormat="1" ht="20" customHeight="1" x14ac:dyDescent="0.35">
      <c r="A90" s="4" t="s">
        <v>5</v>
      </c>
      <c r="B90" s="4" t="s">
        <v>4</v>
      </c>
      <c r="C90" s="4" t="s">
        <v>3</v>
      </c>
      <c r="D90" s="4" t="s">
        <v>2</v>
      </c>
      <c r="E90" s="5"/>
      <c r="F90" s="6" t="s">
        <v>157</v>
      </c>
      <c r="G90" s="5"/>
      <c r="H90" s="4">
        <v>41</v>
      </c>
      <c r="I90" s="5"/>
      <c r="J90" s="11" t="s">
        <v>12</v>
      </c>
      <c r="K90" s="11"/>
      <c r="L90" s="111">
        <v>13500</v>
      </c>
      <c r="M90" s="111" t="s">
        <v>145</v>
      </c>
      <c r="N90" s="10"/>
      <c r="O90" s="10"/>
      <c r="P90" s="5"/>
      <c r="Q90" s="5"/>
      <c r="R90" s="5"/>
      <c r="S90" s="5"/>
      <c r="T90" s="14"/>
      <c r="U90" s="6"/>
      <c r="V90" s="7" t="s">
        <v>8</v>
      </c>
      <c r="W90" s="5"/>
      <c r="X90" s="23" t="s">
        <v>281</v>
      </c>
      <c r="Y90" s="5"/>
      <c r="Z90" s="5"/>
      <c r="AA90" s="5"/>
      <c r="AB90" s="5"/>
      <c r="AC90" s="5"/>
    </row>
    <row r="91" spans="1:29" s="9" customFormat="1" ht="20" customHeight="1" x14ac:dyDescent="0.35">
      <c r="A91" s="4" t="s">
        <v>5</v>
      </c>
      <c r="B91" s="4" t="s">
        <v>4</v>
      </c>
      <c r="C91" s="4" t="s">
        <v>3</v>
      </c>
      <c r="D91" s="4" t="s">
        <v>2</v>
      </c>
      <c r="E91" s="5"/>
      <c r="F91" s="6" t="s">
        <v>157</v>
      </c>
      <c r="G91" s="5"/>
      <c r="H91" s="4">
        <v>42</v>
      </c>
      <c r="I91" s="5"/>
      <c r="J91" s="11" t="s">
        <v>11</v>
      </c>
      <c r="K91" s="11"/>
      <c r="L91" s="111">
        <v>12000</v>
      </c>
      <c r="M91" s="111" t="s">
        <v>145</v>
      </c>
      <c r="N91" s="10"/>
      <c r="O91" s="10"/>
      <c r="P91" s="5"/>
      <c r="Q91" s="5"/>
      <c r="R91" s="5"/>
      <c r="S91" s="5"/>
      <c r="T91" s="14"/>
      <c r="U91" s="6"/>
      <c r="V91" s="7" t="s">
        <v>8</v>
      </c>
      <c r="W91" s="5"/>
      <c r="X91" s="23" t="s">
        <v>281</v>
      </c>
      <c r="Y91" s="5"/>
      <c r="Z91" s="5"/>
      <c r="AA91" s="5"/>
      <c r="AB91" s="5"/>
      <c r="AC91" s="5"/>
    </row>
    <row r="92" spans="1:29" s="9" customFormat="1" ht="20" customHeight="1" x14ac:dyDescent="0.35">
      <c r="A92" s="4" t="s">
        <v>5</v>
      </c>
      <c r="B92" s="4" t="s">
        <v>4</v>
      </c>
      <c r="C92" s="4" t="s">
        <v>3</v>
      </c>
      <c r="D92" s="4" t="s">
        <v>2</v>
      </c>
      <c r="E92" s="5"/>
      <c r="F92" s="6" t="s">
        <v>157</v>
      </c>
      <c r="G92" s="5"/>
      <c r="H92" s="4">
        <v>43</v>
      </c>
      <c r="I92" s="5"/>
      <c r="J92" s="11" t="s">
        <v>10</v>
      </c>
      <c r="K92" s="11"/>
      <c r="L92" s="111">
        <v>6000</v>
      </c>
      <c r="M92" s="111" t="s">
        <v>145</v>
      </c>
      <c r="N92" s="10"/>
      <c r="O92" s="10"/>
      <c r="P92" s="5"/>
      <c r="Q92" s="5"/>
      <c r="R92" s="5"/>
      <c r="S92" s="5"/>
      <c r="T92" s="14"/>
      <c r="U92" s="6"/>
      <c r="V92" s="7" t="s">
        <v>8</v>
      </c>
      <c r="W92" s="5"/>
      <c r="X92" s="23" t="s">
        <v>281</v>
      </c>
      <c r="Y92" s="5"/>
      <c r="Z92" s="5"/>
      <c r="AA92" s="5"/>
      <c r="AB92" s="5"/>
      <c r="AC92" s="5"/>
    </row>
    <row r="93" spans="1:29" s="9" customFormat="1" ht="20" customHeight="1" x14ac:dyDescent="0.35">
      <c r="A93" s="4" t="s">
        <v>5</v>
      </c>
      <c r="B93" s="4" t="s">
        <v>4</v>
      </c>
      <c r="C93" s="4" t="s">
        <v>3</v>
      </c>
      <c r="D93" s="4" t="s">
        <v>2</v>
      </c>
      <c r="E93" s="5"/>
      <c r="F93" s="6" t="s">
        <v>157</v>
      </c>
      <c r="G93" s="5"/>
      <c r="H93" s="4">
        <v>44</v>
      </c>
      <c r="I93" s="5"/>
      <c r="J93" s="11" t="s">
        <v>9</v>
      </c>
      <c r="K93" s="11"/>
      <c r="L93" s="111">
        <v>3</v>
      </c>
      <c r="M93" s="111" t="s">
        <v>145</v>
      </c>
      <c r="N93" s="10"/>
      <c r="O93" s="10"/>
      <c r="P93" s="5"/>
      <c r="Q93" s="5"/>
      <c r="R93" s="5"/>
      <c r="S93" s="5"/>
      <c r="T93" s="14"/>
      <c r="U93" s="6"/>
      <c r="V93" s="7" t="s">
        <v>8</v>
      </c>
      <c r="W93" s="5"/>
      <c r="X93" s="23" t="s">
        <v>281</v>
      </c>
      <c r="Y93" s="5"/>
      <c r="Z93" s="5"/>
      <c r="AA93" s="5"/>
      <c r="AB93" s="5"/>
      <c r="AC93" s="5"/>
    </row>
    <row r="94" spans="1:29" s="29" customFormat="1" ht="36.5" customHeight="1" x14ac:dyDescent="0.35">
      <c r="A94" s="30" t="s">
        <v>87</v>
      </c>
      <c r="B94" s="30" t="s">
        <v>76</v>
      </c>
      <c r="C94" s="30" t="s">
        <v>3</v>
      </c>
      <c r="D94" s="30" t="s">
        <v>2</v>
      </c>
      <c r="E94" s="7" t="s">
        <v>273</v>
      </c>
      <c r="F94" s="12" t="s">
        <v>158</v>
      </c>
      <c r="G94" s="12"/>
      <c r="H94" s="4">
        <v>21</v>
      </c>
      <c r="I94" s="12"/>
      <c r="J94" s="16" t="s">
        <v>86</v>
      </c>
      <c r="K94" s="16"/>
      <c r="L94" s="111">
        <v>5840</v>
      </c>
      <c r="M94" s="111" t="s">
        <v>85</v>
      </c>
      <c r="N94" s="59">
        <f>L94/3</f>
        <v>1946.6666666666667</v>
      </c>
      <c r="O94" s="6" t="s">
        <v>269</v>
      </c>
      <c r="P94" s="59">
        <v>25</v>
      </c>
      <c r="Q94" s="59">
        <v>1000</v>
      </c>
      <c r="R94" s="59">
        <v>63</v>
      </c>
      <c r="S94" s="59">
        <v>63</v>
      </c>
      <c r="T94" s="58">
        <f>P94*N94</f>
        <v>48666.666666666672</v>
      </c>
      <c r="U94" s="6"/>
      <c r="V94" s="7" t="s">
        <v>71</v>
      </c>
      <c r="W94" s="12"/>
      <c r="X94" s="12" t="s">
        <v>280</v>
      </c>
      <c r="Y94" s="12" t="s">
        <v>277</v>
      </c>
      <c r="Z94" s="12"/>
      <c r="AA94" s="12"/>
      <c r="AB94" s="12"/>
      <c r="AC94" s="12"/>
    </row>
    <row r="95" spans="1:29" s="29" customFormat="1" ht="29" customHeight="1" x14ac:dyDescent="0.35">
      <c r="A95" s="30" t="s">
        <v>84</v>
      </c>
      <c r="B95" s="30" t="s">
        <v>76</v>
      </c>
      <c r="C95" s="30" t="s">
        <v>3</v>
      </c>
      <c r="D95" s="30" t="s">
        <v>2</v>
      </c>
      <c r="E95" s="12"/>
      <c r="F95" s="12" t="s">
        <v>157</v>
      </c>
      <c r="G95" s="12"/>
      <c r="H95" s="4">
        <v>22</v>
      </c>
      <c r="I95" s="12"/>
      <c r="J95" s="16" t="s">
        <v>290</v>
      </c>
      <c r="K95" s="16"/>
      <c r="L95" s="111">
        <v>600</v>
      </c>
      <c r="M95" s="111" t="s">
        <v>145</v>
      </c>
      <c r="N95" s="6"/>
      <c r="O95" s="6"/>
      <c r="P95" s="59">
        <v>43</v>
      </c>
      <c r="Q95" s="59">
        <v>7200</v>
      </c>
      <c r="R95" s="59">
        <v>1040</v>
      </c>
      <c r="S95" s="58">
        <v>0.7</v>
      </c>
      <c r="T95" s="6">
        <f>P95*L95</f>
        <v>25800</v>
      </c>
      <c r="U95" s="6"/>
      <c r="V95" s="7" t="s">
        <v>70</v>
      </c>
      <c r="W95" s="12"/>
      <c r="X95" s="12" t="s">
        <v>280</v>
      </c>
      <c r="Y95" s="12" t="s">
        <v>275</v>
      </c>
      <c r="Z95" s="12"/>
      <c r="AA95" s="12"/>
      <c r="AB95" s="12"/>
      <c r="AC95" s="12"/>
    </row>
    <row r="96" spans="1:29" s="2" customFormat="1" x14ac:dyDescent="0.35">
      <c r="A96" s="4"/>
      <c r="B96" s="4"/>
      <c r="C96" s="4"/>
      <c r="D96" s="4"/>
      <c r="E96" s="6"/>
      <c r="F96" s="12"/>
      <c r="G96" s="6"/>
      <c r="H96" s="4"/>
      <c r="I96" s="6"/>
      <c r="J96" s="16"/>
      <c r="K96" s="16"/>
      <c r="L96" s="111"/>
      <c r="M96" s="111"/>
      <c r="N96" s="6"/>
      <c r="O96" s="6"/>
      <c r="P96" s="6"/>
      <c r="Q96" s="6"/>
      <c r="R96" s="6"/>
      <c r="S96" s="6"/>
      <c r="T96" s="6"/>
      <c r="U96" s="57"/>
      <c r="V96" s="7"/>
      <c r="W96" s="6"/>
      <c r="X96" s="12"/>
      <c r="Y96" s="12"/>
      <c r="Z96" s="6"/>
      <c r="AA96" s="6"/>
      <c r="AB96" s="6"/>
      <c r="AC96" s="6"/>
    </row>
    <row r="97" spans="1:1019 1033:2044 2058:3069 3083:4094 4108:5119 5133:6144 6158:7167 7169:8192 8194:12287 12289:13312 13314:16369" s="17" customFormat="1" ht="24" customHeight="1" x14ac:dyDescent="0.35">
      <c r="A97" s="27" t="s">
        <v>5</v>
      </c>
      <c r="B97" s="27" t="s">
        <v>4</v>
      </c>
      <c r="C97" s="27" t="s">
        <v>3</v>
      </c>
      <c r="D97" s="27" t="s">
        <v>2</v>
      </c>
      <c r="E97" s="23"/>
      <c r="F97" s="22" t="s">
        <v>159</v>
      </c>
      <c r="G97" s="23"/>
      <c r="H97" s="27">
        <v>37</v>
      </c>
      <c r="I97" s="23"/>
      <c r="J97" s="26" t="s">
        <v>27</v>
      </c>
      <c r="K97" s="26"/>
      <c r="L97" s="111">
        <v>1</v>
      </c>
      <c r="M97" s="111" t="s">
        <v>145</v>
      </c>
      <c r="N97" s="22"/>
      <c r="O97" s="22"/>
      <c r="P97" s="23"/>
      <c r="Q97" s="23"/>
      <c r="R97" s="23"/>
      <c r="S97" s="23"/>
      <c r="T97" s="22"/>
      <c r="U97" s="24"/>
      <c r="V97" s="25" t="s">
        <v>26</v>
      </c>
      <c r="W97" s="23"/>
      <c r="X97" s="23" t="s">
        <v>281</v>
      </c>
      <c r="Y97" s="23"/>
      <c r="Z97" s="23"/>
      <c r="AA97" s="23"/>
      <c r="AB97" s="23"/>
      <c r="AC97" s="23"/>
      <c r="AG97" s="21"/>
      <c r="AH97" s="21"/>
      <c r="AI97" s="19"/>
      <c r="AJ97" s="20"/>
      <c r="AK97" s="19"/>
      <c r="AM97" s="114"/>
      <c r="AN97" s="114"/>
      <c r="AO97" s="114"/>
      <c r="AP97" s="114"/>
      <c r="AR97" s="18"/>
      <c r="BF97" s="21"/>
      <c r="BG97" s="21"/>
      <c r="BH97" s="19"/>
      <c r="BI97" s="20"/>
      <c r="BJ97" s="19"/>
      <c r="BL97" s="114"/>
      <c r="BM97" s="114"/>
      <c r="BN97" s="114"/>
      <c r="BO97" s="114"/>
      <c r="BQ97" s="18"/>
      <c r="CE97" s="21"/>
      <c r="CF97" s="21"/>
      <c r="CG97" s="19"/>
      <c r="CH97" s="20"/>
      <c r="CI97" s="19"/>
      <c r="CK97" s="114"/>
      <c r="CL97" s="114"/>
      <c r="CM97" s="114"/>
      <c r="CN97" s="114"/>
      <c r="CP97" s="18"/>
      <c r="DD97" s="21"/>
      <c r="DE97" s="21"/>
      <c r="DF97" s="19"/>
      <c r="DG97" s="20"/>
      <c r="DH97" s="19"/>
      <c r="DJ97" s="114"/>
      <c r="DK97" s="114"/>
      <c r="DL97" s="114"/>
      <c r="DM97" s="114"/>
      <c r="DO97" s="18"/>
      <c r="EC97" s="21"/>
      <c r="ED97" s="21"/>
      <c r="EE97" s="19"/>
      <c r="EF97" s="20"/>
      <c r="EG97" s="19"/>
      <c r="EI97" s="114"/>
      <c r="EJ97" s="114"/>
      <c r="EK97" s="114"/>
      <c r="EL97" s="114"/>
      <c r="EN97" s="18"/>
      <c r="FB97" s="21"/>
      <c r="FC97" s="21"/>
      <c r="FD97" s="19"/>
      <c r="FE97" s="20"/>
      <c r="FF97" s="19"/>
      <c r="FH97" s="114"/>
      <c r="FI97" s="114"/>
      <c r="FJ97" s="114"/>
      <c r="FK97" s="114"/>
      <c r="FM97" s="18"/>
      <c r="GA97" s="21"/>
      <c r="GB97" s="21"/>
      <c r="GC97" s="19"/>
      <c r="GD97" s="20"/>
      <c r="GE97" s="19"/>
      <c r="GG97" s="114"/>
      <c r="GH97" s="114"/>
      <c r="GI97" s="114"/>
      <c r="GJ97" s="114"/>
      <c r="GL97" s="18"/>
      <c r="GZ97" s="21"/>
      <c r="HA97" s="21"/>
      <c r="HB97" s="19"/>
      <c r="HC97" s="20"/>
      <c r="HD97" s="19"/>
      <c r="HF97" s="114"/>
      <c r="HG97" s="114"/>
      <c r="HH97" s="114"/>
      <c r="HI97" s="114"/>
      <c r="HK97" s="18"/>
      <c r="HY97" s="21"/>
      <c r="HZ97" s="21"/>
      <c r="IA97" s="19"/>
      <c r="IB97" s="20"/>
      <c r="IC97" s="19"/>
      <c r="IE97" s="114"/>
      <c r="IF97" s="114"/>
      <c r="IG97" s="114"/>
      <c r="IH97" s="114"/>
      <c r="IJ97" s="18"/>
      <c r="IX97" s="21"/>
      <c r="IY97" s="21"/>
      <c r="IZ97" s="19"/>
      <c r="JA97" s="20"/>
      <c r="JB97" s="19"/>
      <c r="JD97" s="114"/>
      <c r="JE97" s="114"/>
      <c r="JF97" s="114"/>
      <c r="JG97" s="114"/>
      <c r="JI97" s="18"/>
      <c r="JW97" s="21"/>
      <c r="JX97" s="21"/>
      <c r="JY97" s="19"/>
      <c r="JZ97" s="20"/>
      <c r="KA97" s="19"/>
      <c r="KC97" s="114"/>
      <c r="KD97" s="114"/>
      <c r="KE97" s="114"/>
      <c r="KF97" s="114"/>
      <c r="KH97" s="18"/>
      <c r="KV97" s="21"/>
      <c r="KW97" s="21"/>
      <c r="KX97" s="19"/>
      <c r="KY97" s="20"/>
      <c r="KZ97" s="19"/>
      <c r="LB97" s="114"/>
      <c r="LC97" s="114"/>
      <c r="LD97" s="114"/>
      <c r="LE97" s="114"/>
      <c r="LG97" s="18"/>
      <c r="LU97" s="21"/>
      <c r="LV97" s="21"/>
      <c r="LW97" s="19"/>
      <c r="LX97" s="20"/>
      <c r="LY97" s="19"/>
      <c r="MA97" s="114"/>
      <c r="MB97" s="114"/>
      <c r="MC97" s="114"/>
      <c r="MD97" s="114"/>
      <c r="MF97" s="18"/>
      <c r="MT97" s="21"/>
      <c r="MU97" s="21"/>
      <c r="MV97" s="19"/>
      <c r="MW97" s="20"/>
      <c r="MX97" s="19"/>
      <c r="MZ97" s="114"/>
      <c r="NA97" s="114"/>
      <c r="NB97" s="114"/>
      <c r="NC97" s="114"/>
      <c r="NE97" s="18"/>
      <c r="NS97" s="21"/>
      <c r="NT97" s="21"/>
      <c r="NU97" s="19"/>
      <c r="NV97" s="20"/>
      <c r="NW97" s="19"/>
      <c r="NY97" s="114"/>
      <c r="NZ97" s="114"/>
      <c r="OA97" s="114"/>
      <c r="OB97" s="114"/>
      <c r="OD97" s="18"/>
      <c r="OR97" s="21"/>
      <c r="OS97" s="21"/>
      <c r="OT97" s="19"/>
      <c r="OU97" s="20"/>
      <c r="OV97" s="19"/>
      <c r="OX97" s="114"/>
      <c r="OY97" s="114"/>
      <c r="OZ97" s="114"/>
      <c r="PA97" s="114"/>
      <c r="PC97" s="18"/>
      <c r="PQ97" s="21"/>
      <c r="PR97" s="21"/>
      <c r="PS97" s="19"/>
      <c r="PT97" s="20"/>
      <c r="PU97" s="19"/>
      <c r="PW97" s="114"/>
      <c r="PX97" s="114"/>
      <c r="PY97" s="114"/>
      <c r="PZ97" s="114"/>
      <c r="QB97" s="18"/>
      <c r="QP97" s="21"/>
      <c r="QQ97" s="21"/>
      <c r="QR97" s="19"/>
      <c r="QS97" s="20"/>
      <c r="QT97" s="19"/>
      <c r="QV97" s="114"/>
      <c r="QW97" s="114"/>
      <c r="QX97" s="114"/>
      <c r="QY97" s="114"/>
      <c r="RA97" s="18"/>
      <c r="RO97" s="21"/>
      <c r="RP97" s="21"/>
      <c r="RQ97" s="19"/>
      <c r="RR97" s="20"/>
      <c r="RS97" s="19"/>
      <c r="RU97" s="114"/>
      <c r="RV97" s="114"/>
      <c r="RW97" s="114"/>
      <c r="RX97" s="114"/>
      <c r="RZ97" s="18"/>
      <c r="SN97" s="21"/>
      <c r="SO97" s="21"/>
      <c r="SP97" s="19"/>
      <c r="SQ97" s="20"/>
      <c r="SR97" s="19"/>
      <c r="ST97" s="114"/>
      <c r="SU97" s="114"/>
      <c r="SV97" s="114"/>
      <c r="SW97" s="114"/>
      <c r="SY97" s="18"/>
      <c r="TM97" s="21"/>
      <c r="TN97" s="21"/>
      <c r="TO97" s="19"/>
      <c r="TP97" s="20"/>
      <c r="TQ97" s="19"/>
      <c r="TS97" s="114"/>
      <c r="TT97" s="114"/>
      <c r="TU97" s="114"/>
      <c r="TV97" s="114"/>
      <c r="TX97" s="18"/>
      <c r="UL97" s="21"/>
      <c r="UM97" s="21"/>
      <c r="UN97" s="19"/>
      <c r="UO97" s="20"/>
      <c r="UP97" s="19"/>
      <c r="UR97" s="114"/>
      <c r="US97" s="114"/>
      <c r="UT97" s="114"/>
      <c r="UU97" s="114"/>
      <c r="UW97" s="18"/>
      <c r="VK97" s="21"/>
      <c r="VL97" s="21"/>
      <c r="VM97" s="19"/>
      <c r="VN97" s="20"/>
      <c r="VO97" s="19"/>
      <c r="VQ97" s="114"/>
      <c r="VR97" s="114"/>
      <c r="VS97" s="114"/>
      <c r="VT97" s="114"/>
      <c r="VV97" s="18"/>
      <c r="WJ97" s="21"/>
      <c r="WK97" s="21"/>
      <c r="WL97" s="19"/>
      <c r="WM97" s="20"/>
      <c r="WN97" s="19"/>
      <c r="WP97" s="114"/>
      <c r="WQ97" s="114"/>
      <c r="WR97" s="114"/>
      <c r="WS97" s="114"/>
      <c r="WU97" s="18"/>
      <c r="XI97" s="21"/>
      <c r="XJ97" s="21"/>
      <c r="XK97" s="19"/>
      <c r="XL97" s="20"/>
      <c r="XM97" s="19"/>
      <c r="XO97" s="114"/>
      <c r="XP97" s="114"/>
      <c r="XQ97" s="114"/>
      <c r="XR97" s="114"/>
      <c r="XT97" s="18"/>
      <c r="YH97" s="21"/>
      <c r="YI97" s="21"/>
      <c r="YJ97" s="19"/>
      <c r="YK97" s="20"/>
      <c r="YL97" s="19"/>
      <c r="YN97" s="114"/>
      <c r="YO97" s="114"/>
      <c r="YP97" s="114"/>
      <c r="YQ97" s="114"/>
      <c r="YS97" s="18"/>
      <c r="ZG97" s="21"/>
      <c r="ZH97" s="21"/>
      <c r="ZI97" s="19"/>
      <c r="ZJ97" s="20"/>
      <c r="ZK97" s="19"/>
      <c r="ZM97" s="114"/>
      <c r="ZN97" s="114"/>
      <c r="ZO97" s="114"/>
      <c r="ZP97" s="114"/>
      <c r="ZR97" s="18"/>
      <c r="AAF97" s="21"/>
      <c r="AAG97" s="21"/>
      <c r="AAH97" s="19"/>
      <c r="AAI97" s="20"/>
      <c r="AAJ97" s="19"/>
      <c r="AAL97" s="114"/>
      <c r="AAM97" s="114"/>
      <c r="AAN97" s="114"/>
      <c r="AAO97" s="114"/>
      <c r="AAQ97" s="18"/>
      <c r="ABE97" s="21"/>
      <c r="ABF97" s="21"/>
      <c r="ABG97" s="19"/>
      <c r="ABH97" s="20"/>
      <c r="ABI97" s="19"/>
      <c r="ABK97" s="114"/>
      <c r="ABL97" s="114"/>
      <c r="ABM97" s="114"/>
      <c r="ABN97" s="114"/>
      <c r="ABP97" s="18"/>
      <c r="ACD97" s="21"/>
      <c r="ACE97" s="21"/>
      <c r="ACF97" s="19"/>
      <c r="ACG97" s="20"/>
      <c r="ACH97" s="19"/>
      <c r="ACJ97" s="114"/>
      <c r="ACK97" s="114"/>
      <c r="ACL97" s="114"/>
      <c r="ACM97" s="114"/>
      <c r="ACO97" s="18"/>
      <c r="ADC97" s="21"/>
      <c r="ADD97" s="21"/>
      <c r="ADE97" s="19"/>
      <c r="ADF97" s="20"/>
      <c r="ADG97" s="19"/>
      <c r="ADI97" s="114"/>
      <c r="ADJ97" s="114"/>
      <c r="ADK97" s="114"/>
      <c r="ADL97" s="114"/>
      <c r="ADN97" s="18"/>
      <c r="AEB97" s="21"/>
      <c r="AEC97" s="21"/>
      <c r="AED97" s="19"/>
      <c r="AEE97" s="20"/>
      <c r="AEF97" s="19"/>
      <c r="AEH97" s="114"/>
      <c r="AEI97" s="114"/>
      <c r="AEJ97" s="114"/>
      <c r="AEK97" s="114"/>
      <c r="AEM97" s="18"/>
      <c r="AFA97" s="21"/>
      <c r="AFB97" s="21"/>
      <c r="AFC97" s="19"/>
      <c r="AFD97" s="20"/>
      <c r="AFE97" s="19"/>
      <c r="AFG97" s="114"/>
      <c r="AFH97" s="114"/>
      <c r="AFI97" s="114"/>
      <c r="AFJ97" s="114"/>
      <c r="AFL97" s="18"/>
      <c r="AFZ97" s="21"/>
      <c r="AGA97" s="21"/>
      <c r="AGB97" s="19"/>
      <c r="AGC97" s="20"/>
      <c r="AGD97" s="19"/>
      <c r="AGF97" s="114"/>
      <c r="AGG97" s="114"/>
      <c r="AGH97" s="114"/>
      <c r="AGI97" s="114"/>
      <c r="AGK97" s="18"/>
      <c r="AGY97" s="21"/>
      <c r="AGZ97" s="21"/>
      <c r="AHA97" s="19"/>
      <c r="AHB97" s="20"/>
      <c r="AHC97" s="19"/>
      <c r="AHE97" s="114"/>
      <c r="AHF97" s="114"/>
      <c r="AHG97" s="114"/>
      <c r="AHH97" s="114"/>
      <c r="AHJ97" s="18"/>
      <c r="AHX97" s="21"/>
      <c r="AHY97" s="21"/>
      <c r="AHZ97" s="19"/>
      <c r="AIA97" s="20"/>
      <c r="AIB97" s="19"/>
      <c r="AID97" s="114"/>
      <c r="AIE97" s="114"/>
      <c r="AIF97" s="114"/>
      <c r="AIG97" s="114"/>
      <c r="AII97" s="18"/>
      <c r="AIW97" s="21"/>
      <c r="AIX97" s="21"/>
      <c r="AIY97" s="19"/>
      <c r="AIZ97" s="20"/>
      <c r="AJA97" s="19"/>
      <c r="AJC97" s="114"/>
      <c r="AJD97" s="114"/>
      <c r="AJE97" s="114"/>
      <c r="AJF97" s="114"/>
      <c r="AJH97" s="18"/>
      <c r="AJV97" s="21"/>
      <c r="AJW97" s="21"/>
      <c r="AJX97" s="19"/>
      <c r="AJY97" s="20"/>
      <c r="AJZ97" s="19"/>
      <c r="AKB97" s="114"/>
      <c r="AKC97" s="114"/>
      <c r="AKD97" s="114"/>
      <c r="AKE97" s="114"/>
      <c r="AKG97" s="18"/>
      <c r="AKU97" s="21"/>
      <c r="AKV97" s="21"/>
      <c r="AKW97" s="19"/>
      <c r="AKX97" s="20"/>
      <c r="AKY97" s="19"/>
      <c r="ALA97" s="114"/>
      <c r="ALB97" s="114"/>
      <c r="ALC97" s="114"/>
      <c r="ALD97" s="114"/>
      <c r="ALF97" s="18"/>
      <c r="ALT97" s="21"/>
      <c r="ALU97" s="21"/>
      <c r="ALV97" s="19"/>
      <c r="ALW97" s="20"/>
      <c r="ALX97" s="19"/>
      <c r="ALZ97" s="114"/>
      <c r="AMA97" s="114"/>
      <c r="AMB97" s="114"/>
      <c r="AMC97" s="114"/>
      <c r="AME97" s="18"/>
      <c r="AMS97" s="21"/>
      <c r="AMT97" s="21"/>
      <c r="AMU97" s="19"/>
      <c r="AMV97" s="20"/>
      <c r="AMW97" s="19"/>
      <c r="AMY97" s="114"/>
      <c r="AMZ97" s="114"/>
      <c r="ANA97" s="114"/>
      <c r="ANB97" s="114"/>
      <c r="AND97" s="18"/>
      <c r="ANR97" s="21"/>
      <c r="ANS97" s="21"/>
      <c r="ANT97" s="19"/>
      <c r="ANU97" s="20"/>
      <c r="ANV97" s="19"/>
      <c r="ANX97" s="114"/>
      <c r="ANY97" s="114"/>
      <c r="ANZ97" s="114"/>
      <c r="AOA97" s="114"/>
      <c r="AOC97" s="18"/>
      <c r="AOQ97" s="21"/>
      <c r="AOR97" s="21"/>
      <c r="AOS97" s="19"/>
      <c r="AOT97" s="20"/>
      <c r="AOU97" s="19"/>
      <c r="AOW97" s="114"/>
      <c r="AOX97" s="114"/>
      <c r="AOY97" s="114"/>
      <c r="AOZ97" s="114"/>
      <c r="APB97" s="18"/>
      <c r="APP97" s="21"/>
      <c r="APQ97" s="21"/>
      <c r="APR97" s="19"/>
      <c r="APS97" s="20"/>
      <c r="APT97" s="19"/>
      <c r="APV97" s="114"/>
      <c r="APW97" s="114"/>
      <c r="APX97" s="114"/>
      <c r="APY97" s="114"/>
      <c r="AQA97" s="18"/>
      <c r="AQO97" s="21"/>
      <c r="AQP97" s="21"/>
      <c r="AQQ97" s="19"/>
      <c r="AQR97" s="20"/>
      <c r="AQS97" s="19"/>
      <c r="AQU97" s="114"/>
      <c r="AQV97" s="114"/>
      <c r="AQW97" s="114"/>
      <c r="AQX97" s="114"/>
      <c r="AQZ97" s="18"/>
      <c r="ARN97" s="21"/>
      <c r="ARO97" s="21"/>
      <c r="ARP97" s="19"/>
      <c r="ARQ97" s="20"/>
      <c r="ARR97" s="19"/>
      <c r="ART97" s="114"/>
      <c r="ARU97" s="114"/>
      <c r="ARV97" s="114"/>
      <c r="ARW97" s="114"/>
      <c r="ARY97" s="18"/>
      <c r="ASM97" s="21"/>
      <c r="ASN97" s="21"/>
      <c r="ASO97" s="19"/>
      <c r="ASP97" s="20"/>
      <c r="ASQ97" s="19"/>
      <c r="ASS97" s="114"/>
      <c r="AST97" s="114"/>
      <c r="ASU97" s="114"/>
      <c r="ASV97" s="114"/>
      <c r="ASX97" s="18"/>
      <c r="ATL97" s="21"/>
      <c r="ATM97" s="21"/>
      <c r="ATN97" s="19"/>
      <c r="ATO97" s="20"/>
      <c r="ATP97" s="19"/>
      <c r="ATR97" s="114"/>
      <c r="ATS97" s="114"/>
      <c r="ATT97" s="114"/>
      <c r="ATU97" s="114"/>
      <c r="ATW97" s="18"/>
      <c r="AUK97" s="21"/>
      <c r="AUL97" s="21"/>
      <c r="AUM97" s="19"/>
      <c r="AUN97" s="20"/>
      <c r="AUO97" s="19"/>
      <c r="AUQ97" s="114"/>
      <c r="AUR97" s="114"/>
      <c r="AUS97" s="114"/>
      <c r="AUT97" s="114"/>
      <c r="AUV97" s="18"/>
      <c r="AVJ97" s="21"/>
      <c r="AVK97" s="21"/>
      <c r="AVL97" s="19"/>
      <c r="AVM97" s="20"/>
      <c r="AVN97" s="19"/>
      <c r="AVP97" s="114"/>
      <c r="AVQ97" s="114"/>
      <c r="AVR97" s="114"/>
      <c r="AVS97" s="114"/>
      <c r="AVU97" s="18"/>
      <c r="AWI97" s="21"/>
      <c r="AWJ97" s="21"/>
      <c r="AWK97" s="19"/>
      <c r="AWL97" s="20"/>
      <c r="AWM97" s="19"/>
      <c r="AWO97" s="114"/>
      <c r="AWP97" s="114"/>
      <c r="AWQ97" s="114"/>
      <c r="AWR97" s="114"/>
      <c r="AWT97" s="18"/>
      <c r="AXH97" s="21"/>
      <c r="AXI97" s="21"/>
      <c r="AXJ97" s="19"/>
      <c r="AXK97" s="20"/>
      <c r="AXL97" s="19"/>
      <c r="AXN97" s="114"/>
      <c r="AXO97" s="114"/>
      <c r="AXP97" s="114"/>
      <c r="AXQ97" s="114"/>
      <c r="AXS97" s="18"/>
      <c r="AYG97" s="21"/>
      <c r="AYH97" s="21"/>
      <c r="AYI97" s="19"/>
      <c r="AYJ97" s="20"/>
      <c r="AYK97" s="19"/>
      <c r="AYM97" s="114"/>
      <c r="AYN97" s="114"/>
      <c r="AYO97" s="114"/>
      <c r="AYP97" s="114"/>
      <c r="AYR97" s="18"/>
      <c r="AZF97" s="21"/>
      <c r="AZG97" s="21"/>
      <c r="AZH97" s="19"/>
      <c r="AZI97" s="20"/>
      <c r="AZJ97" s="19"/>
      <c r="AZL97" s="114"/>
      <c r="AZM97" s="114"/>
      <c r="AZN97" s="114"/>
      <c r="AZO97" s="114"/>
      <c r="AZQ97" s="18"/>
      <c r="BAE97" s="21"/>
      <c r="BAF97" s="21"/>
      <c r="BAG97" s="19"/>
      <c r="BAH97" s="20"/>
      <c r="BAI97" s="19"/>
      <c r="BAK97" s="114"/>
      <c r="BAL97" s="114"/>
      <c r="BAM97" s="114"/>
      <c r="BAN97" s="114"/>
      <c r="BAP97" s="18"/>
      <c r="BBD97" s="21"/>
      <c r="BBE97" s="21"/>
      <c r="BBF97" s="19"/>
      <c r="BBG97" s="20"/>
      <c r="BBH97" s="19"/>
      <c r="BBJ97" s="114"/>
      <c r="BBK97" s="114"/>
      <c r="BBL97" s="114"/>
      <c r="BBM97" s="114"/>
      <c r="BBO97" s="18"/>
      <c r="BCC97" s="21"/>
      <c r="BCD97" s="21"/>
      <c r="BCE97" s="19"/>
      <c r="BCF97" s="20"/>
      <c r="BCG97" s="19"/>
      <c r="BCI97" s="114"/>
      <c r="BCJ97" s="114"/>
      <c r="BCK97" s="114"/>
      <c r="BCL97" s="114"/>
      <c r="BCN97" s="18"/>
      <c r="BDB97" s="21"/>
      <c r="BDC97" s="21"/>
      <c r="BDD97" s="19"/>
      <c r="BDE97" s="20"/>
      <c r="BDF97" s="19"/>
      <c r="BDH97" s="114"/>
      <c r="BDI97" s="114"/>
      <c r="BDJ97" s="114"/>
      <c r="BDK97" s="114"/>
      <c r="BDM97" s="18"/>
      <c r="BEA97" s="21"/>
      <c r="BEB97" s="21"/>
      <c r="BEC97" s="19"/>
      <c r="BED97" s="20"/>
      <c r="BEE97" s="19"/>
      <c r="BEG97" s="114"/>
      <c r="BEH97" s="114"/>
      <c r="BEI97" s="114"/>
      <c r="BEJ97" s="114"/>
      <c r="BEL97" s="18"/>
      <c r="BEZ97" s="21"/>
      <c r="BFA97" s="21"/>
      <c r="BFB97" s="19"/>
      <c r="BFC97" s="20"/>
      <c r="BFD97" s="19"/>
      <c r="BFF97" s="114"/>
      <c r="BFG97" s="114"/>
      <c r="BFH97" s="114"/>
      <c r="BFI97" s="114"/>
      <c r="BFK97" s="18"/>
      <c r="BFY97" s="21"/>
      <c r="BFZ97" s="21"/>
      <c r="BGA97" s="19"/>
      <c r="BGB97" s="20"/>
      <c r="BGC97" s="19"/>
      <c r="BGE97" s="114"/>
      <c r="BGF97" s="114"/>
      <c r="BGG97" s="114"/>
      <c r="BGH97" s="114"/>
      <c r="BGJ97" s="18"/>
      <c r="BGX97" s="21"/>
      <c r="BGY97" s="21"/>
      <c r="BGZ97" s="19"/>
      <c r="BHA97" s="20"/>
      <c r="BHB97" s="19"/>
      <c r="BHD97" s="114"/>
      <c r="BHE97" s="114"/>
      <c r="BHF97" s="114"/>
      <c r="BHG97" s="114"/>
      <c r="BHI97" s="18"/>
      <c r="BHW97" s="21"/>
      <c r="BHX97" s="21"/>
      <c r="BHY97" s="19"/>
      <c r="BHZ97" s="20"/>
      <c r="BIA97" s="19"/>
      <c r="BIC97" s="114"/>
      <c r="BID97" s="114"/>
      <c r="BIE97" s="114"/>
      <c r="BIF97" s="114"/>
      <c r="BIH97" s="18"/>
      <c r="BIV97" s="21"/>
      <c r="BIW97" s="21"/>
      <c r="BIX97" s="19"/>
      <c r="BIY97" s="20"/>
      <c r="BIZ97" s="19"/>
      <c r="BJB97" s="114"/>
      <c r="BJC97" s="114"/>
      <c r="BJD97" s="114"/>
      <c r="BJE97" s="114"/>
      <c r="BJG97" s="18"/>
      <c r="BJU97" s="21"/>
      <c r="BJV97" s="21"/>
      <c r="BJW97" s="19"/>
      <c r="BJX97" s="20"/>
      <c r="BJY97" s="19"/>
      <c r="BKA97" s="114"/>
      <c r="BKB97" s="114"/>
      <c r="BKC97" s="114"/>
      <c r="BKD97" s="114"/>
      <c r="BKF97" s="18"/>
      <c r="BKT97" s="21"/>
      <c r="BKU97" s="21"/>
      <c r="BKV97" s="19"/>
      <c r="BKW97" s="20"/>
      <c r="BKX97" s="19"/>
      <c r="BKZ97" s="114"/>
      <c r="BLA97" s="114"/>
      <c r="BLB97" s="114"/>
      <c r="BLC97" s="114"/>
      <c r="BLE97" s="18"/>
      <c r="BLS97" s="21"/>
      <c r="BLT97" s="21"/>
      <c r="BLU97" s="19"/>
      <c r="BLV97" s="20"/>
      <c r="BLW97" s="19"/>
      <c r="BLY97" s="114"/>
      <c r="BLZ97" s="114"/>
      <c r="BMA97" s="114"/>
      <c r="BMB97" s="114"/>
      <c r="BMD97" s="18"/>
      <c r="BMR97" s="21"/>
      <c r="BMS97" s="21"/>
      <c r="BMT97" s="19"/>
      <c r="BMU97" s="20"/>
      <c r="BMV97" s="19"/>
      <c r="BMX97" s="114"/>
      <c r="BMY97" s="114"/>
      <c r="BMZ97" s="114"/>
      <c r="BNA97" s="114"/>
      <c r="BNC97" s="18"/>
      <c r="BNQ97" s="21"/>
      <c r="BNR97" s="21"/>
      <c r="BNS97" s="19"/>
      <c r="BNT97" s="20"/>
      <c r="BNU97" s="19"/>
      <c r="BNW97" s="114"/>
      <c r="BNX97" s="114"/>
      <c r="BNY97" s="114"/>
      <c r="BNZ97" s="114"/>
      <c r="BOB97" s="18"/>
      <c r="BOP97" s="21"/>
      <c r="BOQ97" s="21"/>
      <c r="BOR97" s="19"/>
      <c r="BOS97" s="20"/>
      <c r="BOT97" s="19"/>
      <c r="BOV97" s="114"/>
      <c r="BOW97" s="114"/>
      <c r="BOX97" s="114"/>
      <c r="BOY97" s="114"/>
      <c r="BPA97" s="18"/>
      <c r="BPO97" s="21"/>
      <c r="BPP97" s="21"/>
      <c r="BPQ97" s="19"/>
      <c r="BPR97" s="20"/>
      <c r="BPS97" s="19"/>
      <c r="BPU97" s="114"/>
      <c r="BPV97" s="114"/>
      <c r="BPW97" s="114"/>
      <c r="BPX97" s="114"/>
      <c r="BPZ97" s="18"/>
      <c r="BQN97" s="21"/>
      <c r="BQO97" s="21"/>
      <c r="BQP97" s="19"/>
      <c r="BQQ97" s="20"/>
      <c r="BQR97" s="19"/>
      <c r="BQT97" s="114"/>
      <c r="BQU97" s="114"/>
      <c r="BQV97" s="114"/>
      <c r="BQW97" s="114"/>
      <c r="BQY97" s="18"/>
      <c r="BRM97" s="21"/>
      <c r="BRN97" s="21"/>
      <c r="BRO97" s="19"/>
      <c r="BRP97" s="20"/>
      <c r="BRQ97" s="19"/>
      <c r="BRS97" s="114"/>
      <c r="BRT97" s="114"/>
      <c r="BRU97" s="114"/>
      <c r="BRV97" s="114"/>
      <c r="BRX97" s="18"/>
      <c r="BSL97" s="21"/>
      <c r="BSM97" s="21"/>
      <c r="BSN97" s="19"/>
      <c r="BSO97" s="20"/>
      <c r="BSP97" s="19"/>
      <c r="BSR97" s="114"/>
      <c r="BSS97" s="114"/>
      <c r="BST97" s="114"/>
      <c r="BSU97" s="114"/>
      <c r="BSW97" s="18"/>
      <c r="BTK97" s="21"/>
      <c r="BTL97" s="21"/>
      <c r="BTM97" s="19"/>
      <c r="BTN97" s="20"/>
      <c r="BTO97" s="19"/>
      <c r="BTQ97" s="114"/>
      <c r="BTR97" s="114"/>
      <c r="BTS97" s="114"/>
      <c r="BTT97" s="114"/>
      <c r="BTV97" s="18"/>
      <c r="BUJ97" s="21"/>
      <c r="BUK97" s="21"/>
      <c r="BUL97" s="19"/>
      <c r="BUM97" s="20"/>
      <c r="BUN97" s="19"/>
      <c r="BUP97" s="114"/>
      <c r="BUQ97" s="114"/>
      <c r="BUR97" s="114"/>
      <c r="BUS97" s="114"/>
      <c r="BUU97" s="18"/>
      <c r="BVI97" s="21"/>
      <c r="BVJ97" s="21"/>
      <c r="BVK97" s="19"/>
      <c r="BVL97" s="20"/>
      <c r="BVM97" s="19"/>
      <c r="BVO97" s="114"/>
      <c r="BVP97" s="114"/>
      <c r="BVQ97" s="114"/>
      <c r="BVR97" s="114"/>
      <c r="BVT97" s="18"/>
      <c r="BWH97" s="21"/>
      <c r="BWI97" s="21"/>
      <c r="BWJ97" s="19"/>
      <c r="BWK97" s="20"/>
      <c r="BWL97" s="19"/>
      <c r="BWN97" s="114"/>
      <c r="BWO97" s="114"/>
      <c r="BWP97" s="114"/>
      <c r="BWQ97" s="114"/>
      <c r="BWS97" s="18"/>
      <c r="BXG97" s="21"/>
      <c r="BXH97" s="21"/>
      <c r="BXI97" s="19"/>
      <c r="BXJ97" s="20"/>
      <c r="BXK97" s="19"/>
      <c r="BXM97" s="114"/>
      <c r="BXN97" s="114"/>
      <c r="BXO97" s="114"/>
      <c r="BXP97" s="114"/>
      <c r="BXR97" s="18"/>
      <c r="BYF97" s="21"/>
      <c r="BYG97" s="21"/>
      <c r="BYH97" s="19"/>
      <c r="BYI97" s="20"/>
      <c r="BYJ97" s="19"/>
      <c r="BYL97" s="114"/>
      <c r="BYM97" s="114"/>
      <c r="BYN97" s="114"/>
      <c r="BYO97" s="114"/>
      <c r="BYQ97" s="18"/>
      <c r="BZE97" s="21"/>
      <c r="BZF97" s="21"/>
      <c r="BZG97" s="19"/>
      <c r="BZH97" s="20"/>
      <c r="BZI97" s="19"/>
      <c r="BZK97" s="114"/>
      <c r="BZL97" s="114"/>
      <c r="BZM97" s="114"/>
      <c r="BZN97" s="114"/>
      <c r="BZP97" s="18"/>
      <c r="CAD97" s="21"/>
      <c r="CAE97" s="21"/>
      <c r="CAF97" s="19"/>
      <c r="CAG97" s="20"/>
      <c r="CAH97" s="19"/>
      <c r="CAJ97" s="114"/>
      <c r="CAK97" s="114"/>
      <c r="CAL97" s="114"/>
      <c r="CAM97" s="114"/>
      <c r="CAO97" s="18"/>
      <c r="CBC97" s="21"/>
      <c r="CBD97" s="21"/>
      <c r="CBE97" s="19"/>
      <c r="CBF97" s="20"/>
      <c r="CBG97" s="19"/>
      <c r="CBI97" s="114"/>
      <c r="CBJ97" s="114"/>
      <c r="CBK97" s="114"/>
      <c r="CBL97" s="114"/>
      <c r="CBN97" s="18"/>
      <c r="CCB97" s="21"/>
      <c r="CCC97" s="21"/>
      <c r="CCD97" s="19"/>
      <c r="CCE97" s="20"/>
      <c r="CCF97" s="19"/>
      <c r="CCH97" s="114"/>
      <c r="CCI97" s="114"/>
      <c r="CCJ97" s="114"/>
      <c r="CCK97" s="114"/>
      <c r="CCM97" s="18"/>
      <c r="CDA97" s="21"/>
      <c r="CDB97" s="21"/>
      <c r="CDC97" s="19"/>
      <c r="CDD97" s="20"/>
      <c r="CDE97" s="19"/>
      <c r="CDG97" s="114"/>
      <c r="CDH97" s="114"/>
      <c r="CDI97" s="114"/>
      <c r="CDJ97" s="114"/>
      <c r="CDL97" s="18"/>
      <c r="CDZ97" s="21"/>
      <c r="CEA97" s="21"/>
      <c r="CEB97" s="19"/>
      <c r="CEC97" s="20"/>
      <c r="CED97" s="19"/>
      <c r="CEF97" s="114"/>
      <c r="CEG97" s="114"/>
      <c r="CEH97" s="114"/>
      <c r="CEI97" s="114"/>
      <c r="CEK97" s="18"/>
      <c r="CEY97" s="21"/>
      <c r="CEZ97" s="21"/>
      <c r="CFA97" s="19"/>
      <c r="CFB97" s="20"/>
      <c r="CFC97" s="19"/>
      <c r="CFE97" s="114"/>
      <c r="CFF97" s="114"/>
      <c r="CFG97" s="114"/>
      <c r="CFH97" s="114"/>
      <c r="CFJ97" s="18"/>
      <c r="CFX97" s="21"/>
      <c r="CFY97" s="21"/>
      <c r="CFZ97" s="19"/>
      <c r="CGA97" s="20"/>
      <c r="CGB97" s="19"/>
      <c r="CGD97" s="114"/>
      <c r="CGE97" s="114"/>
      <c r="CGF97" s="114"/>
      <c r="CGG97" s="114"/>
      <c r="CGI97" s="18"/>
      <c r="CGW97" s="21"/>
      <c r="CGX97" s="21"/>
      <c r="CGY97" s="19"/>
      <c r="CGZ97" s="20"/>
      <c r="CHA97" s="19"/>
      <c r="CHC97" s="114"/>
      <c r="CHD97" s="114"/>
      <c r="CHE97" s="114"/>
      <c r="CHF97" s="114"/>
      <c r="CHH97" s="18"/>
      <c r="CHV97" s="21"/>
      <c r="CHW97" s="21"/>
      <c r="CHX97" s="19"/>
      <c r="CHY97" s="20"/>
      <c r="CHZ97" s="19"/>
      <c r="CIB97" s="114"/>
      <c r="CIC97" s="114"/>
      <c r="CID97" s="114"/>
      <c r="CIE97" s="114"/>
      <c r="CIG97" s="18"/>
      <c r="CIU97" s="21"/>
      <c r="CIV97" s="21"/>
      <c r="CIW97" s="19"/>
      <c r="CIX97" s="20"/>
      <c r="CIY97" s="19"/>
      <c r="CJA97" s="114"/>
      <c r="CJB97" s="114"/>
      <c r="CJC97" s="114"/>
      <c r="CJD97" s="114"/>
      <c r="CJF97" s="18"/>
      <c r="CJT97" s="21"/>
      <c r="CJU97" s="21"/>
      <c r="CJV97" s="19"/>
      <c r="CJW97" s="20"/>
      <c r="CJX97" s="19"/>
      <c r="CJZ97" s="114"/>
      <c r="CKA97" s="114"/>
      <c r="CKB97" s="114"/>
      <c r="CKC97" s="114"/>
      <c r="CKE97" s="18"/>
      <c r="CKS97" s="21"/>
      <c r="CKT97" s="21"/>
      <c r="CKU97" s="19"/>
      <c r="CKV97" s="20"/>
      <c r="CKW97" s="19"/>
      <c r="CKY97" s="114"/>
      <c r="CKZ97" s="114"/>
      <c r="CLA97" s="114"/>
      <c r="CLB97" s="114"/>
      <c r="CLD97" s="18"/>
      <c r="CLR97" s="21"/>
      <c r="CLS97" s="21"/>
      <c r="CLT97" s="19"/>
      <c r="CLU97" s="20"/>
      <c r="CLV97" s="19"/>
      <c r="CLX97" s="114"/>
      <c r="CLY97" s="114"/>
      <c r="CLZ97" s="114"/>
      <c r="CMA97" s="114"/>
      <c r="CMC97" s="18"/>
      <c r="CMQ97" s="21"/>
      <c r="CMR97" s="21"/>
      <c r="CMS97" s="19"/>
      <c r="CMT97" s="20"/>
      <c r="CMU97" s="19"/>
      <c r="CMW97" s="114"/>
      <c r="CMX97" s="114"/>
      <c r="CMY97" s="114"/>
      <c r="CMZ97" s="114"/>
      <c r="CNB97" s="18"/>
      <c r="CNP97" s="21"/>
      <c r="CNQ97" s="21"/>
      <c r="CNR97" s="19"/>
      <c r="CNS97" s="20"/>
      <c r="CNT97" s="19"/>
      <c r="CNV97" s="114"/>
      <c r="CNW97" s="114"/>
      <c r="CNX97" s="114"/>
      <c r="CNY97" s="114"/>
      <c r="COA97" s="18"/>
      <c r="COO97" s="21"/>
      <c r="COP97" s="21"/>
      <c r="COQ97" s="19"/>
      <c r="COR97" s="20"/>
      <c r="COS97" s="19"/>
      <c r="COU97" s="114"/>
      <c r="COV97" s="114"/>
      <c r="COW97" s="114"/>
      <c r="COX97" s="114"/>
      <c r="COZ97" s="18"/>
      <c r="CPN97" s="21"/>
      <c r="CPO97" s="21"/>
      <c r="CPP97" s="19"/>
      <c r="CPQ97" s="20"/>
      <c r="CPR97" s="19"/>
      <c r="CPT97" s="114"/>
      <c r="CPU97" s="114"/>
      <c r="CPV97" s="114"/>
      <c r="CPW97" s="114"/>
      <c r="CPY97" s="18"/>
      <c r="CQM97" s="21"/>
      <c r="CQN97" s="21"/>
      <c r="CQO97" s="19"/>
      <c r="CQP97" s="20"/>
      <c r="CQQ97" s="19"/>
      <c r="CQS97" s="114"/>
      <c r="CQT97" s="114"/>
      <c r="CQU97" s="114"/>
      <c r="CQV97" s="114"/>
      <c r="CQX97" s="18"/>
      <c r="CRL97" s="21"/>
      <c r="CRM97" s="21"/>
      <c r="CRN97" s="19"/>
      <c r="CRO97" s="20"/>
      <c r="CRP97" s="19"/>
      <c r="CRR97" s="114"/>
      <c r="CRS97" s="114"/>
      <c r="CRT97" s="114"/>
      <c r="CRU97" s="114"/>
      <c r="CRW97" s="18"/>
      <c r="CSK97" s="21"/>
      <c r="CSL97" s="21"/>
      <c r="CSM97" s="19"/>
      <c r="CSN97" s="20"/>
      <c r="CSO97" s="19"/>
      <c r="CSQ97" s="114"/>
      <c r="CSR97" s="114"/>
      <c r="CSS97" s="114"/>
      <c r="CST97" s="114"/>
      <c r="CSV97" s="18"/>
      <c r="CTJ97" s="21"/>
      <c r="CTK97" s="21"/>
      <c r="CTL97" s="19"/>
      <c r="CTM97" s="20"/>
      <c r="CTN97" s="19"/>
      <c r="CTP97" s="114"/>
      <c r="CTQ97" s="114"/>
      <c r="CTR97" s="114"/>
      <c r="CTS97" s="114"/>
      <c r="CTU97" s="18"/>
      <c r="CUI97" s="21"/>
      <c r="CUJ97" s="21"/>
      <c r="CUK97" s="19"/>
      <c r="CUL97" s="20"/>
      <c r="CUM97" s="19"/>
      <c r="CUO97" s="114"/>
      <c r="CUP97" s="114"/>
      <c r="CUQ97" s="114"/>
      <c r="CUR97" s="114"/>
      <c r="CUT97" s="18"/>
      <c r="CVH97" s="21"/>
      <c r="CVI97" s="21"/>
      <c r="CVJ97" s="19"/>
      <c r="CVK97" s="20"/>
      <c r="CVL97" s="19"/>
      <c r="CVN97" s="114"/>
      <c r="CVO97" s="114"/>
      <c r="CVP97" s="114"/>
      <c r="CVQ97" s="114"/>
      <c r="CVS97" s="18"/>
      <c r="CWG97" s="21"/>
      <c r="CWH97" s="21"/>
      <c r="CWI97" s="19"/>
      <c r="CWJ97" s="20"/>
      <c r="CWK97" s="19"/>
      <c r="CWM97" s="114"/>
      <c r="CWN97" s="114"/>
      <c r="CWO97" s="114"/>
      <c r="CWP97" s="114"/>
      <c r="CWR97" s="18"/>
      <c r="CXF97" s="21"/>
      <c r="CXG97" s="21"/>
      <c r="CXH97" s="19"/>
      <c r="CXI97" s="20"/>
      <c r="CXJ97" s="19"/>
      <c r="CXL97" s="114"/>
      <c r="CXM97" s="114"/>
      <c r="CXN97" s="114"/>
      <c r="CXO97" s="114"/>
      <c r="CXQ97" s="18"/>
      <c r="CYE97" s="21"/>
      <c r="CYF97" s="21"/>
      <c r="CYG97" s="19"/>
      <c r="CYH97" s="20"/>
      <c r="CYI97" s="19"/>
      <c r="CYK97" s="114"/>
      <c r="CYL97" s="114"/>
      <c r="CYM97" s="114"/>
      <c r="CYN97" s="114"/>
      <c r="CYP97" s="18"/>
      <c r="CZD97" s="21"/>
      <c r="CZE97" s="21"/>
      <c r="CZF97" s="19"/>
      <c r="CZG97" s="20"/>
      <c r="CZH97" s="19"/>
      <c r="CZJ97" s="114"/>
      <c r="CZK97" s="114"/>
      <c r="CZL97" s="114"/>
      <c r="CZM97" s="114"/>
      <c r="CZO97" s="18"/>
      <c r="DAC97" s="21"/>
      <c r="DAD97" s="21"/>
      <c r="DAE97" s="19"/>
      <c r="DAF97" s="20"/>
      <c r="DAG97" s="19"/>
      <c r="DAI97" s="114"/>
      <c r="DAJ97" s="114"/>
      <c r="DAK97" s="114"/>
      <c r="DAL97" s="114"/>
      <c r="DAN97" s="18"/>
      <c r="DBB97" s="21"/>
      <c r="DBC97" s="21"/>
      <c r="DBD97" s="19"/>
      <c r="DBE97" s="20"/>
      <c r="DBF97" s="19"/>
      <c r="DBH97" s="114"/>
      <c r="DBI97" s="114"/>
      <c r="DBJ97" s="114"/>
      <c r="DBK97" s="114"/>
      <c r="DBM97" s="18"/>
      <c r="DCA97" s="21"/>
      <c r="DCB97" s="21"/>
      <c r="DCC97" s="19"/>
      <c r="DCD97" s="20"/>
      <c r="DCE97" s="19"/>
      <c r="DCG97" s="114"/>
      <c r="DCH97" s="114"/>
      <c r="DCI97" s="114"/>
      <c r="DCJ97" s="114"/>
      <c r="DCL97" s="18"/>
      <c r="DCZ97" s="21"/>
      <c r="DDA97" s="21"/>
      <c r="DDB97" s="19"/>
      <c r="DDC97" s="20"/>
      <c r="DDD97" s="19"/>
      <c r="DDF97" s="114"/>
      <c r="DDG97" s="114"/>
      <c r="DDH97" s="114"/>
      <c r="DDI97" s="114"/>
      <c r="DDK97" s="18"/>
      <c r="DDY97" s="21"/>
      <c r="DDZ97" s="21"/>
      <c r="DEA97" s="19"/>
      <c r="DEB97" s="20"/>
      <c r="DEC97" s="19"/>
      <c r="DEE97" s="114"/>
      <c r="DEF97" s="114"/>
      <c r="DEG97" s="114"/>
      <c r="DEH97" s="114"/>
      <c r="DEJ97" s="18"/>
      <c r="DEX97" s="21"/>
      <c r="DEY97" s="21"/>
      <c r="DEZ97" s="19"/>
      <c r="DFA97" s="20"/>
      <c r="DFB97" s="19"/>
      <c r="DFD97" s="114"/>
      <c r="DFE97" s="114"/>
      <c r="DFF97" s="114"/>
      <c r="DFG97" s="114"/>
      <c r="DFI97" s="18"/>
      <c r="DFW97" s="21"/>
      <c r="DFX97" s="21"/>
      <c r="DFY97" s="19"/>
      <c r="DFZ97" s="20"/>
      <c r="DGA97" s="19"/>
      <c r="DGC97" s="114"/>
      <c r="DGD97" s="114"/>
      <c r="DGE97" s="114"/>
      <c r="DGF97" s="114"/>
      <c r="DGH97" s="18"/>
      <c r="DGV97" s="21"/>
      <c r="DGW97" s="21"/>
      <c r="DGX97" s="19"/>
      <c r="DGY97" s="20"/>
      <c r="DGZ97" s="19"/>
      <c r="DHB97" s="114"/>
      <c r="DHC97" s="114"/>
      <c r="DHD97" s="114"/>
      <c r="DHE97" s="114"/>
      <c r="DHG97" s="18"/>
      <c r="DHU97" s="21"/>
      <c r="DHV97" s="21"/>
      <c r="DHW97" s="19"/>
      <c r="DHX97" s="20"/>
      <c r="DHY97" s="19"/>
      <c r="DIA97" s="114"/>
      <c r="DIB97" s="114"/>
      <c r="DIC97" s="114"/>
      <c r="DID97" s="114"/>
      <c r="DIF97" s="18"/>
      <c r="DIT97" s="21"/>
      <c r="DIU97" s="21"/>
      <c r="DIV97" s="19"/>
      <c r="DIW97" s="20"/>
      <c r="DIX97" s="19"/>
      <c r="DIZ97" s="114"/>
      <c r="DJA97" s="114"/>
      <c r="DJB97" s="114"/>
      <c r="DJC97" s="114"/>
      <c r="DJE97" s="18"/>
      <c r="DJS97" s="21"/>
      <c r="DJT97" s="21"/>
      <c r="DJU97" s="19"/>
      <c r="DJV97" s="20"/>
      <c r="DJW97" s="19"/>
      <c r="DJY97" s="114"/>
      <c r="DJZ97" s="114"/>
      <c r="DKA97" s="114"/>
      <c r="DKB97" s="114"/>
      <c r="DKD97" s="18"/>
      <c r="DKR97" s="21"/>
      <c r="DKS97" s="21"/>
      <c r="DKT97" s="19"/>
      <c r="DKU97" s="20"/>
      <c r="DKV97" s="19"/>
      <c r="DKX97" s="114"/>
      <c r="DKY97" s="114"/>
      <c r="DKZ97" s="114"/>
      <c r="DLA97" s="114"/>
      <c r="DLC97" s="18"/>
      <c r="DLQ97" s="21"/>
      <c r="DLR97" s="21"/>
      <c r="DLS97" s="19"/>
      <c r="DLT97" s="20"/>
      <c r="DLU97" s="19"/>
      <c r="DLW97" s="114"/>
      <c r="DLX97" s="114"/>
      <c r="DLY97" s="114"/>
      <c r="DLZ97" s="114"/>
      <c r="DMB97" s="18"/>
      <c r="DMP97" s="21"/>
      <c r="DMQ97" s="21"/>
      <c r="DMR97" s="19"/>
      <c r="DMS97" s="20"/>
      <c r="DMT97" s="19"/>
      <c r="DMV97" s="114"/>
      <c r="DMW97" s="114"/>
      <c r="DMX97" s="114"/>
      <c r="DMY97" s="114"/>
      <c r="DNA97" s="18"/>
      <c r="DNO97" s="21"/>
      <c r="DNP97" s="21"/>
      <c r="DNQ97" s="19"/>
      <c r="DNR97" s="20"/>
      <c r="DNS97" s="19"/>
      <c r="DNU97" s="114"/>
      <c r="DNV97" s="114"/>
      <c r="DNW97" s="114"/>
      <c r="DNX97" s="114"/>
      <c r="DNZ97" s="18"/>
      <c r="DON97" s="21"/>
      <c r="DOO97" s="21"/>
      <c r="DOP97" s="19"/>
      <c r="DOQ97" s="20"/>
      <c r="DOR97" s="19"/>
      <c r="DOT97" s="114"/>
      <c r="DOU97" s="114"/>
      <c r="DOV97" s="114"/>
      <c r="DOW97" s="114"/>
      <c r="DOY97" s="18"/>
      <c r="DPM97" s="21"/>
      <c r="DPN97" s="21"/>
      <c r="DPO97" s="19"/>
      <c r="DPP97" s="20"/>
      <c r="DPQ97" s="19"/>
      <c r="DPS97" s="114"/>
      <c r="DPT97" s="114"/>
      <c r="DPU97" s="114"/>
      <c r="DPV97" s="114"/>
      <c r="DPX97" s="18"/>
      <c r="DQL97" s="21"/>
      <c r="DQM97" s="21"/>
      <c r="DQN97" s="19"/>
      <c r="DQO97" s="20"/>
      <c r="DQP97" s="19"/>
      <c r="DQR97" s="114"/>
      <c r="DQS97" s="114"/>
      <c r="DQT97" s="114"/>
      <c r="DQU97" s="114"/>
      <c r="DQW97" s="18"/>
      <c r="DRK97" s="21"/>
      <c r="DRL97" s="21"/>
      <c r="DRM97" s="19"/>
      <c r="DRN97" s="20"/>
      <c r="DRO97" s="19"/>
      <c r="DRQ97" s="114"/>
      <c r="DRR97" s="114"/>
      <c r="DRS97" s="114"/>
      <c r="DRT97" s="114"/>
      <c r="DRV97" s="18"/>
      <c r="DSJ97" s="21"/>
      <c r="DSK97" s="21"/>
      <c r="DSL97" s="19"/>
      <c r="DSM97" s="20"/>
      <c r="DSN97" s="19"/>
      <c r="DSP97" s="114"/>
      <c r="DSQ97" s="114"/>
      <c r="DSR97" s="114"/>
      <c r="DSS97" s="114"/>
      <c r="DSU97" s="18"/>
      <c r="DTI97" s="21"/>
      <c r="DTJ97" s="21"/>
      <c r="DTK97" s="19"/>
      <c r="DTL97" s="20"/>
      <c r="DTM97" s="19"/>
      <c r="DTO97" s="114"/>
      <c r="DTP97" s="114"/>
      <c r="DTQ97" s="114"/>
      <c r="DTR97" s="114"/>
      <c r="DTT97" s="18"/>
      <c r="DUH97" s="21"/>
      <c r="DUI97" s="21"/>
      <c r="DUJ97" s="19"/>
      <c r="DUK97" s="20"/>
      <c r="DUL97" s="19"/>
      <c r="DUN97" s="114"/>
      <c r="DUO97" s="114"/>
      <c r="DUP97" s="114"/>
      <c r="DUQ97" s="114"/>
      <c r="DUS97" s="18"/>
      <c r="DVG97" s="21"/>
      <c r="DVH97" s="21"/>
      <c r="DVI97" s="19"/>
      <c r="DVJ97" s="20"/>
      <c r="DVK97" s="19"/>
      <c r="DVM97" s="114"/>
      <c r="DVN97" s="114"/>
      <c r="DVO97" s="114"/>
      <c r="DVP97" s="114"/>
      <c r="DVR97" s="18"/>
      <c r="DWF97" s="21"/>
      <c r="DWG97" s="21"/>
      <c r="DWH97" s="19"/>
      <c r="DWI97" s="20"/>
      <c r="DWJ97" s="19"/>
      <c r="DWL97" s="114"/>
      <c r="DWM97" s="114"/>
      <c r="DWN97" s="114"/>
      <c r="DWO97" s="114"/>
      <c r="DWQ97" s="18"/>
      <c r="DXE97" s="21"/>
      <c r="DXF97" s="21"/>
      <c r="DXG97" s="19"/>
      <c r="DXH97" s="20"/>
      <c r="DXI97" s="19"/>
      <c r="DXK97" s="114"/>
      <c r="DXL97" s="114"/>
      <c r="DXM97" s="114"/>
      <c r="DXN97" s="114"/>
      <c r="DXP97" s="18"/>
      <c r="DYD97" s="21"/>
      <c r="DYE97" s="21"/>
      <c r="DYF97" s="19"/>
      <c r="DYG97" s="20"/>
      <c r="DYH97" s="19"/>
      <c r="DYJ97" s="114"/>
      <c r="DYK97" s="114"/>
      <c r="DYL97" s="114"/>
      <c r="DYM97" s="114"/>
      <c r="DYO97" s="18"/>
      <c r="DZC97" s="21"/>
      <c r="DZD97" s="21"/>
      <c r="DZE97" s="19"/>
      <c r="DZF97" s="20"/>
      <c r="DZG97" s="19"/>
      <c r="DZI97" s="114"/>
      <c r="DZJ97" s="114"/>
      <c r="DZK97" s="114"/>
      <c r="DZL97" s="114"/>
      <c r="DZN97" s="18"/>
      <c r="EAB97" s="21"/>
      <c r="EAC97" s="21"/>
      <c r="EAD97" s="19"/>
      <c r="EAE97" s="20"/>
      <c r="EAF97" s="19"/>
      <c r="EAH97" s="114"/>
      <c r="EAI97" s="114"/>
      <c r="EAJ97" s="114"/>
      <c r="EAK97" s="114"/>
      <c r="EAM97" s="18"/>
      <c r="EBA97" s="21"/>
      <c r="EBB97" s="21"/>
      <c r="EBC97" s="19"/>
      <c r="EBD97" s="20"/>
      <c r="EBE97" s="19"/>
      <c r="EBG97" s="114"/>
      <c r="EBH97" s="114"/>
      <c r="EBI97" s="114"/>
      <c r="EBJ97" s="114"/>
      <c r="EBL97" s="18"/>
      <c r="EBZ97" s="21"/>
      <c r="ECA97" s="21"/>
      <c r="ECB97" s="19"/>
      <c r="ECC97" s="20"/>
      <c r="ECD97" s="19"/>
      <c r="ECF97" s="114"/>
      <c r="ECG97" s="114"/>
      <c r="ECH97" s="114"/>
      <c r="ECI97" s="114"/>
      <c r="ECK97" s="18"/>
      <c r="ECY97" s="21"/>
      <c r="ECZ97" s="21"/>
      <c r="EDA97" s="19"/>
      <c r="EDB97" s="20"/>
      <c r="EDC97" s="19"/>
      <c r="EDE97" s="114"/>
      <c r="EDF97" s="114"/>
      <c r="EDG97" s="114"/>
      <c r="EDH97" s="114"/>
      <c r="EDJ97" s="18"/>
      <c r="EDX97" s="21"/>
      <c r="EDY97" s="21"/>
      <c r="EDZ97" s="19"/>
      <c r="EEA97" s="20"/>
      <c r="EEB97" s="19"/>
      <c r="EED97" s="114"/>
      <c r="EEE97" s="114"/>
      <c r="EEF97" s="114"/>
      <c r="EEG97" s="114"/>
      <c r="EEI97" s="18"/>
      <c r="EEW97" s="21"/>
      <c r="EEX97" s="21"/>
      <c r="EEY97" s="19"/>
      <c r="EEZ97" s="20"/>
      <c r="EFA97" s="19"/>
      <c r="EFC97" s="114"/>
      <c r="EFD97" s="114"/>
      <c r="EFE97" s="114"/>
      <c r="EFF97" s="114"/>
      <c r="EFH97" s="18"/>
      <c r="EFV97" s="21"/>
      <c r="EFW97" s="21"/>
      <c r="EFX97" s="19"/>
      <c r="EFY97" s="20"/>
      <c r="EFZ97" s="19"/>
      <c r="EGB97" s="114"/>
      <c r="EGC97" s="114"/>
      <c r="EGD97" s="114"/>
      <c r="EGE97" s="114"/>
      <c r="EGG97" s="18"/>
      <c r="EGU97" s="21"/>
      <c r="EGV97" s="21"/>
      <c r="EGW97" s="19"/>
      <c r="EGX97" s="20"/>
      <c r="EGY97" s="19"/>
      <c r="EHA97" s="114"/>
      <c r="EHB97" s="114"/>
      <c r="EHC97" s="114"/>
      <c r="EHD97" s="114"/>
      <c r="EHF97" s="18"/>
      <c r="EHT97" s="21"/>
      <c r="EHU97" s="21"/>
      <c r="EHV97" s="19"/>
      <c r="EHW97" s="20"/>
      <c r="EHX97" s="19"/>
      <c r="EHZ97" s="114"/>
      <c r="EIA97" s="114"/>
      <c r="EIB97" s="114"/>
      <c r="EIC97" s="114"/>
      <c r="EIE97" s="18"/>
      <c r="EIS97" s="21"/>
      <c r="EIT97" s="21"/>
      <c r="EIU97" s="19"/>
      <c r="EIV97" s="20"/>
      <c r="EIW97" s="19"/>
      <c r="EIY97" s="114"/>
      <c r="EIZ97" s="114"/>
      <c r="EJA97" s="114"/>
      <c r="EJB97" s="114"/>
      <c r="EJD97" s="18"/>
      <c r="EJR97" s="21"/>
      <c r="EJS97" s="21"/>
      <c r="EJT97" s="19"/>
      <c r="EJU97" s="20"/>
      <c r="EJV97" s="19"/>
      <c r="EJX97" s="114"/>
      <c r="EJY97" s="114"/>
      <c r="EJZ97" s="114"/>
      <c r="EKA97" s="114"/>
      <c r="EKC97" s="18"/>
      <c r="EKQ97" s="21"/>
      <c r="EKR97" s="21"/>
      <c r="EKS97" s="19"/>
      <c r="EKT97" s="20"/>
      <c r="EKU97" s="19"/>
      <c r="EKW97" s="114"/>
      <c r="EKX97" s="114"/>
      <c r="EKY97" s="114"/>
      <c r="EKZ97" s="114"/>
      <c r="ELB97" s="18"/>
      <c r="ELP97" s="21"/>
      <c r="ELQ97" s="21"/>
      <c r="ELR97" s="19"/>
      <c r="ELS97" s="20"/>
      <c r="ELT97" s="19"/>
      <c r="ELV97" s="114"/>
      <c r="ELW97" s="114"/>
      <c r="ELX97" s="114"/>
      <c r="ELY97" s="114"/>
      <c r="EMA97" s="18"/>
      <c r="EMO97" s="21"/>
      <c r="EMP97" s="21"/>
      <c r="EMQ97" s="19"/>
      <c r="EMR97" s="20"/>
      <c r="EMS97" s="19"/>
      <c r="EMU97" s="114"/>
      <c r="EMV97" s="114"/>
      <c r="EMW97" s="114"/>
      <c r="EMX97" s="114"/>
      <c r="EMZ97" s="18"/>
      <c r="ENN97" s="21"/>
      <c r="ENO97" s="21"/>
      <c r="ENP97" s="19"/>
      <c r="ENQ97" s="20"/>
      <c r="ENR97" s="19"/>
      <c r="ENT97" s="114"/>
      <c r="ENU97" s="114"/>
      <c r="ENV97" s="114"/>
      <c r="ENW97" s="114"/>
      <c r="ENY97" s="18"/>
      <c r="EOM97" s="21"/>
      <c r="EON97" s="21"/>
      <c r="EOO97" s="19"/>
      <c r="EOP97" s="20"/>
      <c r="EOQ97" s="19"/>
      <c r="EOS97" s="114"/>
      <c r="EOT97" s="114"/>
      <c r="EOU97" s="114"/>
      <c r="EOV97" s="114"/>
      <c r="EOX97" s="18"/>
      <c r="EPL97" s="21"/>
      <c r="EPM97" s="21"/>
      <c r="EPN97" s="19"/>
      <c r="EPO97" s="20"/>
      <c r="EPP97" s="19"/>
      <c r="EPR97" s="114"/>
      <c r="EPS97" s="114"/>
      <c r="EPT97" s="114"/>
      <c r="EPU97" s="114"/>
      <c r="EPW97" s="18"/>
      <c r="EQK97" s="21"/>
      <c r="EQL97" s="21"/>
      <c r="EQM97" s="19"/>
      <c r="EQN97" s="20"/>
      <c r="EQO97" s="19"/>
      <c r="EQQ97" s="114"/>
      <c r="EQR97" s="114"/>
      <c r="EQS97" s="114"/>
      <c r="EQT97" s="114"/>
      <c r="EQV97" s="18"/>
      <c r="ERJ97" s="21"/>
      <c r="ERK97" s="21"/>
      <c r="ERL97" s="19"/>
      <c r="ERM97" s="20"/>
      <c r="ERN97" s="19"/>
      <c r="ERP97" s="114"/>
      <c r="ERQ97" s="114"/>
      <c r="ERR97" s="114"/>
      <c r="ERS97" s="114"/>
      <c r="ERU97" s="18"/>
      <c r="ESI97" s="21"/>
      <c r="ESJ97" s="21"/>
      <c r="ESK97" s="19"/>
      <c r="ESL97" s="20"/>
      <c r="ESM97" s="19"/>
      <c r="ESO97" s="114"/>
      <c r="ESP97" s="114"/>
      <c r="ESQ97" s="114"/>
      <c r="ESR97" s="114"/>
      <c r="EST97" s="18"/>
      <c r="ETH97" s="21"/>
      <c r="ETI97" s="21"/>
      <c r="ETJ97" s="19"/>
      <c r="ETK97" s="20"/>
      <c r="ETL97" s="19"/>
      <c r="ETN97" s="114"/>
      <c r="ETO97" s="114"/>
      <c r="ETP97" s="114"/>
      <c r="ETQ97" s="114"/>
      <c r="ETS97" s="18"/>
      <c r="EUG97" s="21"/>
      <c r="EUH97" s="21"/>
      <c r="EUI97" s="19"/>
      <c r="EUJ97" s="20"/>
      <c r="EUK97" s="19"/>
      <c r="EUM97" s="114"/>
      <c r="EUN97" s="114"/>
      <c r="EUO97" s="114"/>
      <c r="EUP97" s="114"/>
      <c r="EUR97" s="18"/>
      <c r="EVF97" s="21"/>
      <c r="EVG97" s="21"/>
      <c r="EVH97" s="19"/>
      <c r="EVI97" s="20"/>
      <c r="EVJ97" s="19"/>
      <c r="EVL97" s="114"/>
      <c r="EVM97" s="114"/>
      <c r="EVN97" s="114"/>
      <c r="EVO97" s="114"/>
      <c r="EVQ97" s="18"/>
      <c r="EWE97" s="21"/>
      <c r="EWF97" s="21"/>
      <c r="EWG97" s="19"/>
      <c r="EWH97" s="20"/>
      <c r="EWI97" s="19"/>
      <c r="EWK97" s="114"/>
      <c r="EWL97" s="114"/>
      <c r="EWM97" s="114"/>
      <c r="EWN97" s="114"/>
      <c r="EWP97" s="18"/>
      <c r="EXD97" s="21"/>
      <c r="EXE97" s="21"/>
      <c r="EXF97" s="19"/>
      <c r="EXG97" s="20"/>
      <c r="EXH97" s="19"/>
      <c r="EXJ97" s="114"/>
      <c r="EXK97" s="114"/>
      <c r="EXL97" s="114"/>
      <c r="EXM97" s="114"/>
      <c r="EXO97" s="18"/>
      <c r="EYC97" s="21"/>
      <c r="EYD97" s="21"/>
      <c r="EYE97" s="19"/>
      <c r="EYF97" s="20"/>
      <c r="EYG97" s="19"/>
      <c r="EYI97" s="114"/>
      <c r="EYJ97" s="114"/>
      <c r="EYK97" s="114"/>
      <c r="EYL97" s="114"/>
      <c r="EYN97" s="18"/>
      <c r="EZB97" s="21"/>
      <c r="EZC97" s="21"/>
      <c r="EZD97" s="19"/>
      <c r="EZE97" s="20"/>
      <c r="EZF97" s="19"/>
      <c r="EZH97" s="114"/>
      <c r="EZI97" s="114"/>
      <c r="EZJ97" s="114"/>
      <c r="EZK97" s="114"/>
      <c r="EZM97" s="18"/>
      <c r="FAA97" s="21"/>
      <c r="FAB97" s="21"/>
      <c r="FAC97" s="19"/>
      <c r="FAD97" s="20"/>
      <c r="FAE97" s="19"/>
      <c r="FAG97" s="114"/>
      <c r="FAH97" s="114"/>
      <c r="FAI97" s="114"/>
      <c r="FAJ97" s="114"/>
      <c r="FAL97" s="18"/>
      <c r="FAZ97" s="21"/>
      <c r="FBA97" s="21"/>
      <c r="FBB97" s="19"/>
      <c r="FBC97" s="20"/>
      <c r="FBD97" s="19"/>
      <c r="FBF97" s="114"/>
      <c r="FBG97" s="114"/>
      <c r="FBH97" s="114"/>
      <c r="FBI97" s="114"/>
      <c r="FBK97" s="18"/>
      <c r="FBY97" s="21"/>
      <c r="FBZ97" s="21"/>
      <c r="FCA97" s="19"/>
      <c r="FCB97" s="20"/>
      <c r="FCC97" s="19"/>
      <c r="FCE97" s="114"/>
      <c r="FCF97" s="114"/>
      <c r="FCG97" s="114"/>
      <c r="FCH97" s="114"/>
      <c r="FCJ97" s="18"/>
      <c r="FCX97" s="21"/>
      <c r="FCY97" s="21"/>
      <c r="FCZ97" s="19"/>
      <c r="FDA97" s="20"/>
      <c r="FDB97" s="19"/>
      <c r="FDD97" s="114"/>
      <c r="FDE97" s="114"/>
      <c r="FDF97" s="114"/>
      <c r="FDG97" s="114"/>
      <c r="FDI97" s="18"/>
      <c r="FDW97" s="21"/>
      <c r="FDX97" s="21"/>
      <c r="FDY97" s="19"/>
      <c r="FDZ97" s="20"/>
      <c r="FEA97" s="19"/>
      <c r="FEC97" s="114"/>
      <c r="FED97" s="114"/>
      <c r="FEE97" s="114"/>
      <c r="FEF97" s="114"/>
      <c r="FEH97" s="18"/>
      <c r="FEV97" s="21"/>
      <c r="FEW97" s="21"/>
      <c r="FEX97" s="19"/>
      <c r="FEY97" s="20"/>
      <c r="FEZ97" s="19"/>
      <c r="FFB97" s="114"/>
      <c r="FFC97" s="114"/>
      <c r="FFD97" s="114"/>
      <c r="FFE97" s="114"/>
      <c r="FFG97" s="18"/>
      <c r="FFU97" s="21"/>
      <c r="FFV97" s="21"/>
      <c r="FFW97" s="19"/>
      <c r="FFX97" s="20"/>
      <c r="FFY97" s="19"/>
      <c r="FGA97" s="114"/>
      <c r="FGB97" s="114"/>
      <c r="FGC97" s="114"/>
      <c r="FGD97" s="114"/>
      <c r="FGF97" s="18"/>
      <c r="FGT97" s="21"/>
      <c r="FGU97" s="21"/>
      <c r="FGV97" s="19"/>
      <c r="FGW97" s="20"/>
      <c r="FGX97" s="19"/>
      <c r="FGZ97" s="114"/>
      <c r="FHA97" s="114"/>
      <c r="FHB97" s="114"/>
      <c r="FHC97" s="114"/>
      <c r="FHE97" s="18"/>
      <c r="FHS97" s="21"/>
      <c r="FHT97" s="21"/>
      <c r="FHU97" s="19"/>
      <c r="FHV97" s="20"/>
      <c r="FHW97" s="19"/>
      <c r="FHY97" s="114"/>
      <c r="FHZ97" s="114"/>
      <c r="FIA97" s="114"/>
      <c r="FIB97" s="114"/>
      <c r="FID97" s="18"/>
      <c r="FIR97" s="21"/>
      <c r="FIS97" s="21"/>
      <c r="FIT97" s="19"/>
      <c r="FIU97" s="20"/>
      <c r="FIV97" s="19"/>
      <c r="FIX97" s="114"/>
      <c r="FIY97" s="114"/>
      <c r="FIZ97" s="114"/>
      <c r="FJA97" s="114"/>
      <c r="FJC97" s="18"/>
      <c r="FJQ97" s="21"/>
      <c r="FJR97" s="21"/>
      <c r="FJS97" s="19"/>
      <c r="FJT97" s="20"/>
      <c r="FJU97" s="19"/>
      <c r="FJW97" s="114"/>
      <c r="FJX97" s="114"/>
      <c r="FJY97" s="114"/>
      <c r="FJZ97" s="114"/>
      <c r="FKB97" s="18"/>
      <c r="FKP97" s="21"/>
      <c r="FKQ97" s="21"/>
      <c r="FKR97" s="19"/>
      <c r="FKS97" s="20"/>
      <c r="FKT97" s="19"/>
      <c r="FKV97" s="114"/>
      <c r="FKW97" s="114"/>
      <c r="FKX97" s="114"/>
      <c r="FKY97" s="114"/>
      <c r="FLA97" s="18"/>
      <c r="FLO97" s="21"/>
      <c r="FLP97" s="21"/>
      <c r="FLQ97" s="19"/>
      <c r="FLR97" s="20"/>
      <c r="FLS97" s="19"/>
      <c r="FLU97" s="114"/>
      <c r="FLV97" s="114"/>
      <c r="FLW97" s="114"/>
      <c r="FLX97" s="114"/>
      <c r="FLZ97" s="18"/>
      <c r="FMN97" s="21"/>
      <c r="FMO97" s="21"/>
      <c r="FMP97" s="19"/>
      <c r="FMQ97" s="20"/>
      <c r="FMR97" s="19"/>
      <c r="FMT97" s="114"/>
      <c r="FMU97" s="114"/>
      <c r="FMV97" s="114"/>
      <c r="FMW97" s="114"/>
      <c r="FMY97" s="18"/>
      <c r="FNM97" s="21"/>
      <c r="FNN97" s="21"/>
      <c r="FNO97" s="19"/>
      <c r="FNP97" s="20"/>
      <c r="FNQ97" s="19"/>
      <c r="FNS97" s="114"/>
      <c r="FNT97" s="114"/>
      <c r="FNU97" s="114"/>
      <c r="FNV97" s="114"/>
      <c r="FNX97" s="18"/>
      <c r="FOL97" s="21"/>
      <c r="FOM97" s="21"/>
      <c r="FON97" s="19"/>
      <c r="FOO97" s="20"/>
      <c r="FOP97" s="19"/>
      <c r="FOR97" s="114"/>
      <c r="FOS97" s="114"/>
      <c r="FOT97" s="114"/>
      <c r="FOU97" s="114"/>
      <c r="FOW97" s="18"/>
      <c r="FPK97" s="21"/>
      <c r="FPL97" s="21"/>
      <c r="FPM97" s="19"/>
      <c r="FPN97" s="20"/>
      <c r="FPO97" s="19"/>
      <c r="FPQ97" s="114"/>
      <c r="FPR97" s="114"/>
      <c r="FPS97" s="114"/>
      <c r="FPT97" s="114"/>
      <c r="FPV97" s="18"/>
      <c r="FQJ97" s="21"/>
      <c r="FQK97" s="21"/>
      <c r="FQL97" s="19"/>
      <c r="FQM97" s="20"/>
      <c r="FQN97" s="19"/>
      <c r="FQP97" s="114"/>
      <c r="FQQ97" s="114"/>
      <c r="FQR97" s="114"/>
      <c r="FQS97" s="114"/>
      <c r="FQU97" s="18"/>
      <c r="FRI97" s="21"/>
      <c r="FRJ97" s="21"/>
      <c r="FRK97" s="19"/>
      <c r="FRL97" s="20"/>
      <c r="FRM97" s="19"/>
      <c r="FRO97" s="114"/>
      <c r="FRP97" s="114"/>
      <c r="FRQ97" s="114"/>
      <c r="FRR97" s="114"/>
      <c r="FRT97" s="18"/>
      <c r="FSH97" s="21"/>
      <c r="FSI97" s="21"/>
      <c r="FSJ97" s="19"/>
      <c r="FSK97" s="20"/>
      <c r="FSL97" s="19"/>
      <c r="FSN97" s="114"/>
      <c r="FSO97" s="114"/>
      <c r="FSP97" s="114"/>
      <c r="FSQ97" s="114"/>
      <c r="FSS97" s="18"/>
      <c r="FTG97" s="21"/>
      <c r="FTH97" s="21"/>
      <c r="FTI97" s="19"/>
      <c r="FTJ97" s="20"/>
      <c r="FTK97" s="19"/>
      <c r="FTM97" s="114"/>
      <c r="FTN97" s="114"/>
      <c r="FTO97" s="114"/>
      <c r="FTP97" s="114"/>
      <c r="FTR97" s="18"/>
      <c r="FUF97" s="21"/>
      <c r="FUG97" s="21"/>
      <c r="FUH97" s="19"/>
      <c r="FUI97" s="20"/>
      <c r="FUJ97" s="19"/>
      <c r="FUL97" s="114"/>
      <c r="FUM97" s="114"/>
      <c r="FUN97" s="114"/>
      <c r="FUO97" s="114"/>
      <c r="FUQ97" s="18"/>
      <c r="FVE97" s="21"/>
      <c r="FVF97" s="21"/>
      <c r="FVG97" s="19"/>
      <c r="FVH97" s="20"/>
      <c r="FVI97" s="19"/>
      <c r="FVK97" s="114"/>
      <c r="FVL97" s="114"/>
      <c r="FVM97" s="114"/>
      <c r="FVN97" s="114"/>
      <c r="FVP97" s="18"/>
      <c r="FWD97" s="21"/>
      <c r="FWE97" s="21"/>
      <c r="FWF97" s="19"/>
      <c r="FWG97" s="20"/>
      <c r="FWH97" s="19"/>
      <c r="FWJ97" s="114"/>
      <c r="FWK97" s="114"/>
      <c r="FWL97" s="114"/>
      <c r="FWM97" s="114"/>
      <c r="FWO97" s="18"/>
      <c r="FXC97" s="21"/>
      <c r="FXD97" s="21"/>
      <c r="FXE97" s="19"/>
      <c r="FXF97" s="20"/>
      <c r="FXG97" s="19"/>
      <c r="FXI97" s="114"/>
      <c r="FXJ97" s="114"/>
      <c r="FXK97" s="114"/>
      <c r="FXL97" s="114"/>
      <c r="FXN97" s="18"/>
      <c r="FYB97" s="21"/>
      <c r="FYC97" s="21"/>
      <c r="FYD97" s="19"/>
      <c r="FYE97" s="20"/>
      <c r="FYF97" s="19"/>
      <c r="FYH97" s="114"/>
      <c r="FYI97" s="114"/>
      <c r="FYJ97" s="114"/>
      <c r="FYK97" s="114"/>
      <c r="FYM97" s="18"/>
      <c r="FZA97" s="21"/>
      <c r="FZB97" s="21"/>
      <c r="FZC97" s="19"/>
      <c r="FZD97" s="20"/>
      <c r="FZE97" s="19"/>
      <c r="FZG97" s="114"/>
      <c r="FZH97" s="114"/>
      <c r="FZI97" s="114"/>
      <c r="FZJ97" s="114"/>
      <c r="FZL97" s="18"/>
      <c r="FZZ97" s="21"/>
      <c r="GAA97" s="21"/>
      <c r="GAB97" s="19"/>
      <c r="GAC97" s="20"/>
      <c r="GAD97" s="19"/>
      <c r="GAF97" s="114"/>
      <c r="GAG97" s="114"/>
      <c r="GAH97" s="114"/>
      <c r="GAI97" s="114"/>
      <c r="GAK97" s="18"/>
      <c r="GAY97" s="21"/>
      <c r="GAZ97" s="21"/>
      <c r="GBA97" s="19"/>
      <c r="GBB97" s="20"/>
      <c r="GBC97" s="19"/>
      <c r="GBE97" s="114"/>
      <c r="GBF97" s="114"/>
      <c r="GBG97" s="114"/>
      <c r="GBH97" s="114"/>
      <c r="GBJ97" s="18"/>
      <c r="GBX97" s="21"/>
      <c r="GBY97" s="21"/>
      <c r="GBZ97" s="19"/>
      <c r="GCA97" s="20"/>
      <c r="GCB97" s="19"/>
      <c r="GCD97" s="114"/>
      <c r="GCE97" s="114"/>
      <c r="GCF97" s="114"/>
      <c r="GCG97" s="114"/>
      <c r="GCI97" s="18"/>
      <c r="GCW97" s="21"/>
      <c r="GCX97" s="21"/>
      <c r="GCY97" s="19"/>
      <c r="GCZ97" s="20"/>
      <c r="GDA97" s="19"/>
      <c r="GDC97" s="114"/>
      <c r="GDD97" s="114"/>
      <c r="GDE97" s="114"/>
      <c r="GDF97" s="114"/>
      <c r="GDH97" s="18"/>
      <c r="GDV97" s="21"/>
      <c r="GDW97" s="21"/>
      <c r="GDX97" s="19"/>
      <c r="GDY97" s="20"/>
      <c r="GDZ97" s="19"/>
      <c r="GEB97" s="114"/>
      <c r="GEC97" s="114"/>
      <c r="GED97" s="114"/>
      <c r="GEE97" s="114"/>
      <c r="GEG97" s="18"/>
      <c r="GEU97" s="21"/>
      <c r="GEV97" s="21"/>
      <c r="GEW97" s="19"/>
      <c r="GEX97" s="20"/>
      <c r="GEY97" s="19"/>
      <c r="GFA97" s="114"/>
      <c r="GFB97" s="114"/>
      <c r="GFC97" s="114"/>
      <c r="GFD97" s="114"/>
      <c r="GFF97" s="18"/>
      <c r="GFT97" s="21"/>
      <c r="GFU97" s="21"/>
      <c r="GFV97" s="19"/>
      <c r="GFW97" s="20"/>
      <c r="GFX97" s="19"/>
      <c r="GFZ97" s="114"/>
      <c r="GGA97" s="114"/>
      <c r="GGB97" s="114"/>
      <c r="GGC97" s="114"/>
      <c r="GGE97" s="18"/>
      <c r="GGS97" s="21"/>
      <c r="GGT97" s="21"/>
      <c r="GGU97" s="19"/>
      <c r="GGV97" s="20"/>
      <c r="GGW97" s="19"/>
      <c r="GGY97" s="114"/>
      <c r="GGZ97" s="114"/>
      <c r="GHA97" s="114"/>
      <c r="GHB97" s="114"/>
      <c r="GHD97" s="18"/>
      <c r="GHR97" s="21"/>
      <c r="GHS97" s="21"/>
      <c r="GHT97" s="19"/>
      <c r="GHU97" s="20"/>
      <c r="GHV97" s="19"/>
      <c r="GHX97" s="114"/>
      <c r="GHY97" s="114"/>
      <c r="GHZ97" s="114"/>
      <c r="GIA97" s="114"/>
      <c r="GIC97" s="18"/>
      <c r="GIQ97" s="21"/>
      <c r="GIR97" s="21"/>
      <c r="GIS97" s="19"/>
      <c r="GIT97" s="20"/>
      <c r="GIU97" s="19"/>
      <c r="GIW97" s="114"/>
      <c r="GIX97" s="114"/>
      <c r="GIY97" s="114"/>
      <c r="GIZ97" s="114"/>
      <c r="GJB97" s="18"/>
      <c r="GJP97" s="21"/>
      <c r="GJQ97" s="21"/>
      <c r="GJR97" s="19"/>
      <c r="GJS97" s="20"/>
      <c r="GJT97" s="19"/>
      <c r="GJV97" s="114"/>
      <c r="GJW97" s="114"/>
      <c r="GJX97" s="114"/>
      <c r="GJY97" s="114"/>
      <c r="GKA97" s="18"/>
      <c r="GKO97" s="21"/>
      <c r="GKP97" s="21"/>
      <c r="GKQ97" s="19"/>
      <c r="GKR97" s="20"/>
      <c r="GKS97" s="19"/>
      <c r="GKU97" s="114"/>
      <c r="GKV97" s="114"/>
      <c r="GKW97" s="114"/>
      <c r="GKX97" s="114"/>
      <c r="GKZ97" s="18"/>
      <c r="GLN97" s="21"/>
      <c r="GLO97" s="21"/>
      <c r="GLP97" s="19"/>
      <c r="GLQ97" s="20"/>
      <c r="GLR97" s="19"/>
      <c r="GLT97" s="114"/>
      <c r="GLU97" s="114"/>
      <c r="GLV97" s="114"/>
      <c r="GLW97" s="114"/>
      <c r="GLY97" s="18"/>
      <c r="GMM97" s="21"/>
      <c r="GMN97" s="21"/>
      <c r="GMO97" s="19"/>
      <c r="GMP97" s="20"/>
      <c r="GMQ97" s="19"/>
      <c r="GMS97" s="114"/>
      <c r="GMT97" s="114"/>
      <c r="GMU97" s="114"/>
      <c r="GMV97" s="114"/>
      <c r="GMX97" s="18"/>
      <c r="GNL97" s="21"/>
      <c r="GNM97" s="21"/>
      <c r="GNN97" s="19"/>
      <c r="GNO97" s="20"/>
      <c r="GNP97" s="19"/>
      <c r="GNR97" s="114"/>
      <c r="GNS97" s="114"/>
      <c r="GNT97" s="114"/>
      <c r="GNU97" s="114"/>
      <c r="GNW97" s="18"/>
      <c r="GOK97" s="21"/>
      <c r="GOL97" s="21"/>
      <c r="GOM97" s="19"/>
      <c r="GON97" s="20"/>
      <c r="GOO97" s="19"/>
      <c r="GOQ97" s="114"/>
      <c r="GOR97" s="114"/>
      <c r="GOS97" s="114"/>
      <c r="GOT97" s="114"/>
      <c r="GOV97" s="18"/>
      <c r="GPJ97" s="21"/>
      <c r="GPK97" s="21"/>
      <c r="GPL97" s="19"/>
      <c r="GPM97" s="20"/>
      <c r="GPN97" s="19"/>
      <c r="GPP97" s="114"/>
      <c r="GPQ97" s="114"/>
      <c r="GPR97" s="114"/>
      <c r="GPS97" s="114"/>
      <c r="GPU97" s="18"/>
      <c r="GQI97" s="21"/>
      <c r="GQJ97" s="21"/>
      <c r="GQK97" s="19"/>
      <c r="GQL97" s="20"/>
      <c r="GQM97" s="19"/>
      <c r="GQO97" s="114"/>
      <c r="GQP97" s="114"/>
      <c r="GQQ97" s="114"/>
      <c r="GQR97" s="114"/>
      <c r="GQT97" s="18"/>
      <c r="GRH97" s="21"/>
      <c r="GRI97" s="21"/>
      <c r="GRJ97" s="19"/>
      <c r="GRK97" s="20"/>
      <c r="GRL97" s="19"/>
      <c r="GRN97" s="114"/>
      <c r="GRO97" s="114"/>
      <c r="GRP97" s="114"/>
      <c r="GRQ97" s="114"/>
      <c r="GRS97" s="18"/>
      <c r="GSG97" s="21"/>
      <c r="GSH97" s="21"/>
      <c r="GSI97" s="19"/>
      <c r="GSJ97" s="20"/>
      <c r="GSK97" s="19"/>
      <c r="GSM97" s="114"/>
      <c r="GSN97" s="114"/>
      <c r="GSO97" s="114"/>
      <c r="GSP97" s="114"/>
      <c r="GSR97" s="18"/>
      <c r="GTF97" s="21"/>
      <c r="GTG97" s="21"/>
      <c r="GTH97" s="19"/>
      <c r="GTI97" s="20"/>
      <c r="GTJ97" s="19"/>
      <c r="GTL97" s="114"/>
      <c r="GTM97" s="114"/>
      <c r="GTN97" s="114"/>
      <c r="GTO97" s="114"/>
      <c r="GTQ97" s="18"/>
      <c r="GUE97" s="21"/>
      <c r="GUF97" s="21"/>
      <c r="GUG97" s="19"/>
      <c r="GUH97" s="20"/>
      <c r="GUI97" s="19"/>
      <c r="GUK97" s="114"/>
      <c r="GUL97" s="114"/>
      <c r="GUM97" s="114"/>
      <c r="GUN97" s="114"/>
      <c r="GUP97" s="18"/>
      <c r="GVD97" s="21"/>
      <c r="GVE97" s="21"/>
      <c r="GVF97" s="19"/>
      <c r="GVG97" s="20"/>
      <c r="GVH97" s="19"/>
      <c r="GVJ97" s="114"/>
      <c r="GVK97" s="114"/>
      <c r="GVL97" s="114"/>
      <c r="GVM97" s="114"/>
      <c r="GVO97" s="18"/>
      <c r="GWC97" s="21"/>
      <c r="GWD97" s="21"/>
      <c r="GWE97" s="19"/>
      <c r="GWF97" s="20"/>
      <c r="GWG97" s="19"/>
      <c r="GWI97" s="114"/>
      <c r="GWJ97" s="114"/>
      <c r="GWK97" s="114"/>
      <c r="GWL97" s="114"/>
      <c r="GWN97" s="18"/>
      <c r="GXB97" s="21"/>
      <c r="GXC97" s="21"/>
      <c r="GXD97" s="19"/>
      <c r="GXE97" s="20"/>
      <c r="GXF97" s="19"/>
      <c r="GXH97" s="114"/>
      <c r="GXI97" s="114"/>
      <c r="GXJ97" s="114"/>
      <c r="GXK97" s="114"/>
      <c r="GXM97" s="18"/>
      <c r="GYA97" s="21"/>
      <c r="GYB97" s="21"/>
      <c r="GYC97" s="19"/>
      <c r="GYD97" s="20"/>
      <c r="GYE97" s="19"/>
      <c r="GYG97" s="114"/>
      <c r="GYH97" s="114"/>
      <c r="GYI97" s="114"/>
      <c r="GYJ97" s="114"/>
      <c r="GYL97" s="18"/>
      <c r="GYZ97" s="21"/>
      <c r="GZA97" s="21"/>
      <c r="GZB97" s="19"/>
      <c r="GZC97" s="20"/>
      <c r="GZD97" s="19"/>
      <c r="GZF97" s="114"/>
      <c r="GZG97" s="114"/>
      <c r="GZH97" s="114"/>
      <c r="GZI97" s="114"/>
      <c r="GZK97" s="18"/>
      <c r="GZY97" s="21"/>
      <c r="GZZ97" s="21"/>
      <c r="HAA97" s="19"/>
      <c r="HAB97" s="20"/>
      <c r="HAC97" s="19"/>
      <c r="HAE97" s="114"/>
      <c r="HAF97" s="114"/>
      <c r="HAG97" s="114"/>
      <c r="HAH97" s="114"/>
      <c r="HAJ97" s="18"/>
      <c r="HAX97" s="21"/>
      <c r="HAY97" s="21"/>
      <c r="HAZ97" s="19"/>
      <c r="HBA97" s="20"/>
      <c r="HBB97" s="19"/>
      <c r="HBD97" s="114"/>
      <c r="HBE97" s="114"/>
      <c r="HBF97" s="114"/>
      <c r="HBG97" s="114"/>
      <c r="HBI97" s="18"/>
      <c r="HBW97" s="21"/>
      <c r="HBX97" s="21"/>
      <c r="HBY97" s="19"/>
      <c r="HBZ97" s="20"/>
      <c r="HCA97" s="19"/>
      <c r="HCC97" s="114"/>
      <c r="HCD97" s="114"/>
      <c r="HCE97" s="114"/>
      <c r="HCF97" s="114"/>
      <c r="HCH97" s="18"/>
      <c r="HCV97" s="21"/>
      <c r="HCW97" s="21"/>
      <c r="HCX97" s="19"/>
      <c r="HCY97" s="20"/>
      <c r="HCZ97" s="19"/>
      <c r="HDB97" s="114"/>
      <c r="HDC97" s="114"/>
      <c r="HDD97" s="114"/>
      <c r="HDE97" s="114"/>
      <c r="HDG97" s="18"/>
      <c r="HDU97" s="21"/>
      <c r="HDV97" s="21"/>
      <c r="HDW97" s="19"/>
      <c r="HDX97" s="20"/>
      <c r="HDY97" s="19"/>
      <c r="HEA97" s="114"/>
      <c r="HEB97" s="114"/>
      <c r="HEC97" s="114"/>
      <c r="HED97" s="114"/>
      <c r="HEF97" s="18"/>
      <c r="HET97" s="21"/>
      <c r="HEU97" s="21"/>
      <c r="HEV97" s="19"/>
      <c r="HEW97" s="20"/>
      <c r="HEX97" s="19"/>
      <c r="HEZ97" s="114"/>
      <c r="HFA97" s="114"/>
      <c r="HFB97" s="114"/>
      <c r="HFC97" s="114"/>
      <c r="HFE97" s="18"/>
      <c r="HFS97" s="21"/>
      <c r="HFT97" s="21"/>
      <c r="HFU97" s="19"/>
      <c r="HFV97" s="20"/>
      <c r="HFW97" s="19"/>
      <c r="HFY97" s="114"/>
      <c r="HFZ97" s="114"/>
      <c r="HGA97" s="114"/>
      <c r="HGB97" s="114"/>
      <c r="HGD97" s="18"/>
      <c r="HGR97" s="21"/>
      <c r="HGS97" s="21"/>
      <c r="HGT97" s="19"/>
      <c r="HGU97" s="20"/>
      <c r="HGV97" s="19"/>
      <c r="HGX97" s="114"/>
      <c r="HGY97" s="114"/>
      <c r="HGZ97" s="114"/>
      <c r="HHA97" s="114"/>
      <c r="HHC97" s="18"/>
      <c r="HHQ97" s="21"/>
      <c r="HHR97" s="21"/>
      <c r="HHS97" s="19"/>
      <c r="HHT97" s="20"/>
      <c r="HHU97" s="19"/>
      <c r="HHW97" s="114"/>
      <c r="HHX97" s="114"/>
      <c r="HHY97" s="114"/>
      <c r="HHZ97" s="114"/>
      <c r="HIB97" s="18"/>
      <c r="HIP97" s="21"/>
      <c r="HIQ97" s="21"/>
      <c r="HIR97" s="19"/>
      <c r="HIS97" s="20"/>
      <c r="HIT97" s="19"/>
      <c r="HIV97" s="114"/>
      <c r="HIW97" s="114"/>
      <c r="HIX97" s="114"/>
      <c r="HIY97" s="114"/>
      <c r="HJA97" s="18"/>
      <c r="HJO97" s="21"/>
      <c r="HJP97" s="21"/>
      <c r="HJQ97" s="19"/>
      <c r="HJR97" s="20"/>
      <c r="HJS97" s="19"/>
      <c r="HJU97" s="114"/>
      <c r="HJV97" s="114"/>
      <c r="HJW97" s="114"/>
      <c r="HJX97" s="114"/>
      <c r="HJZ97" s="18"/>
      <c r="HKN97" s="21"/>
      <c r="HKO97" s="21"/>
      <c r="HKP97" s="19"/>
      <c r="HKQ97" s="20"/>
      <c r="HKR97" s="19"/>
      <c r="HKT97" s="114"/>
      <c r="HKU97" s="114"/>
      <c r="HKV97" s="114"/>
      <c r="HKW97" s="114"/>
      <c r="HKY97" s="18"/>
      <c r="HLM97" s="21"/>
      <c r="HLN97" s="21"/>
      <c r="HLO97" s="19"/>
      <c r="HLP97" s="20"/>
      <c r="HLQ97" s="19"/>
      <c r="HLS97" s="114"/>
      <c r="HLT97" s="114"/>
      <c r="HLU97" s="114"/>
      <c r="HLV97" s="114"/>
      <c r="HLX97" s="18"/>
      <c r="HML97" s="21"/>
      <c r="HMM97" s="21"/>
      <c r="HMN97" s="19"/>
      <c r="HMO97" s="20"/>
      <c r="HMP97" s="19"/>
      <c r="HMR97" s="114"/>
      <c r="HMS97" s="114"/>
      <c r="HMT97" s="114"/>
      <c r="HMU97" s="114"/>
      <c r="HMW97" s="18"/>
      <c r="HNK97" s="21"/>
      <c r="HNL97" s="21"/>
      <c r="HNM97" s="19"/>
      <c r="HNN97" s="20"/>
      <c r="HNO97" s="19"/>
      <c r="HNQ97" s="114"/>
      <c r="HNR97" s="114"/>
      <c r="HNS97" s="114"/>
      <c r="HNT97" s="114"/>
      <c r="HNV97" s="18"/>
      <c r="HOJ97" s="21"/>
      <c r="HOK97" s="21"/>
      <c r="HOL97" s="19"/>
      <c r="HOM97" s="20"/>
      <c r="HON97" s="19"/>
      <c r="HOP97" s="114"/>
      <c r="HOQ97" s="114"/>
      <c r="HOR97" s="114"/>
      <c r="HOS97" s="114"/>
      <c r="HOU97" s="18"/>
      <c r="HPI97" s="21"/>
      <c r="HPJ97" s="21"/>
      <c r="HPK97" s="19"/>
      <c r="HPL97" s="20"/>
      <c r="HPM97" s="19"/>
      <c r="HPO97" s="114"/>
      <c r="HPP97" s="114"/>
      <c r="HPQ97" s="114"/>
      <c r="HPR97" s="114"/>
      <c r="HPT97" s="18"/>
      <c r="HQH97" s="21"/>
      <c r="HQI97" s="21"/>
      <c r="HQJ97" s="19"/>
      <c r="HQK97" s="20"/>
      <c r="HQL97" s="19"/>
      <c r="HQN97" s="114"/>
      <c r="HQO97" s="114"/>
      <c r="HQP97" s="114"/>
      <c r="HQQ97" s="114"/>
      <c r="HQS97" s="18"/>
      <c r="HRG97" s="21"/>
      <c r="HRH97" s="21"/>
      <c r="HRI97" s="19"/>
      <c r="HRJ97" s="20"/>
      <c r="HRK97" s="19"/>
      <c r="HRM97" s="114"/>
      <c r="HRN97" s="114"/>
      <c r="HRO97" s="114"/>
      <c r="HRP97" s="114"/>
      <c r="HRR97" s="18"/>
      <c r="HSF97" s="21"/>
      <c r="HSG97" s="21"/>
      <c r="HSH97" s="19"/>
      <c r="HSI97" s="20"/>
      <c r="HSJ97" s="19"/>
      <c r="HSL97" s="114"/>
      <c r="HSM97" s="114"/>
      <c r="HSN97" s="114"/>
      <c r="HSO97" s="114"/>
      <c r="HSQ97" s="18"/>
      <c r="HTE97" s="21"/>
      <c r="HTF97" s="21"/>
      <c r="HTG97" s="19"/>
      <c r="HTH97" s="20"/>
      <c r="HTI97" s="19"/>
      <c r="HTK97" s="114"/>
      <c r="HTL97" s="114"/>
      <c r="HTM97" s="114"/>
      <c r="HTN97" s="114"/>
      <c r="HTP97" s="18"/>
      <c r="HUD97" s="21"/>
      <c r="HUE97" s="21"/>
      <c r="HUF97" s="19"/>
      <c r="HUG97" s="20"/>
      <c r="HUH97" s="19"/>
      <c r="HUJ97" s="114"/>
      <c r="HUK97" s="114"/>
      <c r="HUL97" s="114"/>
      <c r="HUM97" s="114"/>
      <c r="HUO97" s="18"/>
      <c r="HVC97" s="21"/>
      <c r="HVD97" s="21"/>
      <c r="HVE97" s="19"/>
      <c r="HVF97" s="20"/>
      <c r="HVG97" s="19"/>
      <c r="HVI97" s="114"/>
      <c r="HVJ97" s="114"/>
      <c r="HVK97" s="114"/>
      <c r="HVL97" s="114"/>
      <c r="HVN97" s="18"/>
      <c r="HWB97" s="21"/>
      <c r="HWC97" s="21"/>
      <c r="HWD97" s="19"/>
      <c r="HWE97" s="20"/>
      <c r="HWF97" s="19"/>
      <c r="HWH97" s="114"/>
      <c r="HWI97" s="114"/>
      <c r="HWJ97" s="114"/>
      <c r="HWK97" s="114"/>
      <c r="HWM97" s="18"/>
      <c r="HXA97" s="21"/>
      <c r="HXB97" s="21"/>
      <c r="HXC97" s="19"/>
      <c r="HXD97" s="20"/>
      <c r="HXE97" s="19"/>
      <c r="HXG97" s="114"/>
      <c r="HXH97" s="114"/>
      <c r="HXI97" s="114"/>
      <c r="HXJ97" s="114"/>
      <c r="HXL97" s="18"/>
      <c r="HXZ97" s="21"/>
      <c r="HYA97" s="21"/>
      <c r="HYB97" s="19"/>
      <c r="HYC97" s="20"/>
      <c r="HYD97" s="19"/>
      <c r="HYF97" s="114"/>
      <c r="HYG97" s="114"/>
      <c r="HYH97" s="114"/>
      <c r="HYI97" s="114"/>
      <c r="HYK97" s="18"/>
      <c r="HYY97" s="21"/>
      <c r="HYZ97" s="21"/>
      <c r="HZA97" s="19"/>
      <c r="HZB97" s="20"/>
      <c r="HZC97" s="19"/>
      <c r="HZE97" s="114"/>
      <c r="HZF97" s="114"/>
      <c r="HZG97" s="114"/>
      <c r="HZH97" s="114"/>
      <c r="HZJ97" s="18"/>
      <c r="HZX97" s="21"/>
      <c r="HZY97" s="21"/>
      <c r="HZZ97" s="19"/>
      <c r="IAA97" s="20"/>
      <c r="IAB97" s="19"/>
      <c r="IAD97" s="114"/>
      <c r="IAE97" s="114"/>
      <c r="IAF97" s="114"/>
      <c r="IAG97" s="114"/>
      <c r="IAI97" s="18"/>
      <c r="IAW97" s="21"/>
      <c r="IAX97" s="21"/>
      <c r="IAY97" s="19"/>
      <c r="IAZ97" s="20"/>
      <c r="IBA97" s="19"/>
      <c r="IBC97" s="114"/>
      <c r="IBD97" s="114"/>
      <c r="IBE97" s="114"/>
      <c r="IBF97" s="114"/>
      <c r="IBH97" s="18"/>
      <c r="IBV97" s="21"/>
      <c r="IBW97" s="21"/>
      <c r="IBX97" s="19"/>
      <c r="IBY97" s="20"/>
      <c r="IBZ97" s="19"/>
      <c r="ICB97" s="114"/>
      <c r="ICC97" s="114"/>
      <c r="ICD97" s="114"/>
      <c r="ICE97" s="114"/>
      <c r="ICG97" s="18"/>
      <c r="ICU97" s="21"/>
      <c r="ICV97" s="21"/>
      <c r="ICW97" s="19"/>
      <c r="ICX97" s="20"/>
      <c r="ICY97" s="19"/>
      <c r="IDA97" s="114"/>
      <c r="IDB97" s="114"/>
      <c r="IDC97" s="114"/>
      <c r="IDD97" s="114"/>
      <c r="IDF97" s="18"/>
      <c r="IDT97" s="21"/>
      <c r="IDU97" s="21"/>
      <c r="IDV97" s="19"/>
      <c r="IDW97" s="20"/>
      <c r="IDX97" s="19"/>
      <c r="IDZ97" s="114"/>
      <c r="IEA97" s="114"/>
      <c r="IEB97" s="114"/>
      <c r="IEC97" s="114"/>
      <c r="IEE97" s="18"/>
      <c r="IES97" s="21"/>
      <c r="IET97" s="21"/>
      <c r="IEU97" s="19"/>
      <c r="IEV97" s="20"/>
      <c r="IEW97" s="19"/>
      <c r="IEY97" s="114"/>
      <c r="IEZ97" s="114"/>
      <c r="IFA97" s="114"/>
      <c r="IFB97" s="114"/>
      <c r="IFD97" s="18"/>
      <c r="IFR97" s="21"/>
      <c r="IFS97" s="21"/>
      <c r="IFT97" s="19"/>
      <c r="IFU97" s="20"/>
      <c r="IFV97" s="19"/>
      <c r="IFX97" s="114"/>
      <c r="IFY97" s="114"/>
      <c r="IFZ97" s="114"/>
      <c r="IGA97" s="114"/>
      <c r="IGC97" s="18"/>
      <c r="IGQ97" s="21"/>
      <c r="IGR97" s="21"/>
      <c r="IGS97" s="19"/>
      <c r="IGT97" s="20"/>
      <c r="IGU97" s="19"/>
      <c r="IGW97" s="114"/>
      <c r="IGX97" s="114"/>
      <c r="IGY97" s="114"/>
      <c r="IGZ97" s="114"/>
      <c r="IHB97" s="18"/>
      <c r="IHP97" s="21"/>
      <c r="IHQ97" s="21"/>
      <c r="IHR97" s="19"/>
      <c r="IHS97" s="20"/>
      <c r="IHT97" s="19"/>
      <c r="IHV97" s="114"/>
      <c r="IHW97" s="114"/>
      <c r="IHX97" s="114"/>
      <c r="IHY97" s="114"/>
      <c r="IIA97" s="18"/>
      <c r="IIO97" s="21"/>
      <c r="IIP97" s="21"/>
      <c r="IIQ97" s="19"/>
      <c r="IIR97" s="20"/>
      <c r="IIS97" s="19"/>
      <c r="IIU97" s="114"/>
      <c r="IIV97" s="114"/>
      <c r="IIW97" s="114"/>
      <c r="IIX97" s="114"/>
      <c r="IIZ97" s="18"/>
      <c r="IJN97" s="21"/>
      <c r="IJO97" s="21"/>
      <c r="IJP97" s="19"/>
      <c r="IJQ97" s="20"/>
      <c r="IJR97" s="19"/>
      <c r="IJT97" s="114"/>
      <c r="IJU97" s="114"/>
      <c r="IJV97" s="114"/>
      <c r="IJW97" s="114"/>
      <c r="IJY97" s="18"/>
      <c r="IKM97" s="21"/>
      <c r="IKN97" s="21"/>
      <c r="IKO97" s="19"/>
      <c r="IKP97" s="20"/>
      <c r="IKQ97" s="19"/>
      <c r="IKS97" s="114"/>
      <c r="IKT97" s="114"/>
      <c r="IKU97" s="114"/>
      <c r="IKV97" s="114"/>
      <c r="IKX97" s="18"/>
      <c r="ILL97" s="21"/>
      <c r="ILM97" s="21"/>
      <c r="ILN97" s="19"/>
      <c r="ILO97" s="20"/>
      <c r="ILP97" s="19"/>
      <c r="ILR97" s="114"/>
      <c r="ILS97" s="114"/>
      <c r="ILT97" s="114"/>
      <c r="ILU97" s="114"/>
      <c r="ILW97" s="18"/>
      <c r="IMK97" s="21"/>
      <c r="IML97" s="21"/>
      <c r="IMM97" s="19"/>
      <c r="IMN97" s="20"/>
      <c r="IMO97" s="19"/>
      <c r="IMQ97" s="114"/>
      <c r="IMR97" s="114"/>
      <c r="IMS97" s="114"/>
      <c r="IMT97" s="114"/>
      <c r="IMV97" s="18"/>
      <c r="INJ97" s="21"/>
      <c r="INK97" s="21"/>
      <c r="INL97" s="19"/>
      <c r="INM97" s="20"/>
      <c r="INN97" s="19"/>
      <c r="INP97" s="114"/>
      <c r="INQ97" s="114"/>
      <c r="INR97" s="114"/>
      <c r="INS97" s="114"/>
      <c r="INU97" s="18"/>
      <c r="IOI97" s="21"/>
      <c r="IOJ97" s="21"/>
      <c r="IOK97" s="19"/>
      <c r="IOL97" s="20"/>
      <c r="IOM97" s="19"/>
      <c r="IOO97" s="114"/>
      <c r="IOP97" s="114"/>
      <c r="IOQ97" s="114"/>
      <c r="IOR97" s="114"/>
      <c r="IOT97" s="18"/>
      <c r="IPH97" s="21"/>
      <c r="IPI97" s="21"/>
      <c r="IPJ97" s="19"/>
      <c r="IPK97" s="20"/>
      <c r="IPL97" s="19"/>
      <c r="IPN97" s="114"/>
      <c r="IPO97" s="114"/>
      <c r="IPP97" s="114"/>
      <c r="IPQ97" s="114"/>
      <c r="IPS97" s="18"/>
      <c r="IQG97" s="21"/>
      <c r="IQH97" s="21"/>
      <c r="IQI97" s="19"/>
      <c r="IQJ97" s="20"/>
      <c r="IQK97" s="19"/>
      <c r="IQM97" s="114"/>
      <c r="IQN97" s="114"/>
      <c r="IQO97" s="114"/>
      <c r="IQP97" s="114"/>
      <c r="IQR97" s="18"/>
      <c r="IRF97" s="21"/>
      <c r="IRG97" s="21"/>
      <c r="IRH97" s="19"/>
      <c r="IRI97" s="20"/>
      <c r="IRJ97" s="19"/>
      <c r="IRL97" s="114"/>
      <c r="IRM97" s="114"/>
      <c r="IRN97" s="114"/>
      <c r="IRO97" s="114"/>
      <c r="IRQ97" s="18"/>
      <c r="ISE97" s="21"/>
      <c r="ISF97" s="21"/>
      <c r="ISG97" s="19"/>
      <c r="ISH97" s="20"/>
      <c r="ISI97" s="19"/>
      <c r="ISK97" s="114"/>
      <c r="ISL97" s="114"/>
      <c r="ISM97" s="114"/>
      <c r="ISN97" s="114"/>
      <c r="ISP97" s="18"/>
      <c r="ITD97" s="21"/>
      <c r="ITE97" s="21"/>
      <c r="ITF97" s="19"/>
      <c r="ITG97" s="20"/>
      <c r="ITH97" s="19"/>
      <c r="ITJ97" s="114"/>
      <c r="ITK97" s="114"/>
      <c r="ITL97" s="114"/>
      <c r="ITM97" s="114"/>
      <c r="ITO97" s="18"/>
      <c r="IUC97" s="21"/>
      <c r="IUD97" s="21"/>
      <c r="IUE97" s="19"/>
      <c r="IUF97" s="20"/>
      <c r="IUG97" s="19"/>
      <c r="IUI97" s="114"/>
      <c r="IUJ97" s="114"/>
      <c r="IUK97" s="114"/>
      <c r="IUL97" s="114"/>
      <c r="IUN97" s="18"/>
      <c r="IVB97" s="21"/>
      <c r="IVC97" s="21"/>
      <c r="IVD97" s="19"/>
      <c r="IVE97" s="20"/>
      <c r="IVF97" s="19"/>
      <c r="IVH97" s="114"/>
      <c r="IVI97" s="114"/>
      <c r="IVJ97" s="114"/>
      <c r="IVK97" s="114"/>
      <c r="IVM97" s="18"/>
      <c r="IWA97" s="21"/>
      <c r="IWB97" s="21"/>
      <c r="IWC97" s="19"/>
      <c r="IWD97" s="20"/>
      <c r="IWE97" s="19"/>
      <c r="IWG97" s="114"/>
      <c r="IWH97" s="114"/>
      <c r="IWI97" s="114"/>
      <c r="IWJ97" s="114"/>
      <c r="IWL97" s="18"/>
      <c r="IWZ97" s="21"/>
      <c r="IXA97" s="21"/>
      <c r="IXB97" s="19"/>
      <c r="IXC97" s="20"/>
      <c r="IXD97" s="19"/>
      <c r="IXF97" s="114"/>
      <c r="IXG97" s="114"/>
      <c r="IXH97" s="114"/>
      <c r="IXI97" s="114"/>
      <c r="IXK97" s="18"/>
      <c r="IXY97" s="21"/>
      <c r="IXZ97" s="21"/>
      <c r="IYA97" s="19"/>
      <c r="IYB97" s="20"/>
      <c r="IYC97" s="19"/>
      <c r="IYE97" s="114"/>
      <c r="IYF97" s="114"/>
      <c r="IYG97" s="114"/>
      <c r="IYH97" s="114"/>
      <c r="IYJ97" s="18"/>
      <c r="IYX97" s="21"/>
      <c r="IYY97" s="21"/>
      <c r="IYZ97" s="19"/>
      <c r="IZA97" s="20"/>
      <c r="IZB97" s="19"/>
      <c r="IZD97" s="114"/>
      <c r="IZE97" s="114"/>
      <c r="IZF97" s="114"/>
      <c r="IZG97" s="114"/>
      <c r="IZI97" s="18"/>
      <c r="IZW97" s="21"/>
      <c r="IZX97" s="21"/>
      <c r="IZY97" s="19"/>
      <c r="IZZ97" s="20"/>
      <c r="JAA97" s="19"/>
      <c r="JAC97" s="114"/>
      <c r="JAD97" s="114"/>
      <c r="JAE97" s="114"/>
      <c r="JAF97" s="114"/>
      <c r="JAH97" s="18"/>
      <c r="JAV97" s="21"/>
      <c r="JAW97" s="21"/>
      <c r="JAX97" s="19"/>
      <c r="JAY97" s="20"/>
      <c r="JAZ97" s="19"/>
      <c r="JBB97" s="114"/>
      <c r="JBC97" s="114"/>
      <c r="JBD97" s="114"/>
      <c r="JBE97" s="114"/>
      <c r="JBG97" s="18"/>
      <c r="JBU97" s="21"/>
      <c r="JBV97" s="21"/>
      <c r="JBW97" s="19"/>
      <c r="JBX97" s="20"/>
      <c r="JBY97" s="19"/>
      <c r="JCA97" s="114"/>
      <c r="JCB97" s="114"/>
      <c r="JCC97" s="114"/>
      <c r="JCD97" s="114"/>
      <c r="JCF97" s="18"/>
      <c r="JCT97" s="21"/>
      <c r="JCU97" s="21"/>
      <c r="JCV97" s="19"/>
      <c r="JCW97" s="20"/>
      <c r="JCX97" s="19"/>
      <c r="JCZ97" s="114"/>
      <c r="JDA97" s="114"/>
      <c r="JDB97" s="114"/>
      <c r="JDC97" s="114"/>
      <c r="JDE97" s="18"/>
      <c r="JDS97" s="21"/>
      <c r="JDT97" s="21"/>
      <c r="JDU97" s="19"/>
      <c r="JDV97" s="20"/>
      <c r="JDW97" s="19"/>
      <c r="JDY97" s="114"/>
      <c r="JDZ97" s="114"/>
      <c r="JEA97" s="114"/>
      <c r="JEB97" s="114"/>
      <c r="JED97" s="18"/>
      <c r="JER97" s="21"/>
      <c r="JES97" s="21"/>
      <c r="JET97" s="19"/>
      <c r="JEU97" s="20"/>
      <c r="JEV97" s="19"/>
      <c r="JEX97" s="114"/>
      <c r="JEY97" s="114"/>
      <c r="JEZ97" s="114"/>
      <c r="JFA97" s="114"/>
      <c r="JFC97" s="18"/>
      <c r="JFQ97" s="21"/>
      <c r="JFR97" s="21"/>
      <c r="JFS97" s="19"/>
      <c r="JFT97" s="20"/>
      <c r="JFU97" s="19"/>
      <c r="JFW97" s="114"/>
      <c r="JFX97" s="114"/>
      <c r="JFY97" s="114"/>
      <c r="JFZ97" s="114"/>
      <c r="JGB97" s="18"/>
      <c r="JGP97" s="21"/>
      <c r="JGQ97" s="21"/>
      <c r="JGR97" s="19"/>
      <c r="JGS97" s="20"/>
      <c r="JGT97" s="19"/>
      <c r="JGV97" s="114"/>
      <c r="JGW97" s="114"/>
      <c r="JGX97" s="114"/>
      <c r="JGY97" s="114"/>
      <c r="JHA97" s="18"/>
      <c r="JHO97" s="21"/>
      <c r="JHP97" s="21"/>
      <c r="JHQ97" s="19"/>
      <c r="JHR97" s="20"/>
      <c r="JHS97" s="19"/>
      <c r="JHU97" s="114"/>
      <c r="JHV97" s="114"/>
      <c r="JHW97" s="114"/>
      <c r="JHX97" s="114"/>
      <c r="JHZ97" s="18"/>
      <c r="JIN97" s="21"/>
      <c r="JIO97" s="21"/>
      <c r="JIP97" s="19"/>
      <c r="JIQ97" s="20"/>
      <c r="JIR97" s="19"/>
      <c r="JIT97" s="114"/>
      <c r="JIU97" s="114"/>
      <c r="JIV97" s="114"/>
      <c r="JIW97" s="114"/>
      <c r="JIY97" s="18"/>
      <c r="JJM97" s="21"/>
      <c r="JJN97" s="21"/>
      <c r="JJO97" s="19"/>
      <c r="JJP97" s="20"/>
      <c r="JJQ97" s="19"/>
      <c r="JJS97" s="114"/>
      <c r="JJT97" s="114"/>
      <c r="JJU97" s="114"/>
      <c r="JJV97" s="114"/>
      <c r="JJX97" s="18"/>
      <c r="JKL97" s="21"/>
      <c r="JKM97" s="21"/>
      <c r="JKN97" s="19"/>
      <c r="JKO97" s="20"/>
      <c r="JKP97" s="19"/>
      <c r="JKR97" s="114"/>
      <c r="JKS97" s="114"/>
      <c r="JKT97" s="114"/>
      <c r="JKU97" s="114"/>
      <c r="JKW97" s="18"/>
      <c r="JLK97" s="21"/>
      <c r="JLL97" s="21"/>
      <c r="JLM97" s="19"/>
      <c r="JLN97" s="20"/>
      <c r="JLO97" s="19"/>
      <c r="JLQ97" s="114"/>
      <c r="JLR97" s="114"/>
      <c r="JLS97" s="114"/>
      <c r="JLT97" s="114"/>
      <c r="JLV97" s="18"/>
      <c r="JMJ97" s="21"/>
      <c r="JMK97" s="21"/>
      <c r="JML97" s="19"/>
      <c r="JMM97" s="20"/>
      <c r="JMN97" s="19"/>
      <c r="JMP97" s="114"/>
      <c r="JMQ97" s="114"/>
      <c r="JMR97" s="114"/>
      <c r="JMS97" s="114"/>
      <c r="JMU97" s="18"/>
      <c r="JNI97" s="21"/>
      <c r="JNJ97" s="21"/>
      <c r="JNK97" s="19"/>
      <c r="JNL97" s="20"/>
      <c r="JNM97" s="19"/>
      <c r="JNO97" s="114"/>
      <c r="JNP97" s="114"/>
      <c r="JNQ97" s="114"/>
      <c r="JNR97" s="114"/>
      <c r="JNT97" s="18"/>
      <c r="JOH97" s="21"/>
      <c r="JOI97" s="21"/>
      <c r="JOJ97" s="19"/>
      <c r="JOK97" s="20"/>
      <c r="JOL97" s="19"/>
      <c r="JON97" s="114"/>
      <c r="JOO97" s="114"/>
      <c r="JOP97" s="114"/>
      <c r="JOQ97" s="114"/>
      <c r="JOS97" s="18"/>
      <c r="JPG97" s="21"/>
      <c r="JPH97" s="21"/>
      <c r="JPI97" s="19"/>
      <c r="JPJ97" s="20"/>
      <c r="JPK97" s="19"/>
      <c r="JPM97" s="114"/>
      <c r="JPN97" s="114"/>
      <c r="JPO97" s="114"/>
      <c r="JPP97" s="114"/>
      <c r="JPR97" s="18"/>
      <c r="JQF97" s="21"/>
      <c r="JQG97" s="21"/>
      <c r="JQH97" s="19"/>
      <c r="JQI97" s="20"/>
      <c r="JQJ97" s="19"/>
      <c r="JQL97" s="114"/>
      <c r="JQM97" s="114"/>
      <c r="JQN97" s="114"/>
      <c r="JQO97" s="114"/>
      <c r="JQQ97" s="18"/>
      <c r="JRE97" s="21"/>
      <c r="JRF97" s="21"/>
      <c r="JRG97" s="19"/>
      <c r="JRH97" s="20"/>
      <c r="JRI97" s="19"/>
      <c r="JRK97" s="114"/>
      <c r="JRL97" s="114"/>
      <c r="JRM97" s="114"/>
      <c r="JRN97" s="114"/>
      <c r="JRP97" s="18"/>
      <c r="JSD97" s="21"/>
      <c r="JSE97" s="21"/>
      <c r="JSF97" s="19"/>
      <c r="JSG97" s="20"/>
      <c r="JSH97" s="19"/>
      <c r="JSJ97" s="114"/>
      <c r="JSK97" s="114"/>
      <c r="JSL97" s="114"/>
      <c r="JSM97" s="114"/>
      <c r="JSO97" s="18"/>
      <c r="JTC97" s="21"/>
      <c r="JTD97" s="21"/>
      <c r="JTE97" s="19"/>
      <c r="JTF97" s="20"/>
      <c r="JTG97" s="19"/>
      <c r="JTI97" s="114"/>
      <c r="JTJ97" s="114"/>
      <c r="JTK97" s="114"/>
      <c r="JTL97" s="114"/>
      <c r="JTN97" s="18"/>
      <c r="JUB97" s="21"/>
      <c r="JUC97" s="21"/>
      <c r="JUD97" s="19"/>
      <c r="JUE97" s="20"/>
      <c r="JUF97" s="19"/>
      <c r="JUH97" s="114"/>
      <c r="JUI97" s="114"/>
      <c r="JUJ97" s="114"/>
      <c r="JUK97" s="114"/>
      <c r="JUM97" s="18"/>
      <c r="JVA97" s="21"/>
      <c r="JVB97" s="21"/>
      <c r="JVC97" s="19"/>
      <c r="JVD97" s="20"/>
      <c r="JVE97" s="19"/>
      <c r="JVG97" s="114"/>
      <c r="JVH97" s="114"/>
      <c r="JVI97" s="114"/>
      <c r="JVJ97" s="114"/>
      <c r="JVL97" s="18"/>
      <c r="JVZ97" s="21"/>
      <c r="JWA97" s="21"/>
      <c r="JWB97" s="19"/>
      <c r="JWC97" s="20"/>
      <c r="JWD97" s="19"/>
      <c r="JWF97" s="114"/>
      <c r="JWG97" s="114"/>
      <c r="JWH97" s="114"/>
      <c r="JWI97" s="114"/>
      <c r="JWK97" s="18"/>
      <c r="JWY97" s="21"/>
      <c r="JWZ97" s="21"/>
      <c r="JXA97" s="19"/>
      <c r="JXB97" s="20"/>
      <c r="JXC97" s="19"/>
      <c r="JXE97" s="114"/>
      <c r="JXF97" s="114"/>
      <c r="JXG97" s="114"/>
      <c r="JXH97" s="114"/>
      <c r="JXJ97" s="18"/>
      <c r="JXX97" s="21"/>
      <c r="JXY97" s="21"/>
      <c r="JXZ97" s="19"/>
      <c r="JYA97" s="20"/>
      <c r="JYB97" s="19"/>
      <c r="JYD97" s="114"/>
      <c r="JYE97" s="114"/>
      <c r="JYF97" s="114"/>
      <c r="JYG97" s="114"/>
      <c r="JYI97" s="18"/>
      <c r="JYW97" s="21"/>
      <c r="JYX97" s="21"/>
      <c r="JYY97" s="19"/>
      <c r="JYZ97" s="20"/>
      <c r="JZA97" s="19"/>
      <c r="JZC97" s="114"/>
      <c r="JZD97" s="114"/>
      <c r="JZE97" s="114"/>
      <c r="JZF97" s="114"/>
      <c r="JZH97" s="18"/>
      <c r="JZV97" s="21"/>
      <c r="JZW97" s="21"/>
      <c r="JZX97" s="19"/>
      <c r="JZY97" s="20"/>
      <c r="JZZ97" s="19"/>
      <c r="KAB97" s="114"/>
      <c r="KAC97" s="114"/>
      <c r="KAD97" s="114"/>
      <c r="KAE97" s="114"/>
      <c r="KAG97" s="18"/>
      <c r="KAU97" s="21"/>
      <c r="KAV97" s="21"/>
      <c r="KAW97" s="19"/>
      <c r="KAX97" s="20"/>
      <c r="KAY97" s="19"/>
      <c r="KBA97" s="114"/>
      <c r="KBB97" s="114"/>
      <c r="KBC97" s="114"/>
      <c r="KBD97" s="114"/>
      <c r="KBF97" s="18"/>
      <c r="KBT97" s="21"/>
      <c r="KBU97" s="21"/>
      <c r="KBV97" s="19"/>
      <c r="KBW97" s="20"/>
      <c r="KBX97" s="19"/>
      <c r="KBZ97" s="114"/>
      <c r="KCA97" s="114"/>
      <c r="KCB97" s="114"/>
      <c r="KCC97" s="114"/>
      <c r="KCE97" s="18"/>
      <c r="KCS97" s="21"/>
      <c r="KCT97" s="21"/>
      <c r="KCU97" s="19"/>
      <c r="KCV97" s="20"/>
      <c r="KCW97" s="19"/>
      <c r="KCY97" s="114"/>
      <c r="KCZ97" s="114"/>
      <c r="KDA97" s="114"/>
      <c r="KDB97" s="114"/>
      <c r="KDD97" s="18"/>
      <c r="KDR97" s="21"/>
      <c r="KDS97" s="21"/>
      <c r="KDT97" s="19"/>
      <c r="KDU97" s="20"/>
      <c r="KDV97" s="19"/>
      <c r="KDX97" s="114"/>
      <c r="KDY97" s="114"/>
      <c r="KDZ97" s="114"/>
      <c r="KEA97" s="114"/>
      <c r="KEC97" s="18"/>
      <c r="KEQ97" s="21"/>
      <c r="KER97" s="21"/>
      <c r="KES97" s="19"/>
      <c r="KET97" s="20"/>
      <c r="KEU97" s="19"/>
      <c r="KEW97" s="114"/>
      <c r="KEX97" s="114"/>
      <c r="KEY97" s="114"/>
      <c r="KEZ97" s="114"/>
      <c r="KFB97" s="18"/>
      <c r="KFP97" s="21"/>
      <c r="KFQ97" s="21"/>
      <c r="KFR97" s="19"/>
      <c r="KFS97" s="20"/>
      <c r="KFT97" s="19"/>
      <c r="KFV97" s="114"/>
      <c r="KFW97" s="114"/>
      <c r="KFX97" s="114"/>
      <c r="KFY97" s="114"/>
      <c r="KGA97" s="18"/>
      <c r="KGO97" s="21"/>
      <c r="KGP97" s="21"/>
      <c r="KGQ97" s="19"/>
      <c r="KGR97" s="20"/>
      <c r="KGS97" s="19"/>
      <c r="KGU97" s="114"/>
      <c r="KGV97" s="114"/>
      <c r="KGW97" s="114"/>
      <c r="KGX97" s="114"/>
      <c r="KGZ97" s="18"/>
      <c r="KHN97" s="21"/>
      <c r="KHO97" s="21"/>
      <c r="KHP97" s="19"/>
      <c r="KHQ97" s="20"/>
      <c r="KHR97" s="19"/>
      <c r="KHT97" s="114"/>
      <c r="KHU97" s="114"/>
      <c r="KHV97" s="114"/>
      <c r="KHW97" s="114"/>
      <c r="KHY97" s="18"/>
      <c r="KIM97" s="21"/>
      <c r="KIN97" s="21"/>
      <c r="KIO97" s="19"/>
      <c r="KIP97" s="20"/>
      <c r="KIQ97" s="19"/>
      <c r="KIS97" s="114"/>
      <c r="KIT97" s="114"/>
      <c r="KIU97" s="114"/>
      <c r="KIV97" s="114"/>
      <c r="KIX97" s="18"/>
      <c r="KJL97" s="21"/>
      <c r="KJM97" s="21"/>
      <c r="KJN97" s="19"/>
      <c r="KJO97" s="20"/>
      <c r="KJP97" s="19"/>
      <c r="KJR97" s="114"/>
      <c r="KJS97" s="114"/>
      <c r="KJT97" s="114"/>
      <c r="KJU97" s="114"/>
      <c r="KJW97" s="18"/>
      <c r="KKK97" s="21"/>
      <c r="KKL97" s="21"/>
      <c r="KKM97" s="19"/>
      <c r="KKN97" s="20"/>
      <c r="KKO97" s="19"/>
      <c r="KKQ97" s="114"/>
      <c r="KKR97" s="114"/>
      <c r="KKS97" s="114"/>
      <c r="KKT97" s="114"/>
      <c r="KKV97" s="18"/>
      <c r="KLJ97" s="21"/>
      <c r="KLK97" s="21"/>
      <c r="KLL97" s="19"/>
      <c r="KLM97" s="20"/>
      <c r="KLN97" s="19"/>
      <c r="KLP97" s="114"/>
      <c r="KLQ97" s="114"/>
      <c r="KLR97" s="114"/>
      <c r="KLS97" s="114"/>
      <c r="KLU97" s="18"/>
      <c r="KMI97" s="21"/>
      <c r="KMJ97" s="21"/>
      <c r="KMK97" s="19"/>
      <c r="KML97" s="20"/>
      <c r="KMM97" s="19"/>
      <c r="KMO97" s="114"/>
      <c r="KMP97" s="114"/>
      <c r="KMQ97" s="114"/>
      <c r="KMR97" s="114"/>
      <c r="KMT97" s="18"/>
      <c r="KNH97" s="21"/>
      <c r="KNI97" s="21"/>
      <c r="KNJ97" s="19"/>
      <c r="KNK97" s="20"/>
      <c r="KNL97" s="19"/>
      <c r="KNN97" s="114"/>
      <c r="KNO97" s="114"/>
      <c r="KNP97" s="114"/>
      <c r="KNQ97" s="114"/>
      <c r="KNS97" s="18"/>
      <c r="KOG97" s="21"/>
      <c r="KOH97" s="21"/>
      <c r="KOI97" s="19"/>
      <c r="KOJ97" s="20"/>
      <c r="KOK97" s="19"/>
      <c r="KOM97" s="114"/>
      <c r="KON97" s="114"/>
      <c r="KOO97" s="114"/>
      <c r="KOP97" s="114"/>
      <c r="KOR97" s="18"/>
      <c r="KPF97" s="21"/>
      <c r="KPG97" s="21"/>
      <c r="KPH97" s="19"/>
      <c r="KPI97" s="20"/>
      <c r="KPJ97" s="19"/>
      <c r="KPL97" s="114"/>
      <c r="KPM97" s="114"/>
      <c r="KPN97" s="114"/>
      <c r="KPO97" s="114"/>
      <c r="KPQ97" s="18"/>
      <c r="KQE97" s="21"/>
      <c r="KQF97" s="21"/>
      <c r="KQG97" s="19"/>
      <c r="KQH97" s="20"/>
      <c r="KQI97" s="19"/>
      <c r="KQK97" s="114"/>
      <c r="KQL97" s="114"/>
      <c r="KQM97" s="114"/>
      <c r="KQN97" s="114"/>
      <c r="KQP97" s="18"/>
      <c r="KRD97" s="21"/>
      <c r="KRE97" s="21"/>
      <c r="KRF97" s="19"/>
      <c r="KRG97" s="20"/>
      <c r="KRH97" s="19"/>
      <c r="KRJ97" s="114"/>
      <c r="KRK97" s="114"/>
      <c r="KRL97" s="114"/>
      <c r="KRM97" s="114"/>
      <c r="KRO97" s="18"/>
      <c r="KSC97" s="21"/>
      <c r="KSD97" s="21"/>
      <c r="KSE97" s="19"/>
      <c r="KSF97" s="20"/>
      <c r="KSG97" s="19"/>
      <c r="KSI97" s="114"/>
      <c r="KSJ97" s="114"/>
      <c r="KSK97" s="114"/>
      <c r="KSL97" s="114"/>
      <c r="KSN97" s="18"/>
      <c r="KTB97" s="21"/>
      <c r="KTC97" s="21"/>
      <c r="KTD97" s="19"/>
      <c r="KTE97" s="20"/>
      <c r="KTF97" s="19"/>
      <c r="KTH97" s="114"/>
      <c r="KTI97" s="114"/>
      <c r="KTJ97" s="114"/>
      <c r="KTK97" s="114"/>
      <c r="KTM97" s="18"/>
      <c r="KUA97" s="21"/>
      <c r="KUB97" s="21"/>
      <c r="KUC97" s="19"/>
      <c r="KUD97" s="20"/>
      <c r="KUE97" s="19"/>
      <c r="KUG97" s="114"/>
      <c r="KUH97" s="114"/>
      <c r="KUI97" s="114"/>
      <c r="KUJ97" s="114"/>
      <c r="KUL97" s="18"/>
      <c r="KUZ97" s="21"/>
      <c r="KVA97" s="21"/>
      <c r="KVB97" s="19"/>
      <c r="KVC97" s="20"/>
      <c r="KVD97" s="19"/>
      <c r="KVF97" s="114"/>
      <c r="KVG97" s="114"/>
      <c r="KVH97" s="114"/>
      <c r="KVI97" s="114"/>
      <c r="KVK97" s="18"/>
      <c r="KVY97" s="21"/>
      <c r="KVZ97" s="21"/>
      <c r="KWA97" s="19"/>
      <c r="KWB97" s="20"/>
      <c r="KWC97" s="19"/>
      <c r="KWE97" s="114"/>
      <c r="KWF97" s="114"/>
      <c r="KWG97" s="114"/>
      <c r="KWH97" s="114"/>
      <c r="KWJ97" s="18"/>
      <c r="KWX97" s="21"/>
      <c r="KWY97" s="21"/>
      <c r="KWZ97" s="19"/>
      <c r="KXA97" s="20"/>
      <c r="KXB97" s="19"/>
      <c r="KXD97" s="114"/>
      <c r="KXE97" s="114"/>
      <c r="KXF97" s="114"/>
      <c r="KXG97" s="114"/>
      <c r="KXI97" s="18"/>
      <c r="KXW97" s="21"/>
      <c r="KXX97" s="21"/>
      <c r="KXY97" s="19"/>
      <c r="KXZ97" s="20"/>
      <c r="KYA97" s="19"/>
      <c r="KYC97" s="114"/>
      <c r="KYD97" s="114"/>
      <c r="KYE97" s="114"/>
      <c r="KYF97" s="114"/>
      <c r="KYH97" s="18"/>
      <c r="KYV97" s="21"/>
      <c r="KYW97" s="21"/>
      <c r="KYX97" s="19"/>
      <c r="KYY97" s="20"/>
      <c r="KYZ97" s="19"/>
      <c r="KZB97" s="114"/>
      <c r="KZC97" s="114"/>
      <c r="KZD97" s="114"/>
      <c r="KZE97" s="114"/>
      <c r="KZG97" s="18"/>
      <c r="KZU97" s="21"/>
      <c r="KZV97" s="21"/>
      <c r="KZW97" s="19"/>
      <c r="KZX97" s="20"/>
      <c r="KZY97" s="19"/>
      <c r="LAA97" s="114"/>
      <c r="LAB97" s="114"/>
      <c r="LAC97" s="114"/>
      <c r="LAD97" s="114"/>
      <c r="LAF97" s="18"/>
      <c r="LAT97" s="21"/>
      <c r="LAU97" s="21"/>
      <c r="LAV97" s="19"/>
      <c r="LAW97" s="20"/>
      <c r="LAX97" s="19"/>
      <c r="LAZ97" s="114"/>
      <c r="LBA97" s="114"/>
      <c r="LBB97" s="114"/>
      <c r="LBC97" s="114"/>
      <c r="LBE97" s="18"/>
      <c r="LBS97" s="21"/>
      <c r="LBT97" s="21"/>
      <c r="LBU97" s="19"/>
      <c r="LBV97" s="20"/>
      <c r="LBW97" s="19"/>
      <c r="LBY97" s="114"/>
      <c r="LBZ97" s="114"/>
      <c r="LCA97" s="114"/>
      <c r="LCB97" s="114"/>
      <c r="LCD97" s="18"/>
      <c r="LCR97" s="21"/>
      <c r="LCS97" s="21"/>
      <c r="LCT97" s="19"/>
      <c r="LCU97" s="20"/>
      <c r="LCV97" s="19"/>
      <c r="LCX97" s="114"/>
      <c r="LCY97" s="114"/>
      <c r="LCZ97" s="114"/>
      <c r="LDA97" s="114"/>
      <c r="LDC97" s="18"/>
      <c r="LDQ97" s="21"/>
      <c r="LDR97" s="21"/>
      <c r="LDS97" s="19"/>
      <c r="LDT97" s="20"/>
      <c r="LDU97" s="19"/>
      <c r="LDW97" s="114"/>
      <c r="LDX97" s="114"/>
      <c r="LDY97" s="114"/>
      <c r="LDZ97" s="114"/>
      <c r="LEB97" s="18"/>
      <c r="LEP97" s="21"/>
      <c r="LEQ97" s="21"/>
      <c r="LER97" s="19"/>
      <c r="LES97" s="20"/>
      <c r="LET97" s="19"/>
      <c r="LEV97" s="114"/>
      <c r="LEW97" s="114"/>
      <c r="LEX97" s="114"/>
      <c r="LEY97" s="114"/>
      <c r="LFA97" s="18"/>
      <c r="LFO97" s="21"/>
      <c r="LFP97" s="21"/>
      <c r="LFQ97" s="19"/>
      <c r="LFR97" s="20"/>
      <c r="LFS97" s="19"/>
      <c r="LFU97" s="114"/>
      <c r="LFV97" s="114"/>
      <c r="LFW97" s="114"/>
      <c r="LFX97" s="114"/>
      <c r="LFZ97" s="18"/>
      <c r="LGN97" s="21"/>
      <c r="LGO97" s="21"/>
      <c r="LGP97" s="19"/>
      <c r="LGQ97" s="20"/>
      <c r="LGR97" s="19"/>
      <c r="LGT97" s="114"/>
      <c r="LGU97" s="114"/>
      <c r="LGV97" s="114"/>
      <c r="LGW97" s="114"/>
      <c r="LGY97" s="18"/>
      <c r="LHM97" s="21"/>
      <c r="LHN97" s="21"/>
      <c r="LHO97" s="19"/>
      <c r="LHP97" s="20"/>
      <c r="LHQ97" s="19"/>
      <c r="LHS97" s="114"/>
      <c r="LHT97" s="114"/>
      <c r="LHU97" s="114"/>
      <c r="LHV97" s="114"/>
      <c r="LHX97" s="18"/>
      <c r="LIL97" s="21"/>
      <c r="LIM97" s="21"/>
      <c r="LIN97" s="19"/>
      <c r="LIO97" s="20"/>
      <c r="LIP97" s="19"/>
      <c r="LIR97" s="114"/>
      <c r="LIS97" s="114"/>
      <c r="LIT97" s="114"/>
      <c r="LIU97" s="114"/>
      <c r="LIW97" s="18"/>
      <c r="LJK97" s="21"/>
      <c r="LJL97" s="21"/>
      <c r="LJM97" s="19"/>
      <c r="LJN97" s="20"/>
      <c r="LJO97" s="19"/>
      <c r="LJQ97" s="114"/>
      <c r="LJR97" s="114"/>
      <c r="LJS97" s="114"/>
      <c r="LJT97" s="114"/>
      <c r="LJV97" s="18"/>
      <c r="LKJ97" s="21"/>
      <c r="LKK97" s="21"/>
      <c r="LKL97" s="19"/>
      <c r="LKM97" s="20"/>
      <c r="LKN97" s="19"/>
      <c r="LKP97" s="114"/>
      <c r="LKQ97" s="114"/>
      <c r="LKR97" s="114"/>
      <c r="LKS97" s="114"/>
      <c r="LKU97" s="18"/>
      <c r="LLI97" s="21"/>
      <c r="LLJ97" s="21"/>
      <c r="LLK97" s="19"/>
      <c r="LLL97" s="20"/>
      <c r="LLM97" s="19"/>
      <c r="LLO97" s="114"/>
      <c r="LLP97" s="114"/>
      <c r="LLQ97" s="114"/>
      <c r="LLR97" s="114"/>
      <c r="LLT97" s="18"/>
      <c r="LMH97" s="21"/>
      <c r="LMI97" s="21"/>
      <c r="LMJ97" s="19"/>
      <c r="LMK97" s="20"/>
      <c r="LML97" s="19"/>
      <c r="LMN97" s="114"/>
      <c r="LMO97" s="114"/>
      <c r="LMP97" s="114"/>
      <c r="LMQ97" s="114"/>
      <c r="LMS97" s="18"/>
      <c r="LNG97" s="21"/>
      <c r="LNH97" s="21"/>
      <c r="LNI97" s="19"/>
      <c r="LNJ97" s="20"/>
      <c r="LNK97" s="19"/>
      <c r="LNM97" s="114"/>
      <c r="LNN97" s="114"/>
      <c r="LNO97" s="114"/>
      <c r="LNP97" s="114"/>
      <c r="LNR97" s="18"/>
      <c r="LOF97" s="21"/>
      <c r="LOG97" s="21"/>
      <c r="LOH97" s="19"/>
      <c r="LOI97" s="20"/>
      <c r="LOJ97" s="19"/>
      <c r="LOL97" s="114"/>
      <c r="LOM97" s="114"/>
      <c r="LON97" s="114"/>
      <c r="LOO97" s="114"/>
      <c r="LOQ97" s="18"/>
      <c r="LPE97" s="21"/>
      <c r="LPF97" s="21"/>
      <c r="LPG97" s="19"/>
      <c r="LPH97" s="20"/>
      <c r="LPI97" s="19"/>
      <c r="LPK97" s="114"/>
      <c r="LPL97" s="114"/>
      <c r="LPM97" s="114"/>
      <c r="LPN97" s="114"/>
      <c r="LPP97" s="18"/>
      <c r="LQD97" s="21"/>
      <c r="LQE97" s="21"/>
      <c r="LQF97" s="19"/>
      <c r="LQG97" s="20"/>
      <c r="LQH97" s="19"/>
      <c r="LQJ97" s="114"/>
      <c r="LQK97" s="114"/>
      <c r="LQL97" s="114"/>
      <c r="LQM97" s="114"/>
      <c r="LQO97" s="18"/>
      <c r="LRC97" s="21"/>
      <c r="LRD97" s="21"/>
      <c r="LRE97" s="19"/>
      <c r="LRF97" s="20"/>
      <c r="LRG97" s="19"/>
      <c r="LRI97" s="114"/>
      <c r="LRJ97" s="114"/>
      <c r="LRK97" s="114"/>
      <c r="LRL97" s="114"/>
      <c r="LRN97" s="18"/>
      <c r="LSB97" s="21"/>
      <c r="LSC97" s="21"/>
      <c r="LSD97" s="19"/>
      <c r="LSE97" s="20"/>
      <c r="LSF97" s="19"/>
      <c r="LSH97" s="114"/>
      <c r="LSI97" s="114"/>
      <c r="LSJ97" s="114"/>
      <c r="LSK97" s="114"/>
      <c r="LSM97" s="18"/>
      <c r="LTA97" s="21"/>
      <c r="LTB97" s="21"/>
      <c r="LTC97" s="19"/>
      <c r="LTD97" s="20"/>
      <c r="LTE97" s="19"/>
      <c r="LTG97" s="114"/>
      <c r="LTH97" s="114"/>
      <c r="LTI97" s="114"/>
      <c r="LTJ97" s="114"/>
      <c r="LTL97" s="18"/>
      <c r="LTZ97" s="21"/>
      <c r="LUA97" s="21"/>
      <c r="LUB97" s="19"/>
      <c r="LUC97" s="20"/>
      <c r="LUD97" s="19"/>
      <c r="LUF97" s="114"/>
      <c r="LUG97" s="114"/>
      <c r="LUH97" s="114"/>
      <c r="LUI97" s="114"/>
      <c r="LUK97" s="18"/>
      <c r="LUY97" s="21"/>
      <c r="LUZ97" s="21"/>
      <c r="LVA97" s="19"/>
      <c r="LVB97" s="20"/>
      <c r="LVC97" s="19"/>
      <c r="LVE97" s="114"/>
      <c r="LVF97" s="114"/>
      <c r="LVG97" s="114"/>
      <c r="LVH97" s="114"/>
      <c r="LVJ97" s="18"/>
      <c r="LVX97" s="21"/>
      <c r="LVY97" s="21"/>
      <c r="LVZ97" s="19"/>
      <c r="LWA97" s="20"/>
      <c r="LWB97" s="19"/>
      <c r="LWD97" s="114"/>
      <c r="LWE97" s="114"/>
      <c r="LWF97" s="114"/>
      <c r="LWG97" s="114"/>
      <c r="LWI97" s="18"/>
      <c r="LWW97" s="21"/>
      <c r="LWX97" s="21"/>
      <c r="LWY97" s="19"/>
      <c r="LWZ97" s="20"/>
      <c r="LXA97" s="19"/>
      <c r="LXC97" s="114"/>
      <c r="LXD97" s="114"/>
      <c r="LXE97" s="114"/>
      <c r="LXF97" s="114"/>
      <c r="LXH97" s="18"/>
      <c r="LXV97" s="21"/>
      <c r="LXW97" s="21"/>
      <c r="LXX97" s="19"/>
      <c r="LXY97" s="20"/>
      <c r="LXZ97" s="19"/>
      <c r="LYB97" s="114"/>
      <c r="LYC97" s="114"/>
      <c r="LYD97" s="114"/>
      <c r="LYE97" s="114"/>
      <c r="LYG97" s="18"/>
      <c r="LYU97" s="21"/>
      <c r="LYV97" s="21"/>
      <c r="LYW97" s="19"/>
      <c r="LYX97" s="20"/>
      <c r="LYY97" s="19"/>
      <c r="LZA97" s="114"/>
      <c r="LZB97" s="114"/>
      <c r="LZC97" s="114"/>
      <c r="LZD97" s="114"/>
      <c r="LZF97" s="18"/>
      <c r="LZT97" s="21"/>
      <c r="LZU97" s="21"/>
      <c r="LZV97" s="19"/>
      <c r="LZW97" s="20"/>
      <c r="LZX97" s="19"/>
      <c r="LZZ97" s="114"/>
      <c r="MAA97" s="114"/>
      <c r="MAB97" s="114"/>
      <c r="MAC97" s="114"/>
      <c r="MAE97" s="18"/>
      <c r="MAS97" s="21"/>
      <c r="MAT97" s="21"/>
      <c r="MAU97" s="19"/>
      <c r="MAV97" s="20"/>
      <c r="MAW97" s="19"/>
      <c r="MAY97" s="114"/>
      <c r="MAZ97" s="114"/>
      <c r="MBA97" s="114"/>
      <c r="MBB97" s="114"/>
      <c r="MBD97" s="18"/>
      <c r="MBR97" s="21"/>
      <c r="MBS97" s="21"/>
      <c r="MBT97" s="19"/>
      <c r="MBU97" s="20"/>
      <c r="MBV97" s="19"/>
      <c r="MBX97" s="114"/>
      <c r="MBY97" s="114"/>
      <c r="MBZ97" s="114"/>
      <c r="MCA97" s="114"/>
      <c r="MCC97" s="18"/>
      <c r="MCQ97" s="21"/>
      <c r="MCR97" s="21"/>
      <c r="MCS97" s="19"/>
      <c r="MCT97" s="20"/>
      <c r="MCU97" s="19"/>
      <c r="MCW97" s="114"/>
      <c r="MCX97" s="114"/>
      <c r="MCY97" s="114"/>
      <c r="MCZ97" s="114"/>
      <c r="MDB97" s="18"/>
      <c r="MDP97" s="21"/>
      <c r="MDQ97" s="21"/>
      <c r="MDR97" s="19"/>
      <c r="MDS97" s="20"/>
      <c r="MDT97" s="19"/>
      <c r="MDV97" s="114"/>
      <c r="MDW97" s="114"/>
      <c r="MDX97" s="114"/>
      <c r="MDY97" s="114"/>
      <c r="MEA97" s="18"/>
      <c r="MEO97" s="21"/>
      <c r="MEP97" s="21"/>
      <c r="MEQ97" s="19"/>
      <c r="MER97" s="20"/>
      <c r="MES97" s="19"/>
      <c r="MEU97" s="114"/>
      <c r="MEV97" s="114"/>
      <c r="MEW97" s="114"/>
      <c r="MEX97" s="114"/>
      <c r="MEZ97" s="18"/>
      <c r="MFN97" s="21"/>
      <c r="MFO97" s="21"/>
      <c r="MFP97" s="19"/>
      <c r="MFQ97" s="20"/>
      <c r="MFR97" s="19"/>
      <c r="MFT97" s="114"/>
      <c r="MFU97" s="114"/>
      <c r="MFV97" s="114"/>
      <c r="MFW97" s="114"/>
      <c r="MFY97" s="18"/>
      <c r="MGM97" s="21"/>
      <c r="MGN97" s="21"/>
      <c r="MGO97" s="19"/>
      <c r="MGP97" s="20"/>
      <c r="MGQ97" s="19"/>
      <c r="MGS97" s="114"/>
      <c r="MGT97" s="114"/>
      <c r="MGU97" s="114"/>
      <c r="MGV97" s="114"/>
      <c r="MGX97" s="18"/>
      <c r="MHL97" s="21"/>
      <c r="MHM97" s="21"/>
      <c r="MHN97" s="19"/>
      <c r="MHO97" s="20"/>
      <c r="MHP97" s="19"/>
      <c r="MHR97" s="114"/>
      <c r="MHS97" s="114"/>
      <c r="MHT97" s="114"/>
      <c r="MHU97" s="114"/>
      <c r="MHW97" s="18"/>
      <c r="MIK97" s="21"/>
      <c r="MIL97" s="21"/>
      <c r="MIM97" s="19"/>
      <c r="MIN97" s="20"/>
      <c r="MIO97" s="19"/>
      <c r="MIQ97" s="114"/>
      <c r="MIR97" s="114"/>
      <c r="MIS97" s="114"/>
      <c r="MIT97" s="114"/>
      <c r="MIV97" s="18"/>
      <c r="MJJ97" s="21"/>
      <c r="MJK97" s="21"/>
      <c r="MJL97" s="19"/>
      <c r="MJM97" s="20"/>
      <c r="MJN97" s="19"/>
      <c r="MJP97" s="114"/>
      <c r="MJQ97" s="114"/>
      <c r="MJR97" s="114"/>
      <c r="MJS97" s="114"/>
      <c r="MJU97" s="18"/>
      <c r="MKI97" s="21"/>
      <c r="MKJ97" s="21"/>
      <c r="MKK97" s="19"/>
      <c r="MKL97" s="20"/>
      <c r="MKM97" s="19"/>
      <c r="MKO97" s="114"/>
      <c r="MKP97" s="114"/>
      <c r="MKQ97" s="114"/>
      <c r="MKR97" s="114"/>
      <c r="MKT97" s="18"/>
      <c r="MLH97" s="21"/>
      <c r="MLI97" s="21"/>
      <c r="MLJ97" s="19"/>
      <c r="MLK97" s="20"/>
      <c r="MLL97" s="19"/>
      <c r="MLN97" s="114"/>
      <c r="MLO97" s="114"/>
      <c r="MLP97" s="114"/>
      <c r="MLQ97" s="114"/>
      <c r="MLS97" s="18"/>
      <c r="MMG97" s="21"/>
      <c r="MMH97" s="21"/>
      <c r="MMI97" s="19"/>
      <c r="MMJ97" s="20"/>
      <c r="MMK97" s="19"/>
      <c r="MMM97" s="114"/>
      <c r="MMN97" s="114"/>
      <c r="MMO97" s="114"/>
      <c r="MMP97" s="114"/>
      <c r="MMR97" s="18"/>
      <c r="MNF97" s="21"/>
      <c r="MNG97" s="21"/>
      <c r="MNH97" s="19"/>
      <c r="MNI97" s="20"/>
      <c r="MNJ97" s="19"/>
      <c r="MNL97" s="114"/>
      <c r="MNM97" s="114"/>
      <c r="MNN97" s="114"/>
      <c r="MNO97" s="114"/>
      <c r="MNQ97" s="18"/>
      <c r="MOE97" s="21"/>
      <c r="MOF97" s="21"/>
      <c r="MOG97" s="19"/>
      <c r="MOH97" s="20"/>
      <c r="MOI97" s="19"/>
      <c r="MOK97" s="114"/>
      <c r="MOL97" s="114"/>
      <c r="MOM97" s="114"/>
      <c r="MON97" s="114"/>
      <c r="MOP97" s="18"/>
      <c r="MPD97" s="21"/>
      <c r="MPE97" s="21"/>
      <c r="MPF97" s="19"/>
      <c r="MPG97" s="20"/>
      <c r="MPH97" s="19"/>
      <c r="MPJ97" s="114"/>
      <c r="MPK97" s="114"/>
      <c r="MPL97" s="114"/>
      <c r="MPM97" s="114"/>
      <c r="MPO97" s="18"/>
      <c r="MQC97" s="21"/>
      <c r="MQD97" s="21"/>
      <c r="MQE97" s="19"/>
      <c r="MQF97" s="20"/>
      <c r="MQG97" s="19"/>
      <c r="MQI97" s="114"/>
      <c r="MQJ97" s="114"/>
      <c r="MQK97" s="114"/>
      <c r="MQL97" s="114"/>
      <c r="MQN97" s="18"/>
      <c r="MRB97" s="21"/>
      <c r="MRC97" s="21"/>
      <c r="MRD97" s="19"/>
      <c r="MRE97" s="20"/>
      <c r="MRF97" s="19"/>
      <c r="MRH97" s="114"/>
      <c r="MRI97" s="114"/>
      <c r="MRJ97" s="114"/>
      <c r="MRK97" s="114"/>
      <c r="MRM97" s="18"/>
      <c r="MSA97" s="21"/>
      <c r="MSB97" s="21"/>
      <c r="MSC97" s="19"/>
      <c r="MSD97" s="20"/>
      <c r="MSE97" s="19"/>
      <c r="MSG97" s="114"/>
      <c r="MSH97" s="114"/>
      <c r="MSI97" s="114"/>
      <c r="MSJ97" s="114"/>
      <c r="MSL97" s="18"/>
      <c r="MSZ97" s="21"/>
      <c r="MTA97" s="21"/>
      <c r="MTB97" s="19"/>
      <c r="MTC97" s="20"/>
      <c r="MTD97" s="19"/>
      <c r="MTF97" s="114"/>
      <c r="MTG97" s="114"/>
      <c r="MTH97" s="114"/>
      <c r="MTI97" s="114"/>
      <c r="MTK97" s="18"/>
      <c r="MTY97" s="21"/>
      <c r="MTZ97" s="21"/>
      <c r="MUA97" s="19"/>
      <c r="MUB97" s="20"/>
      <c r="MUC97" s="19"/>
      <c r="MUE97" s="114"/>
      <c r="MUF97" s="114"/>
      <c r="MUG97" s="114"/>
      <c r="MUH97" s="114"/>
      <c r="MUJ97" s="18"/>
      <c r="MUX97" s="21"/>
      <c r="MUY97" s="21"/>
      <c r="MUZ97" s="19"/>
      <c r="MVA97" s="20"/>
      <c r="MVB97" s="19"/>
      <c r="MVD97" s="114"/>
      <c r="MVE97" s="114"/>
      <c r="MVF97" s="114"/>
      <c r="MVG97" s="114"/>
      <c r="MVI97" s="18"/>
      <c r="MVW97" s="21"/>
      <c r="MVX97" s="21"/>
      <c r="MVY97" s="19"/>
      <c r="MVZ97" s="20"/>
      <c r="MWA97" s="19"/>
      <c r="MWC97" s="114"/>
      <c r="MWD97" s="114"/>
      <c r="MWE97" s="114"/>
      <c r="MWF97" s="114"/>
      <c r="MWH97" s="18"/>
      <c r="MWV97" s="21"/>
      <c r="MWW97" s="21"/>
      <c r="MWX97" s="19"/>
      <c r="MWY97" s="20"/>
      <c r="MWZ97" s="19"/>
      <c r="MXB97" s="114"/>
      <c r="MXC97" s="114"/>
      <c r="MXD97" s="114"/>
      <c r="MXE97" s="114"/>
      <c r="MXG97" s="18"/>
      <c r="MXU97" s="21"/>
      <c r="MXV97" s="21"/>
      <c r="MXW97" s="19"/>
      <c r="MXX97" s="20"/>
      <c r="MXY97" s="19"/>
      <c r="MYA97" s="114"/>
      <c r="MYB97" s="114"/>
      <c r="MYC97" s="114"/>
      <c r="MYD97" s="114"/>
      <c r="MYF97" s="18"/>
      <c r="MYT97" s="21"/>
      <c r="MYU97" s="21"/>
      <c r="MYV97" s="19"/>
      <c r="MYW97" s="20"/>
      <c r="MYX97" s="19"/>
      <c r="MYZ97" s="114"/>
      <c r="MZA97" s="114"/>
      <c r="MZB97" s="114"/>
      <c r="MZC97" s="114"/>
      <c r="MZE97" s="18"/>
      <c r="MZS97" s="21"/>
      <c r="MZT97" s="21"/>
      <c r="MZU97" s="19"/>
      <c r="MZV97" s="20"/>
      <c r="MZW97" s="19"/>
      <c r="MZY97" s="114"/>
      <c r="MZZ97" s="114"/>
      <c r="NAA97" s="114"/>
      <c r="NAB97" s="114"/>
      <c r="NAD97" s="18"/>
      <c r="NAR97" s="21"/>
      <c r="NAS97" s="21"/>
      <c r="NAT97" s="19"/>
      <c r="NAU97" s="20"/>
      <c r="NAV97" s="19"/>
      <c r="NAX97" s="114"/>
      <c r="NAY97" s="114"/>
      <c r="NAZ97" s="114"/>
      <c r="NBA97" s="114"/>
      <c r="NBC97" s="18"/>
      <c r="NBQ97" s="21"/>
      <c r="NBR97" s="21"/>
      <c r="NBS97" s="19"/>
      <c r="NBT97" s="20"/>
      <c r="NBU97" s="19"/>
      <c r="NBW97" s="114"/>
      <c r="NBX97" s="114"/>
      <c r="NBY97" s="114"/>
      <c r="NBZ97" s="114"/>
      <c r="NCB97" s="18"/>
      <c r="NCP97" s="21"/>
      <c r="NCQ97" s="21"/>
      <c r="NCR97" s="19"/>
      <c r="NCS97" s="20"/>
      <c r="NCT97" s="19"/>
      <c r="NCV97" s="114"/>
      <c r="NCW97" s="114"/>
      <c r="NCX97" s="114"/>
      <c r="NCY97" s="114"/>
      <c r="NDA97" s="18"/>
      <c r="NDO97" s="21"/>
      <c r="NDP97" s="21"/>
      <c r="NDQ97" s="19"/>
      <c r="NDR97" s="20"/>
      <c r="NDS97" s="19"/>
      <c r="NDU97" s="114"/>
      <c r="NDV97" s="114"/>
      <c r="NDW97" s="114"/>
      <c r="NDX97" s="114"/>
      <c r="NDZ97" s="18"/>
      <c r="NEN97" s="21"/>
      <c r="NEO97" s="21"/>
      <c r="NEP97" s="19"/>
      <c r="NEQ97" s="20"/>
      <c r="NER97" s="19"/>
      <c r="NET97" s="114"/>
      <c r="NEU97" s="114"/>
      <c r="NEV97" s="114"/>
      <c r="NEW97" s="114"/>
      <c r="NEY97" s="18"/>
      <c r="NFM97" s="21"/>
      <c r="NFN97" s="21"/>
      <c r="NFO97" s="19"/>
      <c r="NFP97" s="20"/>
      <c r="NFQ97" s="19"/>
      <c r="NFS97" s="114"/>
      <c r="NFT97" s="114"/>
      <c r="NFU97" s="114"/>
      <c r="NFV97" s="114"/>
      <c r="NFX97" s="18"/>
      <c r="NGL97" s="21"/>
      <c r="NGM97" s="21"/>
      <c r="NGN97" s="19"/>
      <c r="NGO97" s="20"/>
      <c r="NGP97" s="19"/>
      <c r="NGR97" s="114"/>
      <c r="NGS97" s="114"/>
      <c r="NGT97" s="114"/>
      <c r="NGU97" s="114"/>
      <c r="NGW97" s="18"/>
      <c r="NHK97" s="21"/>
      <c r="NHL97" s="21"/>
      <c r="NHM97" s="19"/>
      <c r="NHN97" s="20"/>
      <c r="NHO97" s="19"/>
      <c r="NHQ97" s="114"/>
      <c r="NHR97" s="114"/>
      <c r="NHS97" s="114"/>
      <c r="NHT97" s="114"/>
      <c r="NHV97" s="18"/>
      <c r="NIJ97" s="21"/>
      <c r="NIK97" s="21"/>
      <c r="NIL97" s="19"/>
      <c r="NIM97" s="20"/>
      <c r="NIN97" s="19"/>
      <c r="NIP97" s="114"/>
      <c r="NIQ97" s="114"/>
      <c r="NIR97" s="114"/>
      <c r="NIS97" s="114"/>
      <c r="NIU97" s="18"/>
      <c r="NJI97" s="21"/>
      <c r="NJJ97" s="21"/>
      <c r="NJK97" s="19"/>
      <c r="NJL97" s="20"/>
      <c r="NJM97" s="19"/>
      <c r="NJO97" s="114"/>
      <c r="NJP97" s="114"/>
      <c r="NJQ97" s="114"/>
      <c r="NJR97" s="114"/>
      <c r="NJT97" s="18"/>
      <c r="NKH97" s="21"/>
      <c r="NKI97" s="21"/>
      <c r="NKJ97" s="19"/>
      <c r="NKK97" s="20"/>
      <c r="NKL97" s="19"/>
      <c r="NKN97" s="114"/>
      <c r="NKO97" s="114"/>
      <c r="NKP97" s="114"/>
      <c r="NKQ97" s="114"/>
      <c r="NKS97" s="18"/>
      <c r="NLG97" s="21"/>
      <c r="NLH97" s="21"/>
      <c r="NLI97" s="19"/>
      <c r="NLJ97" s="20"/>
      <c r="NLK97" s="19"/>
      <c r="NLM97" s="114"/>
      <c r="NLN97" s="114"/>
      <c r="NLO97" s="114"/>
      <c r="NLP97" s="114"/>
      <c r="NLR97" s="18"/>
      <c r="NMF97" s="21"/>
      <c r="NMG97" s="21"/>
      <c r="NMH97" s="19"/>
      <c r="NMI97" s="20"/>
      <c r="NMJ97" s="19"/>
      <c r="NML97" s="114"/>
      <c r="NMM97" s="114"/>
      <c r="NMN97" s="114"/>
      <c r="NMO97" s="114"/>
      <c r="NMQ97" s="18"/>
      <c r="NNE97" s="21"/>
      <c r="NNF97" s="21"/>
      <c r="NNG97" s="19"/>
      <c r="NNH97" s="20"/>
      <c r="NNI97" s="19"/>
      <c r="NNK97" s="114"/>
      <c r="NNL97" s="114"/>
      <c r="NNM97" s="114"/>
      <c r="NNN97" s="114"/>
      <c r="NNP97" s="18"/>
      <c r="NOD97" s="21"/>
      <c r="NOE97" s="21"/>
      <c r="NOF97" s="19"/>
      <c r="NOG97" s="20"/>
      <c r="NOH97" s="19"/>
      <c r="NOJ97" s="114"/>
      <c r="NOK97" s="114"/>
      <c r="NOL97" s="114"/>
      <c r="NOM97" s="114"/>
      <c r="NOO97" s="18"/>
      <c r="NPC97" s="21"/>
      <c r="NPD97" s="21"/>
      <c r="NPE97" s="19"/>
      <c r="NPF97" s="20"/>
      <c r="NPG97" s="19"/>
      <c r="NPI97" s="114"/>
      <c r="NPJ97" s="114"/>
      <c r="NPK97" s="114"/>
      <c r="NPL97" s="114"/>
      <c r="NPN97" s="18"/>
      <c r="NQB97" s="21"/>
      <c r="NQC97" s="21"/>
      <c r="NQD97" s="19"/>
      <c r="NQE97" s="20"/>
      <c r="NQF97" s="19"/>
      <c r="NQH97" s="114"/>
      <c r="NQI97" s="114"/>
      <c r="NQJ97" s="114"/>
      <c r="NQK97" s="114"/>
      <c r="NQM97" s="18"/>
      <c r="NRA97" s="21"/>
      <c r="NRB97" s="21"/>
      <c r="NRC97" s="19"/>
      <c r="NRD97" s="20"/>
      <c r="NRE97" s="19"/>
      <c r="NRG97" s="114"/>
      <c r="NRH97" s="114"/>
      <c r="NRI97" s="114"/>
      <c r="NRJ97" s="114"/>
      <c r="NRL97" s="18"/>
      <c r="NRZ97" s="21"/>
      <c r="NSA97" s="21"/>
      <c r="NSB97" s="19"/>
      <c r="NSC97" s="20"/>
      <c r="NSD97" s="19"/>
      <c r="NSF97" s="114"/>
      <c r="NSG97" s="114"/>
      <c r="NSH97" s="114"/>
      <c r="NSI97" s="114"/>
      <c r="NSK97" s="18"/>
      <c r="NSY97" s="21"/>
      <c r="NSZ97" s="21"/>
      <c r="NTA97" s="19"/>
      <c r="NTB97" s="20"/>
      <c r="NTC97" s="19"/>
      <c r="NTE97" s="114"/>
      <c r="NTF97" s="114"/>
      <c r="NTG97" s="114"/>
      <c r="NTH97" s="114"/>
      <c r="NTJ97" s="18"/>
      <c r="NTX97" s="21"/>
      <c r="NTY97" s="21"/>
      <c r="NTZ97" s="19"/>
      <c r="NUA97" s="20"/>
      <c r="NUB97" s="19"/>
      <c r="NUD97" s="114"/>
      <c r="NUE97" s="114"/>
      <c r="NUF97" s="114"/>
      <c r="NUG97" s="114"/>
      <c r="NUI97" s="18"/>
      <c r="NUW97" s="21"/>
      <c r="NUX97" s="21"/>
      <c r="NUY97" s="19"/>
      <c r="NUZ97" s="20"/>
      <c r="NVA97" s="19"/>
      <c r="NVC97" s="114"/>
      <c r="NVD97" s="114"/>
      <c r="NVE97" s="114"/>
      <c r="NVF97" s="114"/>
      <c r="NVH97" s="18"/>
      <c r="NVV97" s="21"/>
      <c r="NVW97" s="21"/>
      <c r="NVX97" s="19"/>
      <c r="NVY97" s="20"/>
      <c r="NVZ97" s="19"/>
      <c r="NWB97" s="114"/>
      <c r="NWC97" s="114"/>
      <c r="NWD97" s="114"/>
      <c r="NWE97" s="114"/>
      <c r="NWG97" s="18"/>
      <c r="NWU97" s="21"/>
      <c r="NWV97" s="21"/>
      <c r="NWW97" s="19"/>
      <c r="NWX97" s="20"/>
      <c r="NWY97" s="19"/>
      <c r="NXA97" s="114"/>
      <c r="NXB97" s="114"/>
      <c r="NXC97" s="114"/>
      <c r="NXD97" s="114"/>
      <c r="NXF97" s="18"/>
      <c r="NXT97" s="21"/>
      <c r="NXU97" s="21"/>
      <c r="NXV97" s="19"/>
      <c r="NXW97" s="20"/>
      <c r="NXX97" s="19"/>
      <c r="NXZ97" s="114"/>
      <c r="NYA97" s="114"/>
      <c r="NYB97" s="114"/>
      <c r="NYC97" s="114"/>
      <c r="NYE97" s="18"/>
      <c r="NYS97" s="21"/>
      <c r="NYT97" s="21"/>
      <c r="NYU97" s="19"/>
      <c r="NYV97" s="20"/>
      <c r="NYW97" s="19"/>
      <c r="NYY97" s="114"/>
      <c r="NYZ97" s="114"/>
      <c r="NZA97" s="114"/>
      <c r="NZB97" s="114"/>
      <c r="NZD97" s="18"/>
      <c r="NZR97" s="21"/>
      <c r="NZS97" s="21"/>
      <c r="NZT97" s="19"/>
      <c r="NZU97" s="20"/>
      <c r="NZV97" s="19"/>
      <c r="NZX97" s="114"/>
      <c r="NZY97" s="114"/>
      <c r="NZZ97" s="114"/>
      <c r="OAA97" s="114"/>
      <c r="OAC97" s="18"/>
      <c r="OAQ97" s="21"/>
      <c r="OAR97" s="21"/>
      <c r="OAS97" s="19"/>
      <c r="OAT97" s="20"/>
      <c r="OAU97" s="19"/>
      <c r="OAW97" s="114"/>
      <c r="OAX97" s="114"/>
      <c r="OAY97" s="114"/>
      <c r="OAZ97" s="114"/>
      <c r="OBB97" s="18"/>
      <c r="OBP97" s="21"/>
      <c r="OBQ97" s="21"/>
      <c r="OBR97" s="19"/>
      <c r="OBS97" s="20"/>
      <c r="OBT97" s="19"/>
      <c r="OBV97" s="114"/>
      <c r="OBW97" s="114"/>
      <c r="OBX97" s="114"/>
      <c r="OBY97" s="114"/>
      <c r="OCA97" s="18"/>
      <c r="OCO97" s="21"/>
      <c r="OCP97" s="21"/>
      <c r="OCQ97" s="19"/>
      <c r="OCR97" s="20"/>
      <c r="OCS97" s="19"/>
      <c r="OCU97" s="114"/>
      <c r="OCV97" s="114"/>
      <c r="OCW97" s="114"/>
      <c r="OCX97" s="114"/>
      <c r="OCZ97" s="18"/>
      <c r="ODN97" s="21"/>
      <c r="ODO97" s="21"/>
      <c r="ODP97" s="19"/>
      <c r="ODQ97" s="20"/>
      <c r="ODR97" s="19"/>
      <c r="ODT97" s="114"/>
      <c r="ODU97" s="114"/>
      <c r="ODV97" s="114"/>
      <c r="ODW97" s="114"/>
      <c r="ODY97" s="18"/>
      <c r="OEM97" s="21"/>
      <c r="OEN97" s="21"/>
      <c r="OEO97" s="19"/>
      <c r="OEP97" s="20"/>
      <c r="OEQ97" s="19"/>
      <c r="OES97" s="114"/>
      <c r="OET97" s="114"/>
      <c r="OEU97" s="114"/>
      <c r="OEV97" s="114"/>
      <c r="OEX97" s="18"/>
      <c r="OFL97" s="21"/>
      <c r="OFM97" s="21"/>
      <c r="OFN97" s="19"/>
      <c r="OFO97" s="20"/>
      <c r="OFP97" s="19"/>
      <c r="OFR97" s="114"/>
      <c r="OFS97" s="114"/>
      <c r="OFT97" s="114"/>
      <c r="OFU97" s="114"/>
      <c r="OFW97" s="18"/>
      <c r="OGK97" s="21"/>
      <c r="OGL97" s="21"/>
      <c r="OGM97" s="19"/>
      <c r="OGN97" s="20"/>
      <c r="OGO97" s="19"/>
      <c r="OGQ97" s="114"/>
      <c r="OGR97" s="114"/>
      <c r="OGS97" s="114"/>
      <c r="OGT97" s="114"/>
      <c r="OGV97" s="18"/>
      <c r="OHJ97" s="21"/>
      <c r="OHK97" s="21"/>
      <c r="OHL97" s="19"/>
      <c r="OHM97" s="20"/>
      <c r="OHN97" s="19"/>
      <c r="OHP97" s="114"/>
      <c r="OHQ97" s="114"/>
      <c r="OHR97" s="114"/>
      <c r="OHS97" s="114"/>
      <c r="OHU97" s="18"/>
      <c r="OII97" s="21"/>
      <c r="OIJ97" s="21"/>
      <c r="OIK97" s="19"/>
      <c r="OIL97" s="20"/>
      <c r="OIM97" s="19"/>
      <c r="OIO97" s="114"/>
      <c r="OIP97" s="114"/>
      <c r="OIQ97" s="114"/>
      <c r="OIR97" s="114"/>
      <c r="OIT97" s="18"/>
      <c r="OJH97" s="21"/>
      <c r="OJI97" s="21"/>
      <c r="OJJ97" s="19"/>
      <c r="OJK97" s="20"/>
      <c r="OJL97" s="19"/>
      <c r="OJN97" s="114"/>
      <c r="OJO97" s="114"/>
      <c r="OJP97" s="114"/>
      <c r="OJQ97" s="114"/>
      <c r="OJS97" s="18"/>
      <c r="OKG97" s="21"/>
      <c r="OKH97" s="21"/>
      <c r="OKI97" s="19"/>
      <c r="OKJ97" s="20"/>
      <c r="OKK97" s="19"/>
      <c r="OKM97" s="114"/>
      <c r="OKN97" s="114"/>
      <c r="OKO97" s="114"/>
      <c r="OKP97" s="114"/>
      <c r="OKR97" s="18"/>
      <c r="OLF97" s="21"/>
      <c r="OLG97" s="21"/>
      <c r="OLH97" s="19"/>
      <c r="OLI97" s="20"/>
      <c r="OLJ97" s="19"/>
      <c r="OLL97" s="114"/>
      <c r="OLM97" s="114"/>
      <c r="OLN97" s="114"/>
      <c r="OLO97" s="114"/>
      <c r="OLQ97" s="18"/>
      <c r="OME97" s="21"/>
      <c r="OMF97" s="21"/>
      <c r="OMG97" s="19"/>
      <c r="OMH97" s="20"/>
      <c r="OMI97" s="19"/>
      <c r="OMK97" s="114"/>
      <c r="OML97" s="114"/>
      <c r="OMM97" s="114"/>
      <c r="OMN97" s="114"/>
      <c r="OMP97" s="18"/>
      <c r="OND97" s="21"/>
      <c r="ONE97" s="21"/>
      <c r="ONF97" s="19"/>
      <c r="ONG97" s="20"/>
      <c r="ONH97" s="19"/>
      <c r="ONJ97" s="114"/>
      <c r="ONK97" s="114"/>
      <c r="ONL97" s="114"/>
      <c r="ONM97" s="114"/>
      <c r="ONO97" s="18"/>
      <c r="OOC97" s="21"/>
      <c r="OOD97" s="21"/>
      <c r="OOE97" s="19"/>
      <c r="OOF97" s="20"/>
      <c r="OOG97" s="19"/>
      <c r="OOI97" s="114"/>
      <c r="OOJ97" s="114"/>
      <c r="OOK97" s="114"/>
      <c r="OOL97" s="114"/>
      <c r="OON97" s="18"/>
      <c r="OPB97" s="21"/>
      <c r="OPC97" s="21"/>
      <c r="OPD97" s="19"/>
      <c r="OPE97" s="20"/>
      <c r="OPF97" s="19"/>
      <c r="OPH97" s="114"/>
      <c r="OPI97" s="114"/>
      <c r="OPJ97" s="114"/>
      <c r="OPK97" s="114"/>
      <c r="OPM97" s="18"/>
      <c r="OQA97" s="21"/>
      <c r="OQB97" s="21"/>
      <c r="OQC97" s="19"/>
      <c r="OQD97" s="20"/>
      <c r="OQE97" s="19"/>
      <c r="OQG97" s="114"/>
      <c r="OQH97" s="114"/>
      <c r="OQI97" s="114"/>
      <c r="OQJ97" s="114"/>
      <c r="OQL97" s="18"/>
      <c r="OQZ97" s="21"/>
      <c r="ORA97" s="21"/>
      <c r="ORB97" s="19"/>
      <c r="ORC97" s="20"/>
      <c r="ORD97" s="19"/>
      <c r="ORF97" s="114"/>
      <c r="ORG97" s="114"/>
      <c r="ORH97" s="114"/>
      <c r="ORI97" s="114"/>
      <c r="ORK97" s="18"/>
      <c r="ORY97" s="21"/>
      <c r="ORZ97" s="21"/>
      <c r="OSA97" s="19"/>
      <c r="OSB97" s="20"/>
      <c r="OSC97" s="19"/>
      <c r="OSE97" s="114"/>
      <c r="OSF97" s="114"/>
      <c r="OSG97" s="114"/>
      <c r="OSH97" s="114"/>
      <c r="OSJ97" s="18"/>
      <c r="OSX97" s="21"/>
      <c r="OSY97" s="21"/>
      <c r="OSZ97" s="19"/>
      <c r="OTA97" s="20"/>
      <c r="OTB97" s="19"/>
      <c r="OTD97" s="114"/>
      <c r="OTE97" s="114"/>
      <c r="OTF97" s="114"/>
      <c r="OTG97" s="114"/>
      <c r="OTI97" s="18"/>
      <c r="OTW97" s="21"/>
      <c r="OTX97" s="21"/>
      <c r="OTY97" s="19"/>
      <c r="OTZ97" s="20"/>
      <c r="OUA97" s="19"/>
      <c r="OUC97" s="114"/>
      <c r="OUD97" s="114"/>
      <c r="OUE97" s="114"/>
      <c r="OUF97" s="114"/>
      <c r="OUH97" s="18"/>
      <c r="OUV97" s="21"/>
      <c r="OUW97" s="21"/>
      <c r="OUX97" s="19"/>
      <c r="OUY97" s="20"/>
      <c r="OUZ97" s="19"/>
      <c r="OVB97" s="114"/>
      <c r="OVC97" s="114"/>
      <c r="OVD97" s="114"/>
      <c r="OVE97" s="114"/>
      <c r="OVG97" s="18"/>
      <c r="OVU97" s="21"/>
      <c r="OVV97" s="21"/>
      <c r="OVW97" s="19"/>
      <c r="OVX97" s="20"/>
      <c r="OVY97" s="19"/>
      <c r="OWA97" s="114"/>
      <c r="OWB97" s="114"/>
      <c r="OWC97" s="114"/>
      <c r="OWD97" s="114"/>
      <c r="OWF97" s="18"/>
      <c r="OWT97" s="21"/>
      <c r="OWU97" s="21"/>
      <c r="OWV97" s="19"/>
      <c r="OWW97" s="20"/>
      <c r="OWX97" s="19"/>
      <c r="OWZ97" s="114"/>
      <c r="OXA97" s="114"/>
      <c r="OXB97" s="114"/>
      <c r="OXC97" s="114"/>
      <c r="OXE97" s="18"/>
      <c r="OXS97" s="21"/>
      <c r="OXT97" s="21"/>
      <c r="OXU97" s="19"/>
      <c r="OXV97" s="20"/>
      <c r="OXW97" s="19"/>
      <c r="OXY97" s="114"/>
      <c r="OXZ97" s="114"/>
      <c r="OYA97" s="114"/>
      <c r="OYB97" s="114"/>
      <c r="OYD97" s="18"/>
      <c r="OYR97" s="21"/>
      <c r="OYS97" s="21"/>
      <c r="OYT97" s="19"/>
      <c r="OYU97" s="20"/>
      <c r="OYV97" s="19"/>
      <c r="OYX97" s="114"/>
      <c r="OYY97" s="114"/>
      <c r="OYZ97" s="114"/>
      <c r="OZA97" s="114"/>
      <c r="OZC97" s="18"/>
      <c r="OZQ97" s="21"/>
      <c r="OZR97" s="21"/>
      <c r="OZS97" s="19"/>
      <c r="OZT97" s="20"/>
      <c r="OZU97" s="19"/>
      <c r="OZW97" s="114"/>
      <c r="OZX97" s="114"/>
      <c r="OZY97" s="114"/>
      <c r="OZZ97" s="114"/>
      <c r="PAB97" s="18"/>
      <c r="PAP97" s="21"/>
      <c r="PAQ97" s="21"/>
      <c r="PAR97" s="19"/>
      <c r="PAS97" s="20"/>
      <c r="PAT97" s="19"/>
      <c r="PAV97" s="114"/>
      <c r="PAW97" s="114"/>
      <c r="PAX97" s="114"/>
      <c r="PAY97" s="114"/>
      <c r="PBA97" s="18"/>
      <c r="PBO97" s="21"/>
      <c r="PBP97" s="21"/>
      <c r="PBQ97" s="19"/>
      <c r="PBR97" s="20"/>
      <c r="PBS97" s="19"/>
      <c r="PBU97" s="114"/>
      <c r="PBV97" s="114"/>
      <c r="PBW97" s="114"/>
      <c r="PBX97" s="114"/>
      <c r="PBZ97" s="18"/>
      <c r="PCN97" s="21"/>
      <c r="PCO97" s="21"/>
      <c r="PCP97" s="19"/>
      <c r="PCQ97" s="20"/>
      <c r="PCR97" s="19"/>
      <c r="PCT97" s="114"/>
      <c r="PCU97" s="114"/>
      <c r="PCV97" s="114"/>
      <c r="PCW97" s="114"/>
      <c r="PCY97" s="18"/>
      <c r="PDM97" s="21"/>
      <c r="PDN97" s="21"/>
      <c r="PDO97" s="19"/>
      <c r="PDP97" s="20"/>
      <c r="PDQ97" s="19"/>
      <c r="PDS97" s="114"/>
      <c r="PDT97" s="114"/>
      <c r="PDU97" s="114"/>
      <c r="PDV97" s="114"/>
      <c r="PDX97" s="18"/>
      <c r="PEL97" s="21"/>
      <c r="PEM97" s="21"/>
      <c r="PEN97" s="19"/>
      <c r="PEO97" s="20"/>
      <c r="PEP97" s="19"/>
      <c r="PER97" s="114"/>
      <c r="PES97" s="114"/>
      <c r="PET97" s="114"/>
      <c r="PEU97" s="114"/>
      <c r="PEW97" s="18"/>
      <c r="PFK97" s="21"/>
      <c r="PFL97" s="21"/>
      <c r="PFM97" s="19"/>
      <c r="PFN97" s="20"/>
      <c r="PFO97" s="19"/>
      <c r="PFQ97" s="114"/>
      <c r="PFR97" s="114"/>
      <c r="PFS97" s="114"/>
      <c r="PFT97" s="114"/>
      <c r="PFV97" s="18"/>
      <c r="PGJ97" s="21"/>
      <c r="PGK97" s="21"/>
      <c r="PGL97" s="19"/>
      <c r="PGM97" s="20"/>
      <c r="PGN97" s="19"/>
      <c r="PGP97" s="114"/>
      <c r="PGQ97" s="114"/>
      <c r="PGR97" s="114"/>
      <c r="PGS97" s="114"/>
      <c r="PGU97" s="18"/>
      <c r="PHI97" s="21"/>
      <c r="PHJ97" s="21"/>
      <c r="PHK97" s="19"/>
      <c r="PHL97" s="20"/>
      <c r="PHM97" s="19"/>
      <c r="PHO97" s="114"/>
      <c r="PHP97" s="114"/>
      <c r="PHQ97" s="114"/>
      <c r="PHR97" s="114"/>
      <c r="PHT97" s="18"/>
      <c r="PIH97" s="21"/>
      <c r="PII97" s="21"/>
      <c r="PIJ97" s="19"/>
      <c r="PIK97" s="20"/>
      <c r="PIL97" s="19"/>
      <c r="PIN97" s="114"/>
      <c r="PIO97" s="114"/>
      <c r="PIP97" s="114"/>
      <c r="PIQ97" s="114"/>
      <c r="PIS97" s="18"/>
      <c r="PJG97" s="21"/>
      <c r="PJH97" s="21"/>
      <c r="PJI97" s="19"/>
      <c r="PJJ97" s="20"/>
      <c r="PJK97" s="19"/>
      <c r="PJM97" s="114"/>
      <c r="PJN97" s="114"/>
      <c r="PJO97" s="114"/>
      <c r="PJP97" s="114"/>
      <c r="PJR97" s="18"/>
      <c r="PKF97" s="21"/>
      <c r="PKG97" s="21"/>
      <c r="PKH97" s="19"/>
      <c r="PKI97" s="20"/>
      <c r="PKJ97" s="19"/>
      <c r="PKL97" s="114"/>
      <c r="PKM97" s="114"/>
      <c r="PKN97" s="114"/>
      <c r="PKO97" s="114"/>
      <c r="PKQ97" s="18"/>
      <c r="PLE97" s="21"/>
      <c r="PLF97" s="21"/>
      <c r="PLG97" s="19"/>
      <c r="PLH97" s="20"/>
      <c r="PLI97" s="19"/>
      <c r="PLK97" s="114"/>
      <c r="PLL97" s="114"/>
      <c r="PLM97" s="114"/>
      <c r="PLN97" s="114"/>
      <c r="PLP97" s="18"/>
      <c r="PMD97" s="21"/>
      <c r="PME97" s="21"/>
      <c r="PMF97" s="19"/>
      <c r="PMG97" s="20"/>
      <c r="PMH97" s="19"/>
      <c r="PMJ97" s="114"/>
      <c r="PMK97" s="114"/>
      <c r="PML97" s="114"/>
      <c r="PMM97" s="114"/>
      <c r="PMO97" s="18"/>
      <c r="PNC97" s="21"/>
      <c r="PND97" s="21"/>
      <c r="PNE97" s="19"/>
      <c r="PNF97" s="20"/>
      <c r="PNG97" s="19"/>
      <c r="PNI97" s="114"/>
      <c r="PNJ97" s="114"/>
      <c r="PNK97" s="114"/>
      <c r="PNL97" s="114"/>
      <c r="PNN97" s="18"/>
      <c r="POB97" s="21"/>
      <c r="POC97" s="21"/>
      <c r="POD97" s="19"/>
      <c r="POE97" s="20"/>
      <c r="POF97" s="19"/>
      <c r="POH97" s="114"/>
      <c r="POI97" s="114"/>
      <c r="POJ97" s="114"/>
      <c r="POK97" s="114"/>
      <c r="POM97" s="18"/>
      <c r="PPA97" s="21"/>
      <c r="PPB97" s="21"/>
      <c r="PPC97" s="19"/>
      <c r="PPD97" s="20"/>
      <c r="PPE97" s="19"/>
      <c r="PPG97" s="114"/>
      <c r="PPH97" s="114"/>
      <c r="PPI97" s="114"/>
      <c r="PPJ97" s="114"/>
      <c r="PPL97" s="18"/>
      <c r="PPZ97" s="21"/>
      <c r="PQA97" s="21"/>
      <c r="PQB97" s="19"/>
      <c r="PQC97" s="20"/>
      <c r="PQD97" s="19"/>
      <c r="PQF97" s="114"/>
      <c r="PQG97" s="114"/>
      <c r="PQH97" s="114"/>
      <c r="PQI97" s="114"/>
      <c r="PQK97" s="18"/>
      <c r="PQY97" s="21"/>
      <c r="PQZ97" s="21"/>
      <c r="PRA97" s="19"/>
      <c r="PRB97" s="20"/>
      <c r="PRC97" s="19"/>
      <c r="PRE97" s="114"/>
      <c r="PRF97" s="114"/>
      <c r="PRG97" s="114"/>
      <c r="PRH97" s="114"/>
      <c r="PRJ97" s="18"/>
      <c r="PRX97" s="21"/>
      <c r="PRY97" s="21"/>
      <c r="PRZ97" s="19"/>
      <c r="PSA97" s="20"/>
      <c r="PSB97" s="19"/>
      <c r="PSD97" s="114"/>
      <c r="PSE97" s="114"/>
      <c r="PSF97" s="114"/>
      <c r="PSG97" s="114"/>
      <c r="PSI97" s="18"/>
      <c r="PSW97" s="21"/>
      <c r="PSX97" s="21"/>
      <c r="PSY97" s="19"/>
      <c r="PSZ97" s="20"/>
      <c r="PTA97" s="19"/>
      <c r="PTC97" s="114"/>
      <c r="PTD97" s="114"/>
      <c r="PTE97" s="114"/>
      <c r="PTF97" s="114"/>
      <c r="PTH97" s="18"/>
      <c r="PTV97" s="21"/>
      <c r="PTW97" s="21"/>
      <c r="PTX97" s="19"/>
      <c r="PTY97" s="20"/>
      <c r="PTZ97" s="19"/>
      <c r="PUB97" s="114"/>
      <c r="PUC97" s="114"/>
      <c r="PUD97" s="114"/>
      <c r="PUE97" s="114"/>
      <c r="PUG97" s="18"/>
      <c r="PUU97" s="21"/>
      <c r="PUV97" s="21"/>
      <c r="PUW97" s="19"/>
      <c r="PUX97" s="20"/>
      <c r="PUY97" s="19"/>
      <c r="PVA97" s="114"/>
      <c r="PVB97" s="114"/>
      <c r="PVC97" s="114"/>
      <c r="PVD97" s="114"/>
      <c r="PVF97" s="18"/>
      <c r="PVT97" s="21"/>
      <c r="PVU97" s="21"/>
      <c r="PVV97" s="19"/>
      <c r="PVW97" s="20"/>
      <c r="PVX97" s="19"/>
      <c r="PVZ97" s="114"/>
      <c r="PWA97" s="114"/>
      <c r="PWB97" s="114"/>
      <c r="PWC97" s="114"/>
      <c r="PWE97" s="18"/>
      <c r="PWS97" s="21"/>
      <c r="PWT97" s="21"/>
      <c r="PWU97" s="19"/>
      <c r="PWV97" s="20"/>
      <c r="PWW97" s="19"/>
      <c r="PWY97" s="114"/>
      <c r="PWZ97" s="114"/>
      <c r="PXA97" s="114"/>
      <c r="PXB97" s="114"/>
      <c r="PXD97" s="18"/>
      <c r="PXR97" s="21"/>
      <c r="PXS97" s="21"/>
      <c r="PXT97" s="19"/>
      <c r="PXU97" s="20"/>
      <c r="PXV97" s="19"/>
      <c r="PXX97" s="114"/>
      <c r="PXY97" s="114"/>
      <c r="PXZ97" s="114"/>
      <c r="PYA97" s="114"/>
      <c r="PYC97" s="18"/>
      <c r="PYQ97" s="21"/>
      <c r="PYR97" s="21"/>
      <c r="PYS97" s="19"/>
      <c r="PYT97" s="20"/>
      <c r="PYU97" s="19"/>
      <c r="PYW97" s="114"/>
      <c r="PYX97" s="114"/>
      <c r="PYY97" s="114"/>
      <c r="PYZ97" s="114"/>
      <c r="PZB97" s="18"/>
      <c r="PZP97" s="21"/>
      <c r="PZQ97" s="21"/>
      <c r="PZR97" s="19"/>
      <c r="PZS97" s="20"/>
      <c r="PZT97" s="19"/>
      <c r="PZV97" s="114"/>
      <c r="PZW97" s="114"/>
      <c r="PZX97" s="114"/>
      <c r="PZY97" s="114"/>
      <c r="QAA97" s="18"/>
      <c r="QAO97" s="21"/>
      <c r="QAP97" s="21"/>
      <c r="QAQ97" s="19"/>
      <c r="QAR97" s="20"/>
      <c r="QAS97" s="19"/>
      <c r="QAU97" s="114"/>
      <c r="QAV97" s="114"/>
      <c r="QAW97" s="114"/>
      <c r="QAX97" s="114"/>
      <c r="QAZ97" s="18"/>
      <c r="QBN97" s="21"/>
      <c r="QBO97" s="21"/>
      <c r="QBP97" s="19"/>
      <c r="QBQ97" s="20"/>
      <c r="QBR97" s="19"/>
      <c r="QBT97" s="114"/>
      <c r="QBU97" s="114"/>
      <c r="QBV97" s="114"/>
      <c r="QBW97" s="114"/>
      <c r="QBY97" s="18"/>
      <c r="QCM97" s="21"/>
      <c r="QCN97" s="21"/>
      <c r="QCO97" s="19"/>
      <c r="QCP97" s="20"/>
      <c r="QCQ97" s="19"/>
      <c r="QCS97" s="114"/>
      <c r="QCT97" s="114"/>
      <c r="QCU97" s="114"/>
      <c r="QCV97" s="114"/>
      <c r="QCX97" s="18"/>
      <c r="QDL97" s="21"/>
      <c r="QDM97" s="21"/>
      <c r="QDN97" s="19"/>
      <c r="QDO97" s="20"/>
      <c r="QDP97" s="19"/>
      <c r="QDR97" s="114"/>
      <c r="QDS97" s="114"/>
      <c r="QDT97" s="114"/>
      <c r="QDU97" s="114"/>
      <c r="QDW97" s="18"/>
      <c r="QEK97" s="21"/>
      <c r="QEL97" s="21"/>
      <c r="QEM97" s="19"/>
      <c r="QEN97" s="20"/>
      <c r="QEO97" s="19"/>
      <c r="QEQ97" s="114"/>
      <c r="QER97" s="114"/>
      <c r="QES97" s="114"/>
      <c r="QET97" s="114"/>
      <c r="QEV97" s="18"/>
      <c r="QFJ97" s="21"/>
      <c r="QFK97" s="21"/>
      <c r="QFL97" s="19"/>
      <c r="QFM97" s="20"/>
      <c r="QFN97" s="19"/>
      <c r="QFP97" s="114"/>
      <c r="QFQ97" s="114"/>
      <c r="QFR97" s="114"/>
      <c r="QFS97" s="114"/>
      <c r="QFU97" s="18"/>
      <c r="QGI97" s="21"/>
      <c r="QGJ97" s="21"/>
      <c r="QGK97" s="19"/>
      <c r="QGL97" s="20"/>
      <c r="QGM97" s="19"/>
      <c r="QGO97" s="114"/>
      <c r="QGP97" s="114"/>
      <c r="QGQ97" s="114"/>
      <c r="QGR97" s="114"/>
      <c r="QGT97" s="18"/>
      <c r="QHH97" s="21"/>
      <c r="QHI97" s="21"/>
      <c r="QHJ97" s="19"/>
      <c r="QHK97" s="20"/>
      <c r="QHL97" s="19"/>
      <c r="QHN97" s="114"/>
      <c r="QHO97" s="114"/>
      <c r="QHP97" s="114"/>
      <c r="QHQ97" s="114"/>
      <c r="QHS97" s="18"/>
      <c r="QIG97" s="21"/>
      <c r="QIH97" s="21"/>
      <c r="QII97" s="19"/>
      <c r="QIJ97" s="20"/>
      <c r="QIK97" s="19"/>
      <c r="QIM97" s="114"/>
      <c r="QIN97" s="114"/>
      <c r="QIO97" s="114"/>
      <c r="QIP97" s="114"/>
      <c r="QIR97" s="18"/>
      <c r="QJF97" s="21"/>
      <c r="QJG97" s="21"/>
      <c r="QJH97" s="19"/>
      <c r="QJI97" s="20"/>
      <c r="QJJ97" s="19"/>
      <c r="QJL97" s="114"/>
      <c r="QJM97" s="114"/>
      <c r="QJN97" s="114"/>
      <c r="QJO97" s="114"/>
      <c r="QJQ97" s="18"/>
      <c r="QKE97" s="21"/>
      <c r="QKF97" s="21"/>
      <c r="QKG97" s="19"/>
      <c r="QKH97" s="20"/>
      <c r="QKI97" s="19"/>
      <c r="QKK97" s="114"/>
      <c r="QKL97" s="114"/>
      <c r="QKM97" s="114"/>
      <c r="QKN97" s="114"/>
      <c r="QKP97" s="18"/>
      <c r="QLD97" s="21"/>
      <c r="QLE97" s="21"/>
      <c r="QLF97" s="19"/>
      <c r="QLG97" s="20"/>
      <c r="QLH97" s="19"/>
      <c r="QLJ97" s="114"/>
      <c r="QLK97" s="114"/>
      <c r="QLL97" s="114"/>
      <c r="QLM97" s="114"/>
      <c r="QLO97" s="18"/>
      <c r="QMC97" s="21"/>
      <c r="QMD97" s="21"/>
      <c r="QME97" s="19"/>
      <c r="QMF97" s="20"/>
      <c r="QMG97" s="19"/>
      <c r="QMI97" s="114"/>
      <c r="QMJ97" s="114"/>
      <c r="QMK97" s="114"/>
      <c r="QML97" s="114"/>
      <c r="QMN97" s="18"/>
      <c r="QNB97" s="21"/>
      <c r="QNC97" s="21"/>
      <c r="QND97" s="19"/>
      <c r="QNE97" s="20"/>
      <c r="QNF97" s="19"/>
      <c r="QNH97" s="114"/>
      <c r="QNI97" s="114"/>
      <c r="QNJ97" s="114"/>
      <c r="QNK97" s="114"/>
      <c r="QNM97" s="18"/>
      <c r="QOA97" s="21"/>
      <c r="QOB97" s="21"/>
      <c r="QOC97" s="19"/>
      <c r="QOD97" s="20"/>
      <c r="QOE97" s="19"/>
      <c r="QOG97" s="114"/>
      <c r="QOH97" s="114"/>
      <c r="QOI97" s="114"/>
      <c r="QOJ97" s="114"/>
      <c r="QOL97" s="18"/>
      <c r="QOZ97" s="21"/>
      <c r="QPA97" s="21"/>
      <c r="QPB97" s="19"/>
      <c r="QPC97" s="20"/>
      <c r="QPD97" s="19"/>
      <c r="QPF97" s="114"/>
      <c r="QPG97" s="114"/>
      <c r="QPH97" s="114"/>
      <c r="QPI97" s="114"/>
      <c r="QPK97" s="18"/>
      <c r="QPY97" s="21"/>
      <c r="QPZ97" s="21"/>
      <c r="QQA97" s="19"/>
      <c r="QQB97" s="20"/>
      <c r="QQC97" s="19"/>
      <c r="QQE97" s="114"/>
      <c r="QQF97" s="114"/>
      <c r="QQG97" s="114"/>
      <c r="QQH97" s="114"/>
      <c r="QQJ97" s="18"/>
      <c r="QQX97" s="21"/>
      <c r="QQY97" s="21"/>
      <c r="QQZ97" s="19"/>
      <c r="QRA97" s="20"/>
      <c r="QRB97" s="19"/>
      <c r="QRD97" s="114"/>
      <c r="QRE97" s="114"/>
      <c r="QRF97" s="114"/>
      <c r="QRG97" s="114"/>
      <c r="QRI97" s="18"/>
      <c r="QRW97" s="21"/>
      <c r="QRX97" s="21"/>
      <c r="QRY97" s="19"/>
      <c r="QRZ97" s="20"/>
      <c r="QSA97" s="19"/>
      <c r="QSC97" s="114"/>
      <c r="QSD97" s="114"/>
      <c r="QSE97" s="114"/>
      <c r="QSF97" s="114"/>
      <c r="QSH97" s="18"/>
      <c r="QSV97" s="21"/>
      <c r="QSW97" s="21"/>
      <c r="QSX97" s="19"/>
      <c r="QSY97" s="20"/>
      <c r="QSZ97" s="19"/>
      <c r="QTB97" s="114"/>
      <c r="QTC97" s="114"/>
      <c r="QTD97" s="114"/>
      <c r="QTE97" s="114"/>
      <c r="QTG97" s="18"/>
      <c r="QTU97" s="21"/>
      <c r="QTV97" s="21"/>
      <c r="QTW97" s="19"/>
      <c r="QTX97" s="20"/>
      <c r="QTY97" s="19"/>
      <c r="QUA97" s="114"/>
      <c r="QUB97" s="114"/>
      <c r="QUC97" s="114"/>
      <c r="QUD97" s="114"/>
      <c r="QUF97" s="18"/>
      <c r="QUT97" s="21"/>
      <c r="QUU97" s="21"/>
      <c r="QUV97" s="19"/>
      <c r="QUW97" s="20"/>
      <c r="QUX97" s="19"/>
      <c r="QUZ97" s="114"/>
      <c r="QVA97" s="114"/>
      <c r="QVB97" s="114"/>
      <c r="QVC97" s="114"/>
      <c r="QVE97" s="18"/>
      <c r="QVS97" s="21"/>
      <c r="QVT97" s="21"/>
      <c r="QVU97" s="19"/>
      <c r="QVV97" s="20"/>
      <c r="QVW97" s="19"/>
      <c r="QVY97" s="114"/>
      <c r="QVZ97" s="114"/>
      <c r="QWA97" s="114"/>
      <c r="QWB97" s="114"/>
      <c r="QWD97" s="18"/>
      <c r="QWR97" s="21"/>
      <c r="QWS97" s="21"/>
      <c r="QWT97" s="19"/>
      <c r="QWU97" s="20"/>
      <c r="QWV97" s="19"/>
      <c r="QWX97" s="114"/>
      <c r="QWY97" s="114"/>
      <c r="QWZ97" s="114"/>
      <c r="QXA97" s="114"/>
      <c r="QXC97" s="18"/>
      <c r="QXQ97" s="21"/>
      <c r="QXR97" s="21"/>
      <c r="QXS97" s="19"/>
      <c r="QXT97" s="20"/>
      <c r="QXU97" s="19"/>
      <c r="QXW97" s="114"/>
      <c r="QXX97" s="114"/>
      <c r="QXY97" s="114"/>
      <c r="QXZ97" s="114"/>
      <c r="QYB97" s="18"/>
      <c r="QYP97" s="21"/>
      <c r="QYQ97" s="21"/>
      <c r="QYR97" s="19"/>
      <c r="QYS97" s="20"/>
      <c r="QYT97" s="19"/>
      <c r="QYV97" s="114"/>
      <c r="QYW97" s="114"/>
      <c r="QYX97" s="114"/>
      <c r="QYY97" s="114"/>
      <c r="QZA97" s="18"/>
      <c r="QZO97" s="21"/>
      <c r="QZP97" s="21"/>
      <c r="QZQ97" s="19"/>
      <c r="QZR97" s="20"/>
      <c r="QZS97" s="19"/>
      <c r="QZU97" s="114"/>
      <c r="QZV97" s="114"/>
      <c r="QZW97" s="114"/>
      <c r="QZX97" s="114"/>
      <c r="QZZ97" s="18"/>
      <c r="RAN97" s="21"/>
      <c r="RAO97" s="21"/>
      <c r="RAP97" s="19"/>
      <c r="RAQ97" s="20"/>
      <c r="RAR97" s="19"/>
      <c r="RAT97" s="114"/>
      <c r="RAU97" s="114"/>
      <c r="RAV97" s="114"/>
      <c r="RAW97" s="114"/>
      <c r="RAY97" s="18"/>
      <c r="RBM97" s="21"/>
      <c r="RBN97" s="21"/>
      <c r="RBO97" s="19"/>
      <c r="RBP97" s="20"/>
      <c r="RBQ97" s="19"/>
      <c r="RBS97" s="114"/>
      <c r="RBT97" s="114"/>
      <c r="RBU97" s="114"/>
      <c r="RBV97" s="114"/>
      <c r="RBX97" s="18"/>
      <c r="RCL97" s="21"/>
      <c r="RCM97" s="21"/>
      <c r="RCN97" s="19"/>
      <c r="RCO97" s="20"/>
      <c r="RCP97" s="19"/>
      <c r="RCR97" s="114"/>
      <c r="RCS97" s="114"/>
      <c r="RCT97" s="114"/>
      <c r="RCU97" s="114"/>
      <c r="RCW97" s="18"/>
      <c r="RDK97" s="21"/>
      <c r="RDL97" s="21"/>
      <c r="RDM97" s="19"/>
      <c r="RDN97" s="20"/>
      <c r="RDO97" s="19"/>
      <c r="RDQ97" s="114"/>
      <c r="RDR97" s="114"/>
      <c r="RDS97" s="114"/>
      <c r="RDT97" s="114"/>
      <c r="RDV97" s="18"/>
      <c r="REJ97" s="21"/>
      <c r="REK97" s="21"/>
      <c r="REL97" s="19"/>
      <c r="REM97" s="20"/>
      <c r="REN97" s="19"/>
      <c r="REP97" s="114"/>
      <c r="REQ97" s="114"/>
      <c r="RER97" s="114"/>
      <c r="RES97" s="114"/>
      <c r="REU97" s="18"/>
      <c r="RFI97" s="21"/>
      <c r="RFJ97" s="21"/>
      <c r="RFK97" s="19"/>
      <c r="RFL97" s="20"/>
      <c r="RFM97" s="19"/>
      <c r="RFO97" s="114"/>
      <c r="RFP97" s="114"/>
      <c r="RFQ97" s="114"/>
      <c r="RFR97" s="114"/>
      <c r="RFT97" s="18"/>
      <c r="RGH97" s="21"/>
      <c r="RGI97" s="21"/>
      <c r="RGJ97" s="19"/>
      <c r="RGK97" s="20"/>
      <c r="RGL97" s="19"/>
      <c r="RGN97" s="114"/>
      <c r="RGO97" s="114"/>
      <c r="RGP97" s="114"/>
      <c r="RGQ97" s="114"/>
      <c r="RGS97" s="18"/>
      <c r="RHG97" s="21"/>
      <c r="RHH97" s="21"/>
      <c r="RHI97" s="19"/>
      <c r="RHJ97" s="20"/>
      <c r="RHK97" s="19"/>
      <c r="RHM97" s="114"/>
      <c r="RHN97" s="114"/>
      <c r="RHO97" s="114"/>
      <c r="RHP97" s="114"/>
      <c r="RHR97" s="18"/>
      <c r="RIF97" s="21"/>
      <c r="RIG97" s="21"/>
      <c r="RIH97" s="19"/>
      <c r="RII97" s="20"/>
      <c r="RIJ97" s="19"/>
      <c r="RIL97" s="114"/>
      <c r="RIM97" s="114"/>
      <c r="RIN97" s="114"/>
      <c r="RIO97" s="114"/>
      <c r="RIQ97" s="18"/>
      <c r="RJE97" s="21"/>
      <c r="RJF97" s="21"/>
      <c r="RJG97" s="19"/>
      <c r="RJH97" s="20"/>
      <c r="RJI97" s="19"/>
      <c r="RJK97" s="114"/>
      <c r="RJL97" s="114"/>
      <c r="RJM97" s="114"/>
      <c r="RJN97" s="114"/>
      <c r="RJP97" s="18"/>
      <c r="RKD97" s="21"/>
      <c r="RKE97" s="21"/>
      <c r="RKF97" s="19"/>
      <c r="RKG97" s="20"/>
      <c r="RKH97" s="19"/>
      <c r="RKJ97" s="114"/>
      <c r="RKK97" s="114"/>
      <c r="RKL97" s="114"/>
      <c r="RKM97" s="114"/>
      <c r="RKO97" s="18"/>
      <c r="RLC97" s="21"/>
      <c r="RLD97" s="21"/>
      <c r="RLE97" s="19"/>
      <c r="RLF97" s="20"/>
      <c r="RLG97" s="19"/>
      <c r="RLI97" s="114"/>
      <c r="RLJ97" s="114"/>
      <c r="RLK97" s="114"/>
      <c r="RLL97" s="114"/>
      <c r="RLN97" s="18"/>
      <c r="RMB97" s="21"/>
      <c r="RMC97" s="21"/>
      <c r="RMD97" s="19"/>
      <c r="RME97" s="20"/>
      <c r="RMF97" s="19"/>
      <c r="RMH97" s="114"/>
      <c r="RMI97" s="114"/>
      <c r="RMJ97" s="114"/>
      <c r="RMK97" s="114"/>
      <c r="RMM97" s="18"/>
      <c r="RNA97" s="21"/>
      <c r="RNB97" s="21"/>
      <c r="RNC97" s="19"/>
      <c r="RND97" s="20"/>
      <c r="RNE97" s="19"/>
      <c r="RNG97" s="114"/>
      <c r="RNH97" s="114"/>
      <c r="RNI97" s="114"/>
      <c r="RNJ97" s="114"/>
      <c r="RNL97" s="18"/>
      <c r="RNZ97" s="21"/>
      <c r="ROA97" s="21"/>
      <c r="ROB97" s="19"/>
      <c r="ROC97" s="20"/>
      <c r="ROD97" s="19"/>
      <c r="ROF97" s="114"/>
      <c r="ROG97" s="114"/>
      <c r="ROH97" s="114"/>
      <c r="ROI97" s="114"/>
      <c r="ROK97" s="18"/>
      <c r="ROY97" s="21"/>
      <c r="ROZ97" s="21"/>
      <c r="RPA97" s="19"/>
      <c r="RPB97" s="20"/>
      <c r="RPC97" s="19"/>
      <c r="RPE97" s="114"/>
      <c r="RPF97" s="114"/>
      <c r="RPG97" s="114"/>
      <c r="RPH97" s="114"/>
      <c r="RPJ97" s="18"/>
      <c r="RPX97" s="21"/>
      <c r="RPY97" s="21"/>
      <c r="RPZ97" s="19"/>
      <c r="RQA97" s="20"/>
      <c r="RQB97" s="19"/>
      <c r="RQD97" s="114"/>
      <c r="RQE97" s="114"/>
      <c r="RQF97" s="114"/>
      <c r="RQG97" s="114"/>
      <c r="RQI97" s="18"/>
      <c r="RQW97" s="21"/>
      <c r="RQX97" s="21"/>
      <c r="RQY97" s="19"/>
      <c r="RQZ97" s="20"/>
      <c r="RRA97" s="19"/>
      <c r="RRC97" s="114"/>
      <c r="RRD97" s="114"/>
      <c r="RRE97" s="114"/>
      <c r="RRF97" s="114"/>
      <c r="RRH97" s="18"/>
      <c r="RRV97" s="21"/>
      <c r="RRW97" s="21"/>
      <c r="RRX97" s="19"/>
      <c r="RRY97" s="20"/>
      <c r="RRZ97" s="19"/>
      <c r="RSB97" s="114"/>
      <c r="RSC97" s="114"/>
      <c r="RSD97" s="114"/>
      <c r="RSE97" s="114"/>
      <c r="RSG97" s="18"/>
      <c r="RSU97" s="21"/>
      <c r="RSV97" s="21"/>
      <c r="RSW97" s="19"/>
      <c r="RSX97" s="20"/>
      <c r="RSY97" s="19"/>
      <c r="RTA97" s="114"/>
      <c r="RTB97" s="114"/>
      <c r="RTC97" s="114"/>
      <c r="RTD97" s="114"/>
      <c r="RTF97" s="18"/>
      <c r="RTT97" s="21"/>
      <c r="RTU97" s="21"/>
      <c r="RTV97" s="19"/>
      <c r="RTW97" s="20"/>
      <c r="RTX97" s="19"/>
      <c r="RTZ97" s="114"/>
      <c r="RUA97" s="114"/>
      <c r="RUB97" s="114"/>
      <c r="RUC97" s="114"/>
      <c r="RUE97" s="18"/>
      <c r="RUS97" s="21"/>
      <c r="RUT97" s="21"/>
      <c r="RUU97" s="19"/>
      <c r="RUV97" s="20"/>
      <c r="RUW97" s="19"/>
      <c r="RUY97" s="114"/>
      <c r="RUZ97" s="114"/>
      <c r="RVA97" s="114"/>
      <c r="RVB97" s="114"/>
      <c r="RVD97" s="18"/>
      <c r="RVR97" s="21"/>
      <c r="RVS97" s="21"/>
      <c r="RVT97" s="19"/>
      <c r="RVU97" s="20"/>
      <c r="RVV97" s="19"/>
      <c r="RVX97" s="114"/>
      <c r="RVY97" s="114"/>
      <c r="RVZ97" s="114"/>
      <c r="RWA97" s="114"/>
      <c r="RWC97" s="18"/>
      <c r="RWQ97" s="21"/>
      <c r="RWR97" s="21"/>
      <c r="RWS97" s="19"/>
      <c r="RWT97" s="20"/>
      <c r="RWU97" s="19"/>
      <c r="RWW97" s="114"/>
      <c r="RWX97" s="114"/>
      <c r="RWY97" s="114"/>
      <c r="RWZ97" s="114"/>
      <c r="RXB97" s="18"/>
      <c r="RXP97" s="21"/>
      <c r="RXQ97" s="21"/>
      <c r="RXR97" s="19"/>
      <c r="RXS97" s="20"/>
      <c r="RXT97" s="19"/>
      <c r="RXV97" s="114"/>
      <c r="RXW97" s="114"/>
      <c r="RXX97" s="114"/>
      <c r="RXY97" s="114"/>
      <c r="RYA97" s="18"/>
      <c r="RYO97" s="21"/>
      <c r="RYP97" s="21"/>
      <c r="RYQ97" s="19"/>
      <c r="RYR97" s="20"/>
      <c r="RYS97" s="19"/>
      <c r="RYU97" s="114"/>
      <c r="RYV97" s="114"/>
      <c r="RYW97" s="114"/>
      <c r="RYX97" s="114"/>
      <c r="RYZ97" s="18"/>
      <c r="RZN97" s="21"/>
      <c r="RZO97" s="21"/>
      <c r="RZP97" s="19"/>
      <c r="RZQ97" s="20"/>
      <c r="RZR97" s="19"/>
      <c r="RZT97" s="114"/>
      <c r="RZU97" s="114"/>
      <c r="RZV97" s="114"/>
      <c r="RZW97" s="114"/>
      <c r="RZY97" s="18"/>
      <c r="SAM97" s="21"/>
      <c r="SAN97" s="21"/>
      <c r="SAO97" s="19"/>
      <c r="SAP97" s="20"/>
      <c r="SAQ97" s="19"/>
      <c r="SAS97" s="114"/>
      <c r="SAT97" s="114"/>
      <c r="SAU97" s="114"/>
      <c r="SAV97" s="114"/>
      <c r="SAX97" s="18"/>
      <c r="SBL97" s="21"/>
      <c r="SBM97" s="21"/>
      <c r="SBN97" s="19"/>
      <c r="SBO97" s="20"/>
      <c r="SBP97" s="19"/>
      <c r="SBR97" s="114"/>
      <c r="SBS97" s="114"/>
      <c r="SBT97" s="114"/>
      <c r="SBU97" s="114"/>
      <c r="SBW97" s="18"/>
      <c r="SCK97" s="21"/>
      <c r="SCL97" s="21"/>
      <c r="SCM97" s="19"/>
      <c r="SCN97" s="20"/>
      <c r="SCO97" s="19"/>
      <c r="SCQ97" s="114"/>
      <c r="SCR97" s="114"/>
      <c r="SCS97" s="114"/>
      <c r="SCT97" s="114"/>
      <c r="SCV97" s="18"/>
      <c r="SDJ97" s="21"/>
      <c r="SDK97" s="21"/>
      <c r="SDL97" s="19"/>
      <c r="SDM97" s="20"/>
      <c r="SDN97" s="19"/>
      <c r="SDP97" s="114"/>
      <c r="SDQ97" s="114"/>
      <c r="SDR97" s="114"/>
      <c r="SDS97" s="114"/>
      <c r="SDU97" s="18"/>
      <c r="SEI97" s="21"/>
      <c r="SEJ97" s="21"/>
      <c r="SEK97" s="19"/>
      <c r="SEL97" s="20"/>
      <c r="SEM97" s="19"/>
      <c r="SEO97" s="114"/>
      <c r="SEP97" s="114"/>
      <c r="SEQ97" s="114"/>
      <c r="SER97" s="114"/>
      <c r="SET97" s="18"/>
      <c r="SFH97" s="21"/>
      <c r="SFI97" s="21"/>
      <c r="SFJ97" s="19"/>
      <c r="SFK97" s="20"/>
      <c r="SFL97" s="19"/>
      <c r="SFN97" s="114"/>
      <c r="SFO97" s="114"/>
      <c r="SFP97" s="114"/>
      <c r="SFQ97" s="114"/>
      <c r="SFS97" s="18"/>
      <c r="SGG97" s="21"/>
      <c r="SGH97" s="21"/>
      <c r="SGI97" s="19"/>
      <c r="SGJ97" s="20"/>
      <c r="SGK97" s="19"/>
      <c r="SGM97" s="114"/>
      <c r="SGN97" s="114"/>
      <c r="SGO97" s="114"/>
      <c r="SGP97" s="114"/>
      <c r="SGR97" s="18"/>
      <c r="SHF97" s="21"/>
      <c r="SHG97" s="21"/>
      <c r="SHH97" s="19"/>
      <c r="SHI97" s="20"/>
      <c r="SHJ97" s="19"/>
      <c r="SHL97" s="114"/>
      <c r="SHM97" s="114"/>
      <c r="SHN97" s="114"/>
      <c r="SHO97" s="114"/>
      <c r="SHQ97" s="18"/>
      <c r="SIE97" s="21"/>
      <c r="SIF97" s="21"/>
      <c r="SIG97" s="19"/>
      <c r="SIH97" s="20"/>
      <c r="SII97" s="19"/>
      <c r="SIK97" s="114"/>
      <c r="SIL97" s="114"/>
      <c r="SIM97" s="114"/>
      <c r="SIN97" s="114"/>
      <c r="SIP97" s="18"/>
      <c r="SJD97" s="21"/>
      <c r="SJE97" s="21"/>
      <c r="SJF97" s="19"/>
      <c r="SJG97" s="20"/>
      <c r="SJH97" s="19"/>
      <c r="SJJ97" s="114"/>
      <c r="SJK97" s="114"/>
      <c r="SJL97" s="114"/>
      <c r="SJM97" s="114"/>
      <c r="SJO97" s="18"/>
      <c r="SKC97" s="21"/>
      <c r="SKD97" s="21"/>
      <c r="SKE97" s="19"/>
      <c r="SKF97" s="20"/>
      <c r="SKG97" s="19"/>
      <c r="SKI97" s="114"/>
      <c r="SKJ97" s="114"/>
      <c r="SKK97" s="114"/>
      <c r="SKL97" s="114"/>
      <c r="SKN97" s="18"/>
      <c r="SLB97" s="21"/>
      <c r="SLC97" s="21"/>
      <c r="SLD97" s="19"/>
      <c r="SLE97" s="20"/>
      <c r="SLF97" s="19"/>
      <c r="SLH97" s="114"/>
      <c r="SLI97" s="114"/>
      <c r="SLJ97" s="114"/>
      <c r="SLK97" s="114"/>
      <c r="SLM97" s="18"/>
      <c r="SMA97" s="21"/>
      <c r="SMB97" s="21"/>
      <c r="SMC97" s="19"/>
      <c r="SMD97" s="20"/>
      <c r="SME97" s="19"/>
      <c r="SMG97" s="114"/>
      <c r="SMH97" s="114"/>
      <c r="SMI97" s="114"/>
      <c r="SMJ97" s="114"/>
      <c r="SML97" s="18"/>
      <c r="SMZ97" s="21"/>
      <c r="SNA97" s="21"/>
      <c r="SNB97" s="19"/>
      <c r="SNC97" s="20"/>
      <c r="SND97" s="19"/>
      <c r="SNF97" s="114"/>
      <c r="SNG97" s="114"/>
      <c r="SNH97" s="114"/>
      <c r="SNI97" s="114"/>
      <c r="SNK97" s="18"/>
      <c r="SNY97" s="21"/>
      <c r="SNZ97" s="21"/>
      <c r="SOA97" s="19"/>
      <c r="SOB97" s="20"/>
      <c r="SOC97" s="19"/>
      <c r="SOE97" s="114"/>
      <c r="SOF97" s="114"/>
      <c r="SOG97" s="114"/>
      <c r="SOH97" s="114"/>
      <c r="SOJ97" s="18"/>
      <c r="SOX97" s="21"/>
      <c r="SOY97" s="21"/>
      <c r="SOZ97" s="19"/>
      <c r="SPA97" s="20"/>
      <c r="SPB97" s="19"/>
      <c r="SPD97" s="114"/>
      <c r="SPE97" s="114"/>
      <c r="SPF97" s="114"/>
      <c r="SPG97" s="114"/>
      <c r="SPI97" s="18"/>
      <c r="SPW97" s="21"/>
      <c r="SPX97" s="21"/>
      <c r="SPY97" s="19"/>
      <c r="SPZ97" s="20"/>
      <c r="SQA97" s="19"/>
      <c r="SQC97" s="114"/>
      <c r="SQD97" s="114"/>
      <c r="SQE97" s="114"/>
      <c r="SQF97" s="114"/>
      <c r="SQH97" s="18"/>
      <c r="SQV97" s="21"/>
      <c r="SQW97" s="21"/>
      <c r="SQX97" s="19"/>
      <c r="SQY97" s="20"/>
      <c r="SQZ97" s="19"/>
      <c r="SRB97" s="114"/>
      <c r="SRC97" s="114"/>
      <c r="SRD97" s="114"/>
      <c r="SRE97" s="114"/>
      <c r="SRG97" s="18"/>
      <c r="SRU97" s="21"/>
      <c r="SRV97" s="21"/>
      <c r="SRW97" s="19"/>
      <c r="SRX97" s="20"/>
      <c r="SRY97" s="19"/>
      <c r="SSA97" s="114"/>
      <c r="SSB97" s="114"/>
      <c r="SSC97" s="114"/>
      <c r="SSD97" s="114"/>
      <c r="SSF97" s="18"/>
      <c r="SST97" s="21"/>
      <c r="SSU97" s="21"/>
      <c r="SSV97" s="19"/>
      <c r="SSW97" s="20"/>
      <c r="SSX97" s="19"/>
      <c r="SSZ97" s="114"/>
      <c r="STA97" s="114"/>
      <c r="STB97" s="114"/>
      <c r="STC97" s="114"/>
      <c r="STE97" s="18"/>
      <c r="STS97" s="21"/>
      <c r="STT97" s="21"/>
      <c r="STU97" s="19"/>
      <c r="STV97" s="20"/>
      <c r="STW97" s="19"/>
      <c r="STY97" s="114"/>
      <c r="STZ97" s="114"/>
      <c r="SUA97" s="114"/>
      <c r="SUB97" s="114"/>
      <c r="SUD97" s="18"/>
      <c r="SUR97" s="21"/>
      <c r="SUS97" s="21"/>
      <c r="SUT97" s="19"/>
      <c r="SUU97" s="20"/>
      <c r="SUV97" s="19"/>
      <c r="SUX97" s="114"/>
      <c r="SUY97" s="114"/>
      <c r="SUZ97" s="114"/>
      <c r="SVA97" s="114"/>
      <c r="SVC97" s="18"/>
      <c r="SVQ97" s="21"/>
      <c r="SVR97" s="21"/>
      <c r="SVS97" s="19"/>
      <c r="SVT97" s="20"/>
      <c r="SVU97" s="19"/>
      <c r="SVW97" s="114"/>
      <c r="SVX97" s="114"/>
      <c r="SVY97" s="114"/>
      <c r="SVZ97" s="114"/>
      <c r="SWB97" s="18"/>
      <c r="SWP97" s="21"/>
      <c r="SWQ97" s="21"/>
      <c r="SWR97" s="19"/>
      <c r="SWS97" s="20"/>
      <c r="SWT97" s="19"/>
      <c r="SWV97" s="114"/>
      <c r="SWW97" s="114"/>
      <c r="SWX97" s="114"/>
      <c r="SWY97" s="114"/>
      <c r="SXA97" s="18"/>
      <c r="SXO97" s="21"/>
      <c r="SXP97" s="21"/>
      <c r="SXQ97" s="19"/>
      <c r="SXR97" s="20"/>
      <c r="SXS97" s="19"/>
      <c r="SXU97" s="114"/>
      <c r="SXV97" s="114"/>
      <c r="SXW97" s="114"/>
      <c r="SXX97" s="114"/>
      <c r="SXZ97" s="18"/>
      <c r="SYN97" s="21"/>
      <c r="SYO97" s="21"/>
      <c r="SYP97" s="19"/>
      <c r="SYQ97" s="20"/>
      <c r="SYR97" s="19"/>
      <c r="SYT97" s="114"/>
      <c r="SYU97" s="114"/>
      <c r="SYV97" s="114"/>
      <c r="SYW97" s="114"/>
      <c r="SYY97" s="18"/>
      <c r="SZM97" s="21"/>
      <c r="SZN97" s="21"/>
      <c r="SZO97" s="19"/>
      <c r="SZP97" s="20"/>
      <c r="SZQ97" s="19"/>
      <c r="SZS97" s="114"/>
      <c r="SZT97" s="114"/>
      <c r="SZU97" s="114"/>
      <c r="SZV97" s="114"/>
      <c r="SZX97" s="18"/>
      <c r="TAL97" s="21"/>
      <c r="TAM97" s="21"/>
      <c r="TAN97" s="19"/>
      <c r="TAO97" s="20"/>
      <c r="TAP97" s="19"/>
      <c r="TAR97" s="114"/>
      <c r="TAS97" s="114"/>
      <c r="TAT97" s="114"/>
      <c r="TAU97" s="114"/>
      <c r="TAW97" s="18"/>
      <c r="TBK97" s="21"/>
      <c r="TBL97" s="21"/>
      <c r="TBM97" s="19"/>
      <c r="TBN97" s="20"/>
      <c r="TBO97" s="19"/>
      <c r="TBQ97" s="114"/>
      <c r="TBR97" s="114"/>
      <c r="TBS97" s="114"/>
      <c r="TBT97" s="114"/>
      <c r="TBV97" s="18"/>
      <c r="TCJ97" s="21"/>
      <c r="TCK97" s="21"/>
      <c r="TCL97" s="19"/>
      <c r="TCM97" s="20"/>
      <c r="TCN97" s="19"/>
      <c r="TCP97" s="114"/>
      <c r="TCQ97" s="114"/>
      <c r="TCR97" s="114"/>
      <c r="TCS97" s="114"/>
      <c r="TCU97" s="18"/>
      <c r="TDI97" s="21"/>
      <c r="TDJ97" s="21"/>
      <c r="TDK97" s="19"/>
      <c r="TDL97" s="20"/>
      <c r="TDM97" s="19"/>
      <c r="TDO97" s="114"/>
      <c r="TDP97" s="114"/>
      <c r="TDQ97" s="114"/>
      <c r="TDR97" s="114"/>
      <c r="TDT97" s="18"/>
      <c r="TEH97" s="21"/>
      <c r="TEI97" s="21"/>
      <c r="TEJ97" s="19"/>
      <c r="TEK97" s="20"/>
      <c r="TEL97" s="19"/>
      <c r="TEN97" s="114"/>
      <c r="TEO97" s="114"/>
      <c r="TEP97" s="114"/>
      <c r="TEQ97" s="114"/>
      <c r="TES97" s="18"/>
      <c r="TFG97" s="21"/>
      <c r="TFH97" s="21"/>
      <c r="TFI97" s="19"/>
      <c r="TFJ97" s="20"/>
      <c r="TFK97" s="19"/>
      <c r="TFM97" s="114"/>
      <c r="TFN97" s="114"/>
      <c r="TFO97" s="114"/>
      <c r="TFP97" s="114"/>
      <c r="TFR97" s="18"/>
      <c r="TGF97" s="21"/>
      <c r="TGG97" s="21"/>
      <c r="TGH97" s="19"/>
      <c r="TGI97" s="20"/>
      <c r="TGJ97" s="19"/>
      <c r="TGL97" s="114"/>
      <c r="TGM97" s="114"/>
      <c r="TGN97" s="114"/>
      <c r="TGO97" s="114"/>
      <c r="TGQ97" s="18"/>
      <c r="THE97" s="21"/>
      <c r="THF97" s="21"/>
      <c r="THG97" s="19"/>
      <c r="THH97" s="20"/>
      <c r="THI97" s="19"/>
      <c r="THK97" s="114"/>
      <c r="THL97" s="114"/>
      <c r="THM97" s="114"/>
      <c r="THN97" s="114"/>
      <c r="THP97" s="18"/>
      <c r="TID97" s="21"/>
      <c r="TIE97" s="21"/>
      <c r="TIF97" s="19"/>
      <c r="TIG97" s="20"/>
      <c r="TIH97" s="19"/>
      <c r="TIJ97" s="114"/>
      <c r="TIK97" s="114"/>
      <c r="TIL97" s="114"/>
      <c r="TIM97" s="114"/>
      <c r="TIO97" s="18"/>
      <c r="TJC97" s="21"/>
      <c r="TJD97" s="21"/>
      <c r="TJE97" s="19"/>
      <c r="TJF97" s="20"/>
      <c r="TJG97" s="19"/>
      <c r="TJI97" s="114"/>
      <c r="TJJ97" s="114"/>
      <c r="TJK97" s="114"/>
      <c r="TJL97" s="114"/>
      <c r="TJN97" s="18"/>
      <c r="TKB97" s="21"/>
      <c r="TKC97" s="21"/>
      <c r="TKD97" s="19"/>
      <c r="TKE97" s="20"/>
      <c r="TKF97" s="19"/>
      <c r="TKH97" s="114"/>
      <c r="TKI97" s="114"/>
      <c r="TKJ97" s="114"/>
      <c r="TKK97" s="114"/>
      <c r="TKM97" s="18"/>
      <c r="TLA97" s="21"/>
      <c r="TLB97" s="21"/>
      <c r="TLC97" s="19"/>
      <c r="TLD97" s="20"/>
      <c r="TLE97" s="19"/>
      <c r="TLG97" s="114"/>
      <c r="TLH97" s="114"/>
      <c r="TLI97" s="114"/>
      <c r="TLJ97" s="114"/>
      <c r="TLL97" s="18"/>
      <c r="TLZ97" s="21"/>
      <c r="TMA97" s="21"/>
      <c r="TMB97" s="19"/>
      <c r="TMC97" s="20"/>
      <c r="TMD97" s="19"/>
      <c r="TMF97" s="114"/>
      <c r="TMG97" s="114"/>
      <c r="TMH97" s="114"/>
      <c r="TMI97" s="114"/>
      <c r="TMK97" s="18"/>
      <c r="TMY97" s="21"/>
      <c r="TMZ97" s="21"/>
      <c r="TNA97" s="19"/>
      <c r="TNB97" s="20"/>
      <c r="TNC97" s="19"/>
      <c r="TNE97" s="114"/>
      <c r="TNF97" s="114"/>
      <c r="TNG97" s="114"/>
      <c r="TNH97" s="114"/>
      <c r="TNJ97" s="18"/>
      <c r="TNX97" s="21"/>
      <c r="TNY97" s="21"/>
      <c r="TNZ97" s="19"/>
      <c r="TOA97" s="20"/>
      <c r="TOB97" s="19"/>
      <c r="TOD97" s="114"/>
      <c r="TOE97" s="114"/>
      <c r="TOF97" s="114"/>
      <c r="TOG97" s="114"/>
      <c r="TOI97" s="18"/>
      <c r="TOW97" s="21"/>
      <c r="TOX97" s="21"/>
      <c r="TOY97" s="19"/>
      <c r="TOZ97" s="20"/>
      <c r="TPA97" s="19"/>
      <c r="TPC97" s="114"/>
      <c r="TPD97" s="114"/>
      <c r="TPE97" s="114"/>
      <c r="TPF97" s="114"/>
      <c r="TPH97" s="18"/>
      <c r="TPV97" s="21"/>
      <c r="TPW97" s="21"/>
      <c r="TPX97" s="19"/>
      <c r="TPY97" s="20"/>
      <c r="TPZ97" s="19"/>
      <c r="TQB97" s="114"/>
      <c r="TQC97" s="114"/>
      <c r="TQD97" s="114"/>
      <c r="TQE97" s="114"/>
      <c r="TQG97" s="18"/>
      <c r="TQU97" s="21"/>
      <c r="TQV97" s="21"/>
      <c r="TQW97" s="19"/>
      <c r="TQX97" s="20"/>
      <c r="TQY97" s="19"/>
      <c r="TRA97" s="114"/>
      <c r="TRB97" s="114"/>
      <c r="TRC97" s="114"/>
      <c r="TRD97" s="114"/>
      <c r="TRF97" s="18"/>
      <c r="TRT97" s="21"/>
      <c r="TRU97" s="21"/>
      <c r="TRV97" s="19"/>
      <c r="TRW97" s="20"/>
      <c r="TRX97" s="19"/>
      <c r="TRZ97" s="114"/>
      <c r="TSA97" s="114"/>
      <c r="TSB97" s="114"/>
      <c r="TSC97" s="114"/>
      <c r="TSE97" s="18"/>
      <c r="TSS97" s="21"/>
      <c r="TST97" s="21"/>
      <c r="TSU97" s="19"/>
      <c r="TSV97" s="20"/>
      <c r="TSW97" s="19"/>
      <c r="TSY97" s="114"/>
      <c r="TSZ97" s="114"/>
      <c r="TTA97" s="114"/>
      <c r="TTB97" s="114"/>
      <c r="TTD97" s="18"/>
      <c r="TTR97" s="21"/>
      <c r="TTS97" s="21"/>
      <c r="TTT97" s="19"/>
      <c r="TTU97" s="20"/>
      <c r="TTV97" s="19"/>
      <c r="TTX97" s="114"/>
      <c r="TTY97" s="114"/>
      <c r="TTZ97" s="114"/>
      <c r="TUA97" s="114"/>
      <c r="TUC97" s="18"/>
      <c r="TUQ97" s="21"/>
      <c r="TUR97" s="21"/>
      <c r="TUS97" s="19"/>
      <c r="TUT97" s="20"/>
      <c r="TUU97" s="19"/>
      <c r="TUW97" s="114"/>
      <c r="TUX97" s="114"/>
      <c r="TUY97" s="114"/>
      <c r="TUZ97" s="114"/>
      <c r="TVB97" s="18"/>
      <c r="TVP97" s="21"/>
      <c r="TVQ97" s="21"/>
      <c r="TVR97" s="19"/>
      <c r="TVS97" s="20"/>
      <c r="TVT97" s="19"/>
      <c r="TVV97" s="114"/>
      <c r="TVW97" s="114"/>
      <c r="TVX97" s="114"/>
      <c r="TVY97" s="114"/>
      <c r="TWA97" s="18"/>
      <c r="TWO97" s="21"/>
      <c r="TWP97" s="21"/>
      <c r="TWQ97" s="19"/>
      <c r="TWR97" s="20"/>
      <c r="TWS97" s="19"/>
      <c r="TWU97" s="114"/>
      <c r="TWV97" s="114"/>
      <c r="TWW97" s="114"/>
      <c r="TWX97" s="114"/>
      <c r="TWZ97" s="18"/>
      <c r="TXN97" s="21"/>
      <c r="TXO97" s="21"/>
      <c r="TXP97" s="19"/>
      <c r="TXQ97" s="20"/>
      <c r="TXR97" s="19"/>
      <c r="TXT97" s="114"/>
      <c r="TXU97" s="114"/>
      <c r="TXV97" s="114"/>
      <c r="TXW97" s="114"/>
      <c r="TXY97" s="18"/>
      <c r="TYM97" s="21"/>
      <c r="TYN97" s="21"/>
      <c r="TYO97" s="19"/>
      <c r="TYP97" s="20"/>
      <c r="TYQ97" s="19"/>
      <c r="TYS97" s="114"/>
      <c r="TYT97" s="114"/>
      <c r="TYU97" s="114"/>
      <c r="TYV97" s="114"/>
      <c r="TYX97" s="18"/>
      <c r="TZL97" s="21"/>
      <c r="TZM97" s="21"/>
      <c r="TZN97" s="19"/>
      <c r="TZO97" s="20"/>
      <c r="TZP97" s="19"/>
      <c r="TZR97" s="114"/>
      <c r="TZS97" s="114"/>
      <c r="TZT97" s="114"/>
      <c r="TZU97" s="114"/>
      <c r="TZW97" s="18"/>
      <c r="UAK97" s="21"/>
      <c r="UAL97" s="21"/>
      <c r="UAM97" s="19"/>
      <c r="UAN97" s="20"/>
      <c r="UAO97" s="19"/>
      <c r="UAQ97" s="114"/>
      <c r="UAR97" s="114"/>
      <c r="UAS97" s="114"/>
      <c r="UAT97" s="114"/>
      <c r="UAV97" s="18"/>
      <c r="UBJ97" s="21"/>
      <c r="UBK97" s="21"/>
      <c r="UBL97" s="19"/>
      <c r="UBM97" s="20"/>
      <c r="UBN97" s="19"/>
      <c r="UBP97" s="114"/>
      <c r="UBQ97" s="114"/>
      <c r="UBR97" s="114"/>
      <c r="UBS97" s="114"/>
      <c r="UBU97" s="18"/>
      <c r="UCI97" s="21"/>
      <c r="UCJ97" s="21"/>
      <c r="UCK97" s="19"/>
      <c r="UCL97" s="20"/>
      <c r="UCM97" s="19"/>
      <c r="UCO97" s="114"/>
      <c r="UCP97" s="114"/>
      <c r="UCQ97" s="114"/>
      <c r="UCR97" s="114"/>
      <c r="UCT97" s="18"/>
      <c r="UDH97" s="21"/>
      <c r="UDI97" s="21"/>
      <c r="UDJ97" s="19"/>
      <c r="UDK97" s="20"/>
      <c r="UDL97" s="19"/>
      <c r="UDN97" s="114"/>
      <c r="UDO97" s="114"/>
      <c r="UDP97" s="114"/>
      <c r="UDQ97" s="114"/>
      <c r="UDS97" s="18"/>
      <c r="UEG97" s="21"/>
      <c r="UEH97" s="21"/>
      <c r="UEI97" s="19"/>
      <c r="UEJ97" s="20"/>
      <c r="UEK97" s="19"/>
      <c r="UEM97" s="114"/>
      <c r="UEN97" s="114"/>
      <c r="UEO97" s="114"/>
      <c r="UEP97" s="114"/>
      <c r="UER97" s="18"/>
      <c r="UFF97" s="21"/>
      <c r="UFG97" s="21"/>
      <c r="UFH97" s="19"/>
      <c r="UFI97" s="20"/>
      <c r="UFJ97" s="19"/>
      <c r="UFL97" s="114"/>
      <c r="UFM97" s="114"/>
      <c r="UFN97" s="114"/>
      <c r="UFO97" s="114"/>
      <c r="UFQ97" s="18"/>
      <c r="UGE97" s="21"/>
      <c r="UGF97" s="21"/>
      <c r="UGG97" s="19"/>
      <c r="UGH97" s="20"/>
      <c r="UGI97" s="19"/>
      <c r="UGK97" s="114"/>
      <c r="UGL97" s="114"/>
      <c r="UGM97" s="114"/>
      <c r="UGN97" s="114"/>
      <c r="UGP97" s="18"/>
      <c r="UHD97" s="21"/>
      <c r="UHE97" s="21"/>
      <c r="UHF97" s="19"/>
      <c r="UHG97" s="20"/>
      <c r="UHH97" s="19"/>
      <c r="UHJ97" s="114"/>
      <c r="UHK97" s="114"/>
      <c r="UHL97" s="114"/>
      <c r="UHM97" s="114"/>
      <c r="UHO97" s="18"/>
      <c r="UIC97" s="21"/>
      <c r="UID97" s="21"/>
      <c r="UIE97" s="19"/>
      <c r="UIF97" s="20"/>
      <c r="UIG97" s="19"/>
      <c r="UII97" s="114"/>
      <c r="UIJ97" s="114"/>
      <c r="UIK97" s="114"/>
      <c r="UIL97" s="114"/>
      <c r="UIN97" s="18"/>
      <c r="UJB97" s="21"/>
      <c r="UJC97" s="21"/>
      <c r="UJD97" s="19"/>
      <c r="UJE97" s="20"/>
      <c r="UJF97" s="19"/>
      <c r="UJH97" s="114"/>
      <c r="UJI97" s="114"/>
      <c r="UJJ97" s="114"/>
      <c r="UJK97" s="114"/>
      <c r="UJM97" s="18"/>
      <c r="UKA97" s="21"/>
      <c r="UKB97" s="21"/>
      <c r="UKC97" s="19"/>
      <c r="UKD97" s="20"/>
      <c r="UKE97" s="19"/>
      <c r="UKG97" s="114"/>
      <c r="UKH97" s="114"/>
      <c r="UKI97" s="114"/>
      <c r="UKJ97" s="114"/>
      <c r="UKL97" s="18"/>
      <c r="UKZ97" s="21"/>
      <c r="ULA97" s="21"/>
      <c r="ULB97" s="19"/>
      <c r="ULC97" s="20"/>
      <c r="ULD97" s="19"/>
      <c r="ULF97" s="114"/>
      <c r="ULG97" s="114"/>
      <c r="ULH97" s="114"/>
      <c r="ULI97" s="114"/>
      <c r="ULK97" s="18"/>
      <c r="ULY97" s="21"/>
      <c r="ULZ97" s="21"/>
      <c r="UMA97" s="19"/>
      <c r="UMB97" s="20"/>
      <c r="UMC97" s="19"/>
      <c r="UME97" s="114"/>
      <c r="UMF97" s="114"/>
      <c r="UMG97" s="114"/>
      <c r="UMH97" s="114"/>
      <c r="UMJ97" s="18"/>
      <c r="UMX97" s="21"/>
      <c r="UMY97" s="21"/>
      <c r="UMZ97" s="19"/>
      <c r="UNA97" s="20"/>
      <c r="UNB97" s="19"/>
      <c r="UND97" s="114"/>
      <c r="UNE97" s="114"/>
      <c r="UNF97" s="114"/>
      <c r="UNG97" s="114"/>
      <c r="UNI97" s="18"/>
      <c r="UNW97" s="21"/>
      <c r="UNX97" s="21"/>
      <c r="UNY97" s="19"/>
      <c r="UNZ97" s="20"/>
      <c r="UOA97" s="19"/>
      <c r="UOC97" s="114"/>
      <c r="UOD97" s="114"/>
      <c r="UOE97" s="114"/>
      <c r="UOF97" s="114"/>
      <c r="UOH97" s="18"/>
      <c r="UOV97" s="21"/>
      <c r="UOW97" s="21"/>
      <c r="UOX97" s="19"/>
      <c r="UOY97" s="20"/>
      <c r="UOZ97" s="19"/>
      <c r="UPB97" s="114"/>
      <c r="UPC97" s="114"/>
      <c r="UPD97" s="114"/>
      <c r="UPE97" s="114"/>
      <c r="UPG97" s="18"/>
      <c r="UPU97" s="21"/>
      <c r="UPV97" s="21"/>
      <c r="UPW97" s="19"/>
      <c r="UPX97" s="20"/>
      <c r="UPY97" s="19"/>
      <c r="UQA97" s="114"/>
      <c r="UQB97" s="114"/>
      <c r="UQC97" s="114"/>
      <c r="UQD97" s="114"/>
      <c r="UQF97" s="18"/>
      <c r="UQT97" s="21"/>
      <c r="UQU97" s="21"/>
      <c r="UQV97" s="19"/>
      <c r="UQW97" s="20"/>
      <c r="UQX97" s="19"/>
      <c r="UQZ97" s="114"/>
      <c r="URA97" s="114"/>
      <c r="URB97" s="114"/>
      <c r="URC97" s="114"/>
      <c r="URE97" s="18"/>
      <c r="URS97" s="21"/>
      <c r="URT97" s="21"/>
      <c r="URU97" s="19"/>
      <c r="URV97" s="20"/>
      <c r="URW97" s="19"/>
      <c r="URY97" s="114"/>
      <c r="URZ97" s="114"/>
      <c r="USA97" s="114"/>
      <c r="USB97" s="114"/>
      <c r="USD97" s="18"/>
      <c r="USR97" s="21"/>
      <c r="USS97" s="21"/>
      <c r="UST97" s="19"/>
      <c r="USU97" s="20"/>
      <c r="USV97" s="19"/>
      <c r="USX97" s="114"/>
      <c r="USY97" s="114"/>
      <c r="USZ97" s="114"/>
      <c r="UTA97" s="114"/>
      <c r="UTC97" s="18"/>
      <c r="UTQ97" s="21"/>
      <c r="UTR97" s="21"/>
      <c r="UTS97" s="19"/>
      <c r="UTT97" s="20"/>
      <c r="UTU97" s="19"/>
      <c r="UTW97" s="114"/>
      <c r="UTX97" s="114"/>
      <c r="UTY97" s="114"/>
      <c r="UTZ97" s="114"/>
      <c r="UUB97" s="18"/>
      <c r="UUP97" s="21"/>
      <c r="UUQ97" s="21"/>
      <c r="UUR97" s="19"/>
      <c r="UUS97" s="20"/>
      <c r="UUT97" s="19"/>
      <c r="UUV97" s="114"/>
      <c r="UUW97" s="114"/>
      <c r="UUX97" s="114"/>
      <c r="UUY97" s="114"/>
      <c r="UVA97" s="18"/>
      <c r="UVO97" s="21"/>
      <c r="UVP97" s="21"/>
      <c r="UVQ97" s="19"/>
      <c r="UVR97" s="20"/>
      <c r="UVS97" s="19"/>
      <c r="UVU97" s="114"/>
      <c r="UVV97" s="114"/>
      <c r="UVW97" s="114"/>
      <c r="UVX97" s="114"/>
      <c r="UVZ97" s="18"/>
      <c r="UWN97" s="21"/>
      <c r="UWO97" s="21"/>
      <c r="UWP97" s="19"/>
      <c r="UWQ97" s="20"/>
      <c r="UWR97" s="19"/>
      <c r="UWT97" s="114"/>
      <c r="UWU97" s="114"/>
      <c r="UWV97" s="114"/>
      <c r="UWW97" s="114"/>
      <c r="UWY97" s="18"/>
      <c r="UXM97" s="21"/>
      <c r="UXN97" s="21"/>
      <c r="UXO97" s="19"/>
      <c r="UXP97" s="20"/>
      <c r="UXQ97" s="19"/>
      <c r="UXS97" s="114"/>
      <c r="UXT97" s="114"/>
      <c r="UXU97" s="114"/>
      <c r="UXV97" s="114"/>
      <c r="UXX97" s="18"/>
      <c r="UYL97" s="21"/>
      <c r="UYM97" s="21"/>
      <c r="UYN97" s="19"/>
      <c r="UYO97" s="20"/>
      <c r="UYP97" s="19"/>
      <c r="UYR97" s="114"/>
      <c r="UYS97" s="114"/>
      <c r="UYT97" s="114"/>
      <c r="UYU97" s="114"/>
      <c r="UYW97" s="18"/>
      <c r="UZK97" s="21"/>
      <c r="UZL97" s="21"/>
      <c r="UZM97" s="19"/>
      <c r="UZN97" s="20"/>
      <c r="UZO97" s="19"/>
      <c r="UZQ97" s="114"/>
      <c r="UZR97" s="114"/>
      <c r="UZS97" s="114"/>
      <c r="UZT97" s="114"/>
      <c r="UZV97" s="18"/>
      <c r="VAJ97" s="21"/>
      <c r="VAK97" s="21"/>
      <c r="VAL97" s="19"/>
      <c r="VAM97" s="20"/>
      <c r="VAN97" s="19"/>
      <c r="VAP97" s="114"/>
      <c r="VAQ97" s="114"/>
      <c r="VAR97" s="114"/>
      <c r="VAS97" s="114"/>
      <c r="VAU97" s="18"/>
      <c r="VBI97" s="21"/>
      <c r="VBJ97" s="21"/>
      <c r="VBK97" s="19"/>
      <c r="VBL97" s="20"/>
      <c r="VBM97" s="19"/>
      <c r="VBO97" s="114"/>
      <c r="VBP97" s="114"/>
      <c r="VBQ97" s="114"/>
      <c r="VBR97" s="114"/>
      <c r="VBT97" s="18"/>
      <c r="VCH97" s="21"/>
      <c r="VCI97" s="21"/>
      <c r="VCJ97" s="19"/>
      <c r="VCK97" s="20"/>
      <c r="VCL97" s="19"/>
      <c r="VCN97" s="114"/>
      <c r="VCO97" s="114"/>
      <c r="VCP97" s="114"/>
      <c r="VCQ97" s="114"/>
      <c r="VCS97" s="18"/>
      <c r="VDG97" s="21"/>
      <c r="VDH97" s="21"/>
      <c r="VDI97" s="19"/>
      <c r="VDJ97" s="20"/>
      <c r="VDK97" s="19"/>
      <c r="VDM97" s="114"/>
      <c r="VDN97" s="114"/>
      <c r="VDO97" s="114"/>
      <c r="VDP97" s="114"/>
      <c r="VDR97" s="18"/>
      <c r="VEF97" s="21"/>
      <c r="VEG97" s="21"/>
      <c r="VEH97" s="19"/>
      <c r="VEI97" s="20"/>
      <c r="VEJ97" s="19"/>
      <c r="VEL97" s="114"/>
      <c r="VEM97" s="114"/>
      <c r="VEN97" s="114"/>
      <c r="VEO97" s="114"/>
      <c r="VEQ97" s="18"/>
      <c r="VFE97" s="21"/>
      <c r="VFF97" s="21"/>
      <c r="VFG97" s="19"/>
      <c r="VFH97" s="20"/>
      <c r="VFI97" s="19"/>
      <c r="VFK97" s="114"/>
      <c r="VFL97" s="114"/>
      <c r="VFM97" s="114"/>
      <c r="VFN97" s="114"/>
      <c r="VFP97" s="18"/>
      <c r="VGD97" s="21"/>
      <c r="VGE97" s="21"/>
      <c r="VGF97" s="19"/>
      <c r="VGG97" s="20"/>
      <c r="VGH97" s="19"/>
      <c r="VGJ97" s="114"/>
      <c r="VGK97" s="114"/>
      <c r="VGL97" s="114"/>
      <c r="VGM97" s="114"/>
      <c r="VGO97" s="18"/>
      <c r="VHC97" s="21"/>
      <c r="VHD97" s="21"/>
      <c r="VHE97" s="19"/>
      <c r="VHF97" s="20"/>
      <c r="VHG97" s="19"/>
      <c r="VHI97" s="114"/>
      <c r="VHJ97" s="114"/>
      <c r="VHK97" s="114"/>
      <c r="VHL97" s="114"/>
      <c r="VHN97" s="18"/>
      <c r="VIB97" s="21"/>
      <c r="VIC97" s="21"/>
      <c r="VID97" s="19"/>
      <c r="VIE97" s="20"/>
      <c r="VIF97" s="19"/>
      <c r="VIH97" s="114"/>
      <c r="VII97" s="114"/>
      <c r="VIJ97" s="114"/>
      <c r="VIK97" s="114"/>
      <c r="VIM97" s="18"/>
      <c r="VJA97" s="21"/>
      <c r="VJB97" s="21"/>
      <c r="VJC97" s="19"/>
      <c r="VJD97" s="20"/>
      <c r="VJE97" s="19"/>
      <c r="VJG97" s="114"/>
      <c r="VJH97" s="114"/>
      <c r="VJI97" s="114"/>
      <c r="VJJ97" s="114"/>
      <c r="VJL97" s="18"/>
      <c r="VJZ97" s="21"/>
      <c r="VKA97" s="21"/>
      <c r="VKB97" s="19"/>
      <c r="VKC97" s="20"/>
      <c r="VKD97" s="19"/>
      <c r="VKF97" s="114"/>
      <c r="VKG97" s="114"/>
      <c r="VKH97" s="114"/>
      <c r="VKI97" s="114"/>
      <c r="VKK97" s="18"/>
      <c r="VKY97" s="21"/>
      <c r="VKZ97" s="21"/>
      <c r="VLA97" s="19"/>
      <c r="VLB97" s="20"/>
      <c r="VLC97" s="19"/>
      <c r="VLE97" s="114"/>
      <c r="VLF97" s="114"/>
      <c r="VLG97" s="114"/>
      <c r="VLH97" s="114"/>
      <c r="VLJ97" s="18"/>
      <c r="VLX97" s="21"/>
      <c r="VLY97" s="21"/>
      <c r="VLZ97" s="19"/>
      <c r="VMA97" s="20"/>
      <c r="VMB97" s="19"/>
      <c r="VMD97" s="114"/>
      <c r="VME97" s="114"/>
      <c r="VMF97" s="114"/>
      <c r="VMG97" s="114"/>
      <c r="VMI97" s="18"/>
      <c r="VMW97" s="21"/>
      <c r="VMX97" s="21"/>
      <c r="VMY97" s="19"/>
      <c r="VMZ97" s="20"/>
      <c r="VNA97" s="19"/>
      <c r="VNC97" s="114"/>
      <c r="VND97" s="114"/>
      <c r="VNE97" s="114"/>
      <c r="VNF97" s="114"/>
      <c r="VNH97" s="18"/>
      <c r="VNV97" s="21"/>
      <c r="VNW97" s="21"/>
      <c r="VNX97" s="19"/>
      <c r="VNY97" s="20"/>
      <c r="VNZ97" s="19"/>
      <c r="VOB97" s="114"/>
      <c r="VOC97" s="114"/>
      <c r="VOD97" s="114"/>
      <c r="VOE97" s="114"/>
      <c r="VOG97" s="18"/>
      <c r="VOU97" s="21"/>
      <c r="VOV97" s="21"/>
      <c r="VOW97" s="19"/>
      <c r="VOX97" s="20"/>
      <c r="VOY97" s="19"/>
      <c r="VPA97" s="114"/>
      <c r="VPB97" s="114"/>
      <c r="VPC97" s="114"/>
      <c r="VPD97" s="114"/>
      <c r="VPF97" s="18"/>
      <c r="VPT97" s="21"/>
      <c r="VPU97" s="21"/>
      <c r="VPV97" s="19"/>
      <c r="VPW97" s="20"/>
      <c r="VPX97" s="19"/>
      <c r="VPZ97" s="114"/>
      <c r="VQA97" s="114"/>
      <c r="VQB97" s="114"/>
      <c r="VQC97" s="114"/>
      <c r="VQE97" s="18"/>
      <c r="VQS97" s="21"/>
      <c r="VQT97" s="21"/>
      <c r="VQU97" s="19"/>
      <c r="VQV97" s="20"/>
      <c r="VQW97" s="19"/>
      <c r="VQY97" s="114"/>
      <c r="VQZ97" s="114"/>
      <c r="VRA97" s="114"/>
      <c r="VRB97" s="114"/>
      <c r="VRD97" s="18"/>
      <c r="VRR97" s="21"/>
      <c r="VRS97" s="21"/>
      <c r="VRT97" s="19"/>
      <c r="VRU97" s="20"/>
      <c r="VRV97" s="19"/>
      <c r="VRX97" s="114"/>
      <c r="VRY97" s="114"/>
      <c r="VRZ97" s="114"/>
      <c r="VSA97" s="114"/>
      <c r="VSC97" s="18"/>
      <c r="VSQ97" s="21"/>
      <c r="VSR97" s="21"/>
      <c r="VSS97" s="19"/>
      <c r="VST97" s="20"/>
      <c r="VSU97" s="19"/>
      <c r="VSW97" s="114"/>
      <c r="VSX97" s="114"/>
      <c r="VSY97" s="114"/>
      <c r="VSZ97" s="114"/>
      <c r="VTB97" s="18"/>
      <c r="VTP97" s="21"/>
      <c r="VTQ97" s="21"/>
      <c r="VTR97" s="19"/>
      <c r="VTS97" s="20"/>
      <c r="VTT97" s="19"/>
      <c r="VTV97" s="114"/>
      <c r="VTW97" s="114"/>
      <c r="VTX97" s="114"/>
      <c r="VTY97" s="114"/>
      <c r="VUA97" s="18"/>
      <c r="VUO97" s="21"/>
      <c r="VUP97" s="21"/>
      <c r="VUQ97" s="19"/>
      <c r="VUR97" s="20"/>
      <c r="VUS97" s="19"/>
      <c r="VUU97" s="114"/>
      <c r="VUV97" s="114"/>
      <c r="VUW97" s="114"/>
      <c r="VUX97" s="114"/>
      <c r="VUZ97" s="18"/>
      <c r="VVN97" s="21"/>
      <c r="VVO97" s="21"/>
      <c r="VVP97" s="19"/>
      <c r="VVQ97" s="20"/>
      <c r="VVR97" s="19"/>
      <c r="VVT97" s="114"/>
      <c r="VVU97" s="114"/>
      <c r="VVV97" s="114"/>
      <c r="VVW97" s="114"/>
      <c r="VVY97" s="18"/>
      <c r="VWM97" s="21"/>
      <c r="VWN97" s="21"/>
      <c r="VWO97" s="19"/>
      <c r="VWP97" s="20"/>
      <c r="VWQ97" s="19"/>
      <c r="VWS97" s="114"/>
      <c r="VWT97" s="114"/>
      <c r="VWU97" s="114"/>
      <c r="VWV97" s="114"/>
      <c r="VWX97" s="18"/>
      <c r="VXL97" s="21"/>
      <c r="VXM97" s="21"/>
      <c r="VXN97" s="19"/>
      <c r="VXO97" s="20"/>
      <c r="VXP97" s="19"/>
      <c r="VXR97" s="114"/>
      <c r="VXS97" s="114"/>
      <c r="VXT97" s="114"/>
      <c r="VXU97" s="114"/>
      <c r="VXW97" s="18"/>
      <c r="VYK97" s="21"/>
      <c r="VYL97" s="21"/>
      <c r="VYM97" s="19"/>
      <c r="VYN97" s="20"/>
      <c r="VYO97" s="19"/>
      <c r="VYQ97" s="114"/>
      <c r="VYR97" s="114"/>
      <c r="VYS97" s="114"/>
      <c r="VYT97" s="114"/>
      <c r="VYV97" s="18"/>
      <c r="VZJ97" s="21"/>
      <c r="VZK97" s="21"/>
      <c r="VZL97" s="19"/>
      <c r="VZM97" s="20"/>
      <c r="VZN97" s="19"/>
      <c r="VZP97" s="114"/>
      <c r="VZQ97" s="114"/>
      <c r="VZR97" s="114"/>
      <c r="VZS97" s="114"/>
      <c r="VZU97" s="18"/>
      <c r="WAI97" s="21"/>
      <c r="WAJ97" s="21"/>
      <c r="WAK97" s="19"/>
      <c r="WAL97" s="20"/>
      <c r="WAM97" s="19"/>
      <c r="WAO97" s="114"/>
      <c r="WAP97" s="114"/>
      <c r="WAQ97" s="114"/>
      <c r="WAR97" s="114"/>
      <c r="WAT97" s="18"/>
      <c r="WBH97" s="21"/>
      <c r="WBI97" s="21"/>
      <c r="WBJ97" s="19"/>
      <c r="WBK97" s="20"/>
      <c r="WBL97" s="19"/>
      <c r="WBN97" s="114"/>
      <c r="WBO97" s="114"/>
      <c r="WBP97" s="114"/>
      <c r="WBQ97" s="114"/>
      <c r="WBS97" s="18"/>
      <c r="WCG97" s="21"/>
      <c r="WCH97" s="21"/>
      <c r="WCI97" s="19"/>
      <c r="WCJ97" s="20"/>
      <c r="WCK97" s="19"/>
      <c r="WCM97" s="114"/>
      <c r="WCN97" s="114"/>
      <c r="WCO97" s="114"/>
      <c r="WCP97" s="114"/>
      <c r="WCR97" s="18"/>
      <c r="WDF97" s="21"/>
      <c r="WDG97" s="21"/>
      <c r="WDH97" s="19"/>
      <c r="WDI97" s="20"/>
      <c r="WDJ97" s="19"/>
      <c r="WDL97" s="114"/>
      <c r="WDM97" s="114"/>
      <c r="WDN97" s="114"/>
      <c r="WDO97" s="114"/>
      <c r="WDQ97" s="18"/>
      <c r="WEE97" s="21"/>
      <c r="WEF97" s="21"/>
      <c r="WEG97" s="19"/>
      <c r="WEH97" s="20"/>
      <c r="WEI97" s="19"/>
      <c r="WEK97" s="114"/>
      <c r="WEL97" s="114"/>
      <c r="WEM97" s="114"/>
      <c r="WEN97" s="114"/>
      <c r="WEP97" s="18"/>
      <c r="WFD97" s="21"/>
      <c r="WFE97" s="21"/>
      <c r="WFF97" s="19"/>
      <c r="WFG97" s="20"/>
      <c r="WFH97" s="19"/>
      <c r="WFJ97" s="114"/>
      <c r="WFK97" s="114"/>
      <c r="WFL97" s="114"/>
      <c r="WFM97" s="114"/>
      <c r="WFO97" s="18"/>
      <c r="WGC97" s="21"/>
      <c r="WGD97" s="21"/>
      <c r="WGE97" s="19"/>
      <c r="WGF97" s="20"/>
      <c r="WGG97" s="19"/>
      <c r="WGI97" s="114"/>
      <c r="WGJ97" s="114"/>
      <c r="WGK97" s="114"/>
      <c r="WGL97" s="114"/>
      <c r="WGN97" s="18"/>
      <c r="WHB97" s="21"/>
      <c r="WHC97" s="21"/>
      <c r="WHD97" s="19"/>
      <c r="WHE97" s="20"/>
      <c r="WHF97" s="19"/>
      <c r="WHH97" s="114"/>
      <c r="WHI97" s="114"/>
      <c r="WHJ97" s="114"/>
      <c r="WHK97" s="114"/>
      <c r="WHM97" s="18"/>
      <c r="WIA97" s="21"/>
      <c r="WIB97" s="21"/>
      <c r="WIC97" s="19"/>
      <c r="WID97" s="20"/>
      <c r="WIE97" s="19"/>
      <c r="WIG97" s="114"/>
      <c r="WIH97" s="114"/>
      <c r="WII97" s="114"/>
      <c r="WIJ97" s="114"/>
      <c r="WIL97" s="18"/>
      <c r="WIZ97" s="21"/>
      <c r="WJA97" s="21"/>
      <c r="WJB97" s="19"/>
      <c r="WJC97" s="20"/>
      <c r="WJD97" s="19"/>
      <c r="WJF97" s="114"/>
      <c r="WJG97" s="114"/>
      <c r="WJH97" s="114"/>
      <c r="WJI97" s="114"/>
      <c r="WJK97" s="18"/>
      <c r="WJY97" s="21"/>
      <c r="WJZ97" s="21"/>
      <c r="WKA97" s="19"/>
      <c r="WKB97" s="20"/>
      <c r="WKC97" s="19"/>
      <c r="WKE97" s="114"/>
      <c r="WKF97" s="114"/>
      <c r="WKG97" s="114"/>
      <c r="WKH97" s="114"/>
      <c r="WKJ97" s="18"/>
      <c r="WKX97" s="21"/>
      <c r="WKY97" s="21"/>
      <c r="WKZ97" s="19"/>
      <c r="WLA97" s="20"/>
      <c r="WLB97" s="19"/>
      <c r="WLD97" s="114"/>
      <c r="WLE97" s="114"/>
      <c r="WLF97" s="114"/>
      <c r="WLG97" s="114"/>
      <c r="WLI97" s="18"/>
      <c r="WLW97" s="21"/>
      <c r="WLX97" s="21"/>
      <c r="WLY97" s="19"/>
      <c r="WLZ97" s="20"/>
      <c r="WMA97" s="19"/>
      <c r="WMC97" s="114"/>
      <c r="WMD97" s="114"/>
      <c r="WME97" s="114"/>
      <c r="WMF97" s="114"/>
      <c r="WMH97" s="18"/>
      <c r="WMV97" s="21"/>
      <c r="WMW97" s="21"/>
      <c r="WMX97" s="19"/>
      <c r="WMY97" s="20"/>
      <c r="WMZ97" s="19"/>
      <c r="WNB97" s="114"/>
      <c r="WNC97" s="114"/>
      <c r="WND97" s="114"/>
      <c r="WNE97" s="114"/>
      <c r="WNG97" s="18"/>
      <c r="WNU97" s="21"/>
      <c r="WNV97" s="21"/>
      <c r="WNW97" s="19"/>
      <c r="WNX97" s="20"/>
      <c r="WNY97" s="19"/>
      <c r="WOA97" s="114"/>
      <c r="WOB97" s="114"/>
      <c r="WOC97" s="114"/>
      <c r="WOD97" s="114"/>
      <c r="WOF97" s="18"/>
      <c r="WOT97" s="21"/>
      <c r="WOU97" s="21"/>
      <c r="WOV97" s="19"/>
      <c r="WOW97" s="20"/>
      <c r="WOX97" s="19"/>
      <c r="WOZ97" s="114"/>
      <c r="WPA97" s="114"/>
      <c r="WPB97" s="114"/>
      <c r="WPC97" s="114"/>
      <c r="WPE97" s="18"/>
      <c r="WPS97" s="21"/>
      <c r="WPT97" s="21"/>
      <c r="WPU97" s="19"/>
      <c r="WPV97" s="20"/>
      <c r="WPW97" s="19"/>
      <c r="WPY97" s="114"/>
      <c r="WPZ97" s="114"/>
      <c r="WQA97" s="114"/>
      <c r="WQB97" s="114"/>
      <c r="WQD97" s="18"/>
      <c r="WQR97" s="21"/>
      <c r="WQS97" s="21"/>
      <c r="WQT97" s="19"/>
      <c r="WQU97" s="20"/>
      <c r="WQV97" s="19"/>
      <c r="WQX97" s="114"/>
      <c r="WQY97" s="114"/>
      <c r="WQZ97" s="114"/>
      <c r="WRA97" s="114"/>
      <c r="WRC97" s="18"/>
      <c r="WRQ97" s="21"/>
      <c r="WRR97" s="21"/>
      <c r="WRS97" s="19"/>
      <c r="WRT97" s="20"/>
      <c r="WRU97" s="19"/>
      <c r="WRW97" s="114"/>
      <c r="WRX97" s="114"/>
      <c r="WRY97" s="114"/>
      <c r="WRZ97" s="114"/>
      <c r="WSB97" s="18"/>
      <c r="WSP97" s="21"/>
      <c r="WSQ97" s="21"/>
      <c r="WSR97" s="19"/>
      <c r="WSS97" s="20"/>
      <c r="WST97" s="19"/>
      <c r="WSV97" s="114"/>
      <c r="WSW97" s="114"/>
      <c r="WSX97" s="114"/>
      <c r="WSY97" s="114"/>
      <c r="WTA97" s="18"/>
      <c r="WTO97" s="21"/>
      <c r="WTP97" s="21"/>
      <c r="WTQ97" s="19"/>
      <c r="WTR97" s="20"/>
      <c r="WTS97" s="19"/>
      <c r="WTU97" s="114"/>
      <c r="WTV97" s="114"/>
      <c r="WTW97" s="114"/>
      <c r="WTX97" s="114"/>
      <c r="WTZ97" s="18"/>
      <c r="WUN97" s="21"/>
      <c r="WUO97" s="21"/>
      <c r="WUP97" s="19"/>
      <c r="WUQ97" s="20"/>
      <c r="WUR97" s="19"/>
      <c r="WUT97" s="114"/>
      <c r="WUU97" s="114"/>
      <c r="WUV97" s="114"/>
      <c r="WUW97" s="114"/>
      <c r="WUY97" s="18"/>
      <c r="WVM97" s="21"/>
      <c r="WVN97" s="21"/>
      <c r="WVO97" s="19"/>
      <c r="WVP97" s="20"/>
      <c r="WVQ97" s="19"/>
      <c r="WVS97" s="114"/>
      <c r="WVT97" s="114"/>
      <c r="WVU97" s="114"/>
      <c r="WVV97" s="114"/>
      <c r="WVX97" s="18"/>
      <c r="WWL97" s="21"/>
      <c r="WWM97" s="21"/>
      <c r="WWN97" s="19"/>
      <c r="WWO97" s="20"/>
      <c r="WWP97" s="19"/>
      <c r="WWR97" s="114"/>
      <c r="WWS97" s="114"/>
      <c r="WWT97" s="114"/>
      <c r="WWU97" s="114"/>
      <c r="WWW97" s="18"/>
      <c r="WXK97" s="21"/>
      <c r="WXL97" s="21"/>
      <c r="WXM97" s="19"/>
      <c r="WXN97" s="20"/>
      <c r="WXO97" s="19"/>
      <c r="WXQ97" s="114"/>
      <c r="WXR97" s="114"/>
      <c r="WXS97" s="114"/>
      <c r="WXT97" s="114"/>
      <c r="WXV97" s="18"/>
      <c r="WYJ97" s="21"/>
      <c r="WYK97" s="21"/>
      <c r="WYL97" s="19"/>
      <c r="WYM97" s="20"/>
      <c r="WYN97" s="19"/>
      <c r="WYP97" s="114"/>
      <c r="WYQ97" s="114"/>
      <c r="WYR97" s="114"/>
      <c r="WYS97" s="114"/>
      <c r="WYU97" s="18"/>
      <c r="WZI97" s="21"/>
      <c r="WZJ97" s="21"/>
      <c r="WZK97" s="19"/>
      <c r="WZL97" s="20"/>
      <c r="WZM97" s="19"/>
      <c r="WZO97" s="114"/>
      <c r="WZP97" s="114"/>
      <c r="WZQ97" s="114"/>
      <c r="WZR97" s="114"/>
      <c r="WZT97" s="18"/>
      <c r="XAH97" s="21"/>
      <c r="XAI97" s="21"/>
      <c r="XAJ97" s="19"/>
      <c r="XAK97" s="20"/>
      <c r="XAL97" s="19"/>
      <c r="XAN97" s="114"/>
      <c r="XAO97" s="114"/>
      <c r="XAP97" s="114"/>
      <c r="XAQ97" s="114"/>
      <c r="XAS97" s="18"/>
      <c r="XBG97" s="21"/>
      <c r="XBH97" s="21"/>
      <c r="XBI97" s="19"/>
      <c r="XBJ97" s="20"/>
      <c r="XBK97" s="19"/>
      <c r="XBM97" s="114"/>
      <c r="XBN97" s="114"/>
      <c r="XBO97" s="114"/>
      <c r="XBP97" s="114"/>
      <c r="XBR97" s="18"/>
      <c r="XCF97" s="21"/>
      <c r="XCG97" s="21"/>
      <c r="XCH97" s="19"/>
      <c r="XCI97" s="20"/>
      <c r="XCJ97" s="19"/>
      <c r="XCL97" s="114"/>
      <c r="XCM97" s="114"/>
      <c r="XCN97" s="114"/>
      <c r="XCO97" s="114"/>
      <c r="XCQ97" s="18"/>
      <c r="XDE97" s="21"/>
      <c r="XDF97" s="21"/>
      <c r="XDG97" s="19"/>
      <c r="XDH97" s="20"/>
      <c r="XDI97" s="19"/>
      <c r="XDK97" s="114"/>
      <c r="XDL97" s="114"/>
      <c r="XDM97" s="114"/>
      <c r="XDN97" s="114"/>
      <c r="XDP97" s="18"/>
      <c r="XED97" s="21"/>
      <c r="XEE97" s="21"/>
      <c r="XEF97" s="19"/>
      <c r="XEG97" s="20"/>
      <c r="XEH97" s="19"/>
      <c r="XEJ97" s="114"/>
      <c r="XEK97" s="114"/>
      <c r="XEL97" s="114"/>
      <c r="XEM97" s="114"/>
      <c r="XEO97" s="18"/>
    </row>
    <row r="98" spans="1:1019 1033:2044 2058:3069 3083:4094 4108:5119 5133:6144 6158:7167 7169:8192 8194:12287 12289:13312 13314:16369" s="31" customFormat="1" ht="24" customHeight="1" x14ac:dyDescent="0.35">
      <c r="A98" s="32" t="s">
        <v>83</v>
      </c>
      <c r="B98" s="32" t="s">
        <v>76</v>
      </c>
      <c r="C98" s="32" t="s">
        <v>3</v>
      </c>
      <c r="D98" s="32" t="s">
        <v>2</v>
      </c>
      <c r="E98" s="24"/>
      <c r="F98" s="22" t="s">
        <v>159</v>
      </c>
      <c r="G98" s="24"/>
      <c r="H98" s="27">
        <v>23</v>
      </c>
      <c r="I98" s="24"/>
      <c r="J98" s="26" t="s">
        <v>82</v>
      </c>
      <c r="K98" s="26"/>
      <c r="L98" s="111">
        <v>4</v>
      </c>
      <c r="M98" s="111" t="s">
        <v>145</v>
      </c>
      <c r="N98" s="22"/>
      <c r="O98" s="22"/>
      <c r="P98" s="24"/>
      <c r="Q98" s="24"/>
      <c r="R98" s="24"/>
      <c r="S98" s="24"/>
      <c r="T98" s="22"/>
      <c r="U98" s="22"/>
      <c r="V98" s="25" t="s">
        <v>81</v>
      </c>
      <c r="W98" s="24"/>
      <c r="X98" s="24" t="s">
        <v>284</v>
      </c>
      <c r="Y98" s="24"/>
      <c r="Z98" s="24"/>
      <c r="AA98" s="24"/>
      <c r="AB98" s="24"/>
      <c r="AC98" s="24"/>
    </row>
    <row r="99" spans="1:1019 1033:2044 2058:3069 3083:4094 4108:5119 5133:6144 6158:7167 7169:8192 8194:12287 12289:13312 13314:16369" x14ac:dyDescent="0.4">
      <c r="A99" s="3"/>
      <c r="B99" s="3"/>
      <c r="C99" s="3"/>
      <c r="D99" s="3"/>
      <c r="E99" s="3"/>
      <c r="F99" s="40"/>
      <c r="G99" s="3"/>
      <c r="H99" s="3"/>
      <c r="I99" s="3"/>
      <c r="J99" s="3"/>
      <c r="K99" s="3"/>
      <c r="L99" s="112"/>
      <c r="M99" s="112"/>
      <c r="N99" s="3"/>
      <c r="O99" s="3"/>
      <c r="P99" s="3"/>
      <c r="Q99" s="3"/>
      <c r="R99" s="3"/>
      <c r="S99" s="3"/>
      <c r="T99" s="3"/>
      <c r="U99" s="3"/>
      <c r="V99" s="3"/>
      <c r="W99" s="3"/>
      <c r="X99" s="40"/>
      <c r="Y99" s="3"/>
      <c r="Z99" s="3"/>
      <c r="AA99" s="3"/>
      <c r="AB99" s="3"/>
      <c r="AC99" s="3"/>
    </row>
    <row r="100" spans="1:1019 1033:2044 2058:3069 3083:4094 4108:5119 5133:6144 6158:7167 7169:8192 8194:12287 12289:13312 13314:16369" s="2" customFormat="1" ht="28" customHeight="1" x14ac:dyDescent="0.35">
      <c r="A100" s="4" t="s">
        <v>5</v>
      </c>
      <c r="B100" s="4" t="s">
        <v>4</v>
      </c>
      <c r="C100" s="4" t="s">
        <v>3</v>
      </c>
      <c r="D100" s="4" t="s">
        <v>2</v>
      </c>
      <c r="E100" s="6"/>
      <c r="F100" s="40" t="s">
        <v>157</v>
      </c>
      <c r="G100" s="6"/>
      <c r="H100" s="4">
        <v>1</v>
      </c>
      <c r="I100" s="6"/>
      <c r="J100" s="8" t="s">
        <v>7</v>
      </c>
      <c r="K100" s="8" t="s">
        <v>7</v>
      </c>
      <c r="L100" s="111">
        <v>3</v>
      </c>
      <c r="M100" s="111" t="s">
        <v>145</v>
      </c>
      <c r="N100" s="6"/>
      <c r="O100" s="6"/>
      <c r="P100" s="6"/>
      <c r="Q100" s="6"/>
      <c r="R100" s="6"/>
      <c r="S100" s="6"/>
      <c r="T100" s="6">
        <v>20000</v>
      </c>
      <c r="U100" s="57"/>
      <c r="V100" s="7" t="s">
        <v>0</v>
      </c>
      <c r="W100" s="6"/>
      <c r="X100" s="6" t="s">
        <v>285</v>
      </c>
      <c r="Y100" s="6"/>
      <c r="Z100" s="6"/>
      <c r="AA100" s="6"/>
      <c r="AB100" s="6"/>
      <c r="AC100" s="6"/>
    </row>
    <row r="101" spans="1:1019 1033:2044 2058:3069 3083:4094 4108:5119 5133:6144 6158:7167 7169:8192 8194:12287 12289:13312 13314:16369" s="2" customFormat="1" ht="28" customHeight="1" x14ac:dyDescent="0.35">
      <c r="A101" s="4" t="s">
        <v>5</v>
      </c>
      <c r="B101" s="4" t="s">
        <v>4</v>
      </c>
      <c r="C101" s="4" t="s">
        <v>3</v>
      </c>
      <c r="D101" s="4" t="s">
        <v>2</v>
      </c>
      <c r="E101" s="6"/>
      <c r="F101" s="40" t="s">
        <v>157</v>
      </c>
      <c r="G101" s="6"/>
      <c r="H101" s="4">
        <v>1</v>
      </c>
      <c r="I101" s="6"/>
      <c r="J101" s="8" t="s">
        <v>6</v>
      </c>
      <c r="K101" s="8" t="s">
        <v>6</v>
      </c>
      <c r="L101" s="111">
        <v>1</v>
      </c>
      <c r="M101" s="111" t="s">
        <v>145</v>
      </c>
      <c r="N101" s="6"/>
      <c r="O101" s="6"/>
      <c r="P101" s="6"/>
      <c r="Q101" s="6"/>
      <c r="R101" s="6"/>
      <c r="S101" s="6"/>
      <c r="T101" s="6">
        <v>35000</v>
      </c>
      <c r="U101" s="57"/>
      <c r="V101" s="7" t="s">
        <v>0</v>
      </c>
      <c r="W101" s="6"/>
      <c r="X101" s="6" t="s">
        <v>286</v>
      </c>
      <c r="Y101" s="6"/>
      <c r="Z101" s="6"/>
      <c r="AA101" s="6"/>
      <c r="AB101" s="6"/>
      <c r="AC101" s="6"/>
    </row>
    <row r="102" spans="1:1019 1033:2044 2058:3069 3083:4094 4108:5119 5133:6144 6158:7167 7169:8192 8194:12287 12289:13312 13314:16369" s="2" customFormat="1" ht="28" customHeight="1" x14ac:dyDescent="0.35">
      <c r="A102" s="4" t="s">
        <v>5</v>
      </c>
      <c r="B102" s="4" t="s">
        <v>4</v>
      </c>
      <c r="C102" s="4" t="s">
        <v>3</v>
      </c>
      <c r="D102" s="4" t="s">
        <v>2</v>
      </c>
      <c r="E102" s="6"/>
      <c r="F102" s="40" t="s">
        <v>157</v>
      </c>
      <c r="G102" s="6"/>
      <c r="H102" s="4">
        <v>1</v>
      </c>
      <c r="I102" s="6"/>
      <c r="J102" s="8" t="s">
        <v>1</v>
      </c>
      <c r="K102" s="8" t="s">
        <v>1</v>
      </c>
      <c r="L102" s="111">
        <v>1</v>
      </c>
      <c r="M102" s="111" t="s">
        <v>145</v>
      </c>
      <c r="N102" s="6"/>
      <c r="O102" s="6"/>
      <c r="P102" s="6">
        <v>10000</v>
      </c>
      <c r="Q102" s="6">
        <v>11000</v>
      </c>
      <c r="R102" s="6">
        <v>2200</v>
      </c>
      <c r="S102" s="6">
        <v>2300</v>
      </c>
      <c r="T102" s="6">
        <v>10000</v>
      </c>
      <c r="U102" s="4">
        <v>11</v>
      </c>
      <c r="V102" s="7" t="s">
        <v>0</v>
      </c>
      <c r="W102" s="6"/>
      <c r="X102" s="6" t="s">
        <v>287</v>
      </c>
      <c r="Y102" s="6"/>
      <c r="Z102" s="6"/>
      <c r="AA102" s="6"/>
      <c r="AB102" s="6"/>
      <c r="AC102" s="6"/>
    </row>
  </sheetData>
  <protectedRanges>
    <protectedRange algorithmName="SHA-512" hashValue="K4+4yZd0RhXEtsHfj98TrL7ZtIuw2hOCcqpg8oENky7Mmtjd9zaW34H1PDuhYjlxkr5O4bRbzKoXgmdBlczw3g==" saltValue="hpRhFBnulTT3VeVePvCuUg==" spinCount="100000" sqref="U32 M30:O30 M35:O36 M94:O95 M98:O98 M9:O9 M32:O33 V28:V29 T32:T33 U9 V18:V23 U11:U12 E30:F30 E35:F36 U33:V33 V12 E32:F33 E98:F98 T98:W98 W32:W33 T94:W95 W27 T35:W36 T30:W30 E94:F95 J32:K32 J30:K30 J26:K27 J22:K23 T12 M18:O23 M25:O27 E25:F25 T25:V27 F26:F27 E26:E29 E12:F15 T13:V15 F16 V16 E16:E23 T16:U23 M11:O16" name="PROJE OFİSİ"/>
    <protectedRange algorithmName="SHA-512" hashValue="jEUMdggTDLQFCxrKCCnMQ/T2MzXSyHtOPtm/AhAFn9X9+Lfb50YZB4dmftFgWrdISbRTmnP2NTOH1Mzpn4HeBA==" saltValue="2NW3q98r4PgEjZ06GHzBJA==" spinCount="100000" sqref="J18:K21 J94:K94 J98:K98 J33:K33 J25:K25 J12:K16" name="SATINALMA_1_4"/>
    <protectedRange algorithmName="SHA-512" hashValue="K4+4yZd0RhXEtsHfj98TrL7ZtIuw2hOCcqpg8oENky7Mmtjd9zaW34H1PDuhYjlxkr5O4bRbzKoXgmdBlczw3g==" saltValue="hpRhFBnulTT3VeVePvCuUg==" spinCount="100000" sqref="W25:W26 L98 L30:L33 L35:L36 F2:F5 F7 F11 W9 V6 T2:T11 W18:W23 L94:L95 U7:W7 V8:V11 E2:E11 U2:W5 F9 J2:O5 J7:O7 J9:L9 J11:L11 L18:L23 L25:L27 W11:W16 L12:L16" name="PROJE OFİSİ_1"/>
    <protectedRange algorithmName="SHA-512" hashValue="jEUMdggTDLQFCxrKCCnMQ/T2MzXSyHtOPtm/AhAFn9X9+Lfb50YZB4dmftFgWrdISbRTmnP2NTOH1Mzpn4HeBA==" saltValue="2NW3q98r4PgEjZ06GHzBJA==" spinCount="100000" sqref="J35:K36 J95:K95" name="SATINALMA_1_4_3_1"/>
    <protectedRange algorithmName="SHA-512" hashValue="K4+4yZd0RhXEtsHfj98TrL7ZtIuw2hOCcqpg8oENky7Mmtjd9zaW34H1PDuhYjlxkr5O4bRbzKoXgmdBlczw3g==" saltValue="hpRhFBnulTT3VeVePvCuUg==" spinCount="100000" sqref="L40:L52 L86:O92 U82:U84 U79:V79 J53:L54 U40:U54 U80 U86:U92 V80:V93 L79:O84" name="PROJE OFİSİ_2"/>
    <protectedRange algorithmName="SHA-512" hashValue="jEUMdggTDLQFCxrKCCnMQ/T2MzXSyHtOPtm/AhAFn9X9+Lfb50YZB4dmftFgWrdISbRTmnP2NTOH1Mzpn4HeBA==" saltValue="2NW3q98r4PgEjZ06GHzBJA==" spinCount="100000" sqref="J40:K52 J92:K92 J83:K90 J79:K81" name="SATINALMA_1_4_1"/>
    <protectedRange algorithmName="SHA-512" hashValue="K4+4yZd0RhXEtsHfj98TrL7ZtIuw2hOCcqpg8oENky7Mmtjd9zaW34H1PDuhYjlxkr5O4bRbzKoXgmdBlczw3g==" saltValue="hpRhFBnulTT3VeVePvCuUg==" spinCount="100000" sqref="L85:O85 U85" name="PROJE OFİSİ_2_1"/>
    <protectedRange algorithmName="SHA-512" hashValue="K4+4yZd0RhXEtsHfj98TrL7ZtIuw2hOCcqpg8oENky7Mmtjd9zaW34H1PDuhYjlxkr5O4bRbzKoXgmdBlczw3g==" saltValue="hpRhFBnulTT3VeVePvCuUg==" spinCount="100000" sqref="V96 V34 L10:O10 L17:O17 V17 T34 L28:O29 L34:O34 T96 L24:O24 F28:F29 T28:U29 F34 T24:U24 L96:O96" name="PROJE OFİSİ_3"/>
    <protectedRange algorithmName="SHA-512" hashValue="jEUMdggTDLQFCxrKCCnMQ/T2MzXSyHtOPtm/AhAFn9X9+Lfb50YZB4dmftFgWrdISbRTmnP2NTOH1Mzpn4HeBA==" saltValue="2NW3q98r4PgEjZ06GHzBJA==" spinCount="100000" sqref="J10:K10 J28:K29 J17:K17 J34:K34 J24:K24 J96:K96" name="SATINALMA_1_4_2"/>
    <protectedRange algorithmName="SHA-512" hashValue="K4+4yZd0RhXEtsHfj98TrL7ZtIuw2hOCcqpg8oENky7Mmtjd9zaW34H1PDuhYjlxkr5O4bRbzKoXgmdBlczw3g==" saltValue="hpRhFBnulTT3VeVePvCuUg==" spinCount="100000" sqref="V24 F24 F96" name="PROJE OFİSİ_1_1"/>
  </protectedRanges>
  <mergeCells count="654">
    <mergeCell ref="AM97:AP97"/>
    <mergeCell ref="BL97:BO97"/>
    <mergeCell ref="CK97:CN97"/>
    <mergeCell ref="DJ97:DM97"/>
    <mergeCell ref="EI97:EL97"/>
    <mergeCell ref="FH97:FK97"/>
    <mergeCell ref="GG97:GJ97"/>
    <mergeCell ref="HF97:HI97"/>
    <mergeCell ref="IE97:IH97"/>
    <mergeCell ref="JD97:JG97"/>
    <mergeCell ref="KC97:KF97"/>
    <mergeCell ref="LB97:LE97"/>
    <mergeCell ref="MA97:MD97"/>
    <mergeCell ref="MZ97:NC97"/>
    <mergeCell ref="NY97:OB97"/>
    <mergeCell ref="OX97:PA97"/>
    <mergeCell ref="PW97:PZ97"/>
    <mergeCell ref="QV97:QY97"/>
    <mergeCell ref="RU97:RX97"/>
    <mergeCell ref="ST97:SW97"/>
    <mergeCell ref="TS97:TV97"/>
    <mergeCell ref="UR97:UU97"/>
    <mergeCell ref="VQ97:VT97"/>
    <mergeCell ref="WP97:WS97"/>
    <mergeCell ref="XO97:XR97"/>
    <mergeCell ref="YN97:YQ97"/>
    <mergeCell ref="ZM97:ZP97"/>
    <mergeCell ref="AAL97:AAO97"/>
    <mergeCell ref="ABK97:ABN97"/>
    <mergeCell ref="ACJ97:ACM97"/>
    <mergeCell ref="ADI97:ADL97"/>
    <mergeCell ref="AEH97:AEK97"/>
    <mergeCell ref="AFG97:AFJ97"/>
    <mergeCell ref="AGF97:AGI97"/>
    <mergeCell ref="AHE97:AHH97"/>
    <mergeCell ref="AID97:AIG97"/>
    <mergeCell ref="AJC97:AJF97"/>
    <mergeCell ref="AKB97:AKE97"/>
    <mergeCell ref="ALA97:ALD97"/>
    <mergeCell ref="ALZ97:AMC97"/>
    <mergeCell ref="AMY97:ANB97"/>
    <mergeCell ref="ANX97:AOA97"/>
    <mergeCell ref="AOW97:AOZ97"/>
    <mergeCell ref="APV97:APY97"/>
    <mergeCell ref="AQU97:AQX97"/>
    <mergeCell ref="ART97:ARW97"/>
    <mergeCell ref="ASS97:ASV97"/>
    <mergeCell ref="ATR97:ATU97"/>
    <mergeCell ref="AUQ97:AUT97"/>
    <mergeCell ref="AVP97:AVS97"/>
    <mergeCell ref="AWO97:AWR97"/>
    <mergeCell ref="AXN97:AXQ97"/>
    <mergeCell ref="AYM97:AYP97"/>
    <mergeCell ref="AZL97:AZO97"/>
    <mergeCell ref="BAK97:BAN97"/>
    <mergeCell ref="BBJ97:BBM97"/>
    <mergeCell ref="BCI97:BCL97"/>
    <mergeCell ref="BDH97:BDK97"/>
    <mergeCell ref="BEG97:BEJ97"/>
    <mergeCell ref="BFF97:BFI97"/>
    <mergeCell ref="BGE97:BGH97"/>
    <mergeCell ref="BHD97:BHG97"/>
    <mergeCell ref="BIC97:BIF97"/>
    <mergeCell ref="BJB97:BJE97"/>
    <mergeCell ref="BKA97:BKD97"/>
    <mergeCell ref="BKZ97:BLC97"/>
    <mergeCell ref="BLY97:BMB97"/>
    <mergeCell ref="BMX97:BNA97"/>
    <mergeCell ref="BNW97:BNZ97"/>
    <mergeCell ref="BOV97:BOY97"/>
    <mergeCell ref="BPU97:BPX97"/>
    <mergeCell ref="BQT97:BQW97"/>
    <mergeCell ref="BRS97:BRV97"/>
    <mergeCell ref="BSR97:BSU97"/>
    <mergeCell ref="BTQ97:BTT97"/>
    <mergeCell ref="BUP97:BUS97"/>
    <mergeCell ref="BVO97:BVR97"/>
    <mergeCell ref="BWN97:BWQ97"/>
    <mergeCell ref="BXM97:BXP97"/>
    <mergeCell ref="BYL97:BYO97"/>
    <mergeCell ref="BZK97:BZN97"/>
    <mergeCell ref="CAJ97:CAM97"/>
    <mergeCell ref="CBI97:CBL97"/>
    <mergeCell ref="CCH97:CCK97"/>
    <mergeCell ref="CDG97:CDJ97"/>
    <mergeCell ref="CEF97:CEI97"/>
    <mergeCell ref="CFE97:CFH97"/>
    <mergeCell ref="CGD97:CGG97"/>
    <mergeCell ref="CHC97:CHF97"/>
    <mergeCell ref="CIB97:CIE97"/>
    <mergeCell ref="CJA97:CJD97"/>
    <mergeCell ref="CJZ97:CKC97"/>
    <mergeCell ref="CKY97:CLB97"/>
    <mergeCell ref="CLX97:CMA97"/>
    <mergeCell ref="CMW97:CMZ97"/>
    <mergeCell ref="CNV97:CNY97"/>
    <mergeCell ref="COU97:COX97"/>
    <mergeCell ref="CPT97:CPW97"/>
    <mergeCell ref="CQS97:CQV97"/>
    <mergeCell ref="CRR97:CRU97"/>
    <mergeCell ref="CSQ97:CST97"/>
    <mergeCell ref="CTP97:CTS97"/>
    <mergeCell ref="CUO97:CUR97"/>
    <mergeCell ref="CVN97:CVQ97"/>
    <mergeCell ref="CWM97:CWP97"/>
    <mergeCell ref="CXL97:CXO97"/>
    <mergeCell ref="CYK97:CYN97"/>
    <mergeCell ref="CZJ97:CZM97"/>
    <mergeCell ref="DAI97:DAL97"/>
    <mergeCell ref="DBH97:DBK97"/>
    <mergeCell ref="DCG97:DCJ97"/>
    <mergeCell ref="DDF97:DDI97"/>
    <mergeCell ref="DEE97:DEH97"/>
    <mergeCell ref="DFD97:DFG97"/>
    <mergeCell ref="DGC97:DGF97"/>
    <mergeCell ref="DHB97:DHE97"/>
    <mergeCell ref="DIA97:DID97"/>
    <mergeCell ref="DIZ97:DJC97"/>
    <mergeCell ref="DJY97:DKB97"/>
    <mergeCell ref="DKX97:DLA97"/>
    <mergeCell ref="DLW97:DLZ97"/>
    <mergeCell ref="DMV97:DMY97"/>
    <mergeCell ref="DNU97:DNX97"/>
    <mergeCell ref="DOT97:DOW97"/>
    <mergeCell ref="DPS97:DPV97"/>
    <mergeCell ref="DQR97:DQU97"/>
    <mergeCell ref="DRQ97:DRT97"/>
    <mergeCell ref="DSP97:DSS97"/>
    <mergeCell ref="DTO97:DTR97"/>
    <mergeCell ref="DUN97:DUQ97"/>
    <mergeCell ref="DVM97:DVP97"/>
    <mergeCell ref="DWL97:DWO97"/>
    <mergeCell ref="DXK97:DXN97"/>
    <mergeCell ref="DYJ97:DYM97"/>
    <mergeCell ref="DZI97:DZL97"/>
    <mergeCell ref="EAH97:EAK97"/>
    <mergeCell ref="EBG97:EBJ97"/>
    <mergeCell ref="ECF97:ECI97"/>
    <mergeCell ref="EDE97:EDH97"/>
    <mergeCell ref="EED97:EEG97"/>
    <mergeCell ref="EFC97:EFF97"/>
    <mergeCell ref="EGB97:EGE97"/>
    <mergeCell ref="EHA97:EHD97"/>
    <mergeCell ref="EHZ97:EIC97"/>
    <mergeCell ref="EIY97:EJB97"/>
    <mergeCell ref="EJX97:EKA97"/>
    <mergeCell ref="EKW97:EKZ97"/>
    <mergeCell ref="ELV97:ELY97"/>
    <mergeCell ref="EMU97:EMX97"/>
    <mergeCell ref="ENT97:ENW97"/>
    <mergeCell ref="EOS97:EOV97"/>
    <mergeCell ref="EPR97:EPU97"/>
    <mergeCell ref="EQQ97:EQT97"/>
    <mergeCell ref="ERP97:ERS97"/>
    <mergeCell ref="ESO97:ESR97"/>
    <mergeCell ref="ETN97:ETQ97"/>
    <mergeCell ref="EUM97:EUP97"/>
    <mergeCell ref="EVL97:EVO97"/>
    <mergeCell ref="EWK97:EWN97"/>
    <mergeCell ref="EXJ97:EXM97"/>
    <mergeCell ref="EYI97:EYL97"/>
    <mergeCell ref="EZH97:EZK97"/>
    <mergeCell ref="FAG97:FAJ97"/>
    <mergeCell ref="FBF97:FBI97"/>
    <mergeCell ref="FCE97:FCH97"/>
    <mergeCell ref="FDD97:FDG97"/>
    <mergeCell ref="FEC97:FEF97"/>
    <mergeCell ref="FFB97:FFE97"/>
    <mergeCell ref="FGA97:FGD97"/>
    <mergeCell ref="FGZ97:FHC97"/>
    <mergeCell ref="FHY97:FIB97"/>
    <mergeCell ref="FIX97:FJA97"/>
    <mergeCell ref="FJW97:FJZ97"/>
    <mergeCell ref="FKV97:FKY97"/>
    <mergeCell ref="FLU97:FLX97"/>
    <mergeCell ref="FMT97:FMW97"/>
    <mergeCell ref="FNS97:FNV97"/>
    <mergeCell ref="FOR97:FOU97"/>
    <mergeCell ref="FPQ97:FPT97"/>
    <mergeCell ref="FQP97:FQS97"/>
    <mergeCell ref="FRO97:FRR97"/>
    <mergeCell ref="FSN97:FSQ97"/>
    <mergeCell ref="FTM97:FTP97"/>
    <mergeCell ref="FUL97:FUO97"/>
    <mergeCell ref="FVK97:FVN97"/>
    <mergeCell ref="FWJ97:FWM97"/>
    <mergeCell ref="FXI97:FXL97"/>
    <mergeCell ref="FYH97:FYK97"/>
    <mergeCell ref="FZG97:FZJ97"/>
    <mergeCell ref="GAF97:GAI97"/>
    <mergeCell ref="GBE97:GBH97"/>
    <mergeCell ref="GCD97:GCG97"/>
    <mergeCell ref="GDC97:GDF97"/>
    <mergeCell ref="GEB97:GEE97"/>
    <mergeCell ref="GFA97:GFD97"/>
    <mergeCell ref="GFZ97:GGC97"/>
    <mergeCell ref="GGY97:GHB97"/>
    <mergeCell ref="GHX97:GIA97"/>
    <mergeCell ref="GIW97:GIZ97"/>
    <mergeCell ref="GJV97:GJY97"/>
    <mergeCell ref="GKU97:GKX97"/>
    <mergeCell ref="GLT97:GLW97"/>
    <mergeCell ref="GMS97:GMV97"/>
    <mergeCell ref="GNR97:GNU97"/>
    <mergeCell ref="GOQ97:GOT97"/>
    <mergeCell ref="GPP97:GPS97"/>
    <mergeCell ref="GQO97:GQR97"/>
    <mergeCell ref="GRN97:GRQ97"/>
    <mergeCell ref="GSM97:GSP97"/>
    <mergeCell ref="GTL97:GTO97"/>
    <mergeCell ref="GUK97:GUN97"/>
    <mergeCell ref="GVJ97:GVM97"/>
    <mergeCell ref="GWI97:GWL97"/>
    <mergeCell ref="GXH97:GXK97"/>
    <mergeCell ref="GYG97:GYJ97"/>
    <mergeCell ref="GZF97:GZI97"/>
    <mergeCell ref="HAE97:HAH97"/>
    <mergeCell ref="HBD97:HBG97"/>
    <mergeCell ref="HCC97:HCF97"/>
    <mergeCell ref="HDB97:HDE97"/>
    <mergeCell ref="HEA97:HED97"/>
    <mergeCell ref="HEZ97:HFC97"/>
    <mergeCell ref="HFY97:HGB97"/>
    <mergeCell ref="HGX97:HHA97"/>
    <mergeCell ref="HHW97:HHZ97"/>
    <mergeCell ref="HIV97:HIY97"/>
    <mergeCell ref="HJU97:HJX97"/>
    <mergeCell ref="HKT97:HKW97"/>
    <mergeCell ref="HLS97:HLV97"/>
    <mergeCell ref="HMR97:HMU97"/>
    <mergeCell ref="HNQ97:HNT97"/>
    <mergeCell ref="HOP97:HOS97"/>
    <mergeCell ref="HPO97:HPR97"/>
    <mergeCell ref="HQN97:HQQ97"/>
    <mergeCell ref="HRM97:HRP97"/>
    <mergeCell ref="HSL97:HSO97"/>
    <mergeCell ref="HTK97:HTN97"/>
    <mergeCell ref="HUJ97:HUM97"/>
    <mergeCell ref="HVI97:HVL97"/>
    <mergeCell ref="HWH97:HWK97"/>
    <mergeCell ref="HXG97:HXJ97"/>
    <mergeCell ref="HYF97:HYI97"/>
    <mergeCell ref="HZE97:HZH97"/>
    <mergeCell ref="IAD97:IAG97"/>
    <mergeCell ref="IBC97:IBF97"/>
    <mergeCell ref="ICB97:ICE97"/>
    <mergeCell ref="IDA97:IDD97"/>
    <mergeCell ref="IDZ97:IEC97"/>
    <mergeCell ref="IEY97:IFB97"/>
    <mergeCell ref="IFX97:IGA97"/>
    <mergeCell ref="IGW97:IGZ97"/>
    <mergeCell ref="IHV97:IHY97"/>
    <mergeCell ref="IIU97:IIX97"/>
    <mergeCell ref="IJT97:IJW97"/>
    <mergeCell ref="IKS97:IKV97"/>
    <mergeCell ref="ILR97:ILU97"/>
    <mergeCell ref="IMQ97:IMT97"/>
    <mergeCell ref="INP97:INS97"/>
    <mergeCell ref="IOO97:IOR97"/>
    <mergeCell ref="IPN97:IPQ97"/>
    <mergeCell ref="IQM97:IQP97"/>
    <mergeCell ref="IRL97:IRO97"/>
    <mergeCell ref="ISK97:ISN97"/>
    <mergeCell ref="ITJ97:ITM97"/>
    <mergeCell ref="IUI97:IUL97"/>
    <mergeCell ref="IVH97:IVK97"/>
    <mergeCell ref="IWG97:IWJ97"/>
    <mergeCell ref="IXF97:IXI97"/>
    <mergeCell ref="IYE97:IYH97"/>
    <mergeCell ref="IZD97:IZG97"/>
    <mergeCell ref="JAC97:JAF97"/>
    <mergeCell ref="JBB97:JBE97"/>
    <mergeCell ref="JCA97:JCD97"/>
    <mergeCell ref="JCZ97:JDC97"/>
    <mergeCell ref="JDY97:JEB97"/>
    <mergeCell ref="JEX97:JFA97"/>
    <mergeCell ref="JFW97:JFZ97"/>
    <mergeCell ref="JGV97:JGY97"/>
    <mergeCell ref="JHU97:JHX97"/>
    <mergeCell ref="JIT97:JIW97"/>
    <mergeCell ref="JJS97:JJV97"/>
    <mergeCell ref="JKR97:JKU97"/>
    <mergeCell ref="JLQ97:JLT97"/>
    <mergeCell ref="JMP97:JMS97"/>
    <mergeCell ref="JNO97:JNR97"/>
    <mergeCell ref="JON97:JOQ97"/>
    <mergeCell ref="JPM97:JPP97"/>
    <mergeCell ref="JQL97:JQO97"/>
    <mergeCell ref="JRK97:JRN97"/>
    <mergeCell ref="JSJ97:JSM97"/>
    <mergeCell ref="JTI97:JTL97"/>
    <mergeCell ref="JUH97:JUK97"/>
    <mergeCell ref="JVG97:JVJ97"/>
    <mergeCell ref="JWF97:JWI97"/>
    <mergeCell ref="JXE97:JXH97"/>
    <mergeCell ref="JYD97:JYG97"/>
    <mergeCell ref="JZC97:JZF97"/>
    <mergeCell ref="KAB97:KAE97"/>
    <mergeCell ref="KBA97:KBD97"/>
    <mergeCell ref="KBZ97:KCC97"/>
    <mergeCell ref="KCY97:KDB97"/>
    <mergeCell ref="KDX97:KEA97"/>
    <mergeCell ref="KEW97:KEZ97"/>
    <mergeCell ref="KFV97:KFY97"/>
    <mergeCell ref="KGU97:KGX97"/>
    <mergeCell ref="KHT97:KHW97"/>
    <mergeCell ref="KIS97:KIV97"/>
    <mergeCell ref="KJR97:KJU97"/>
    <mergeCell ref="KKQ97:KKT97"/>
    <mergeCell ref="KLP97:KLS97"/>
    <mergeCell ref="KMO97:KMR97"/>
    <mergeCell ref="KNN97:KNQ97"/>
    <mergeCell ref="KOM97:KOP97"/>
    <mergeCell ref="KPL97:KPO97"/>
    <mergeCell ref="KQK97:KQN97"/>
    <mergeCell ref="KRJ97:KRM97"/>
    <mergeCell ref="KSI97:KSL97"/>
    <mergeCell ref="KTH97:KTK97"/>
    <mergeCell ref="KUG97:KUJ97"/>
    <mergeCell ref="KVF97:KVI97"/>
    <mergeCell ref="KWE97:KWH97"/>
    <mergeCell ref="KXD97:KXG97"/>
    <mergeCell ref="KYC97:KYF97"/>
    <mergeCell ref="KZB97:KZE97"/>
    <mergeCell ref="LAA97:LAD97"/>
    <mergeCell ref="LAZ97:LBC97"/>
    <mergeCell ref="LBY97:LCB97"/>
    <mergeCell ref="LCX97:LDA97"/>
    <mergeCell ref="LDW97:LDZ97"/>
    <mergeCell ref="LEV97:LEY97"/>
    <mergeCell ref="LFU97:LFX97"/>
    <mergeCell ref="LGT97:LGW97"/>
    <mergeCell ref="LHS97:LHV97"/>
    <mergeCell ref="LIR97:LIU97"/>
    <mergeCell ref="LJQ97:LJT97"/>
    <mergeCell ref="LKP97:LKS97"/>
    <mergeCell ref="LLO97:LLR97"/>
    <mergeCell ref="LMN97:LMQ97"/>
    <mergeCell ref="LNM97:LNP97"/>
    <mergeCell ref="LOL97:LOO97"/>
    <mergeCell ref="LPK97:LPN97"/>
    <mergeCell ref="LQJ97:LQM97"/>
    <mergeCell ref="LRI97:LRL97"/>
    <mergeCell ref="LSH97:LSK97"/>
    <mergeCell ref="LTG97:LTJ97"/>
    <mergeCell ref="LUF97:LUI97"/>
    <mergeCell ref="LVE97:LVH97"/>
    <mergeCell ref="LWD97:LWG97"/>
    <mergeCell ref="LXC97:LXF97"/>
    <mergeCell ref="LYB97:LYE97"/>
    <mergeCell ref="LZA97:LZD97"/>
    <mergeCell ref="LZZ97:MAC97"/>
    <mergeCell ref="MAY97:MBB97"/>
    <mergeCell ref="MBX97:MCA97"/>
    <mergeCell ref="MCW97:MCZ97"/>
    <mergeCell ref="MDV97:MDY97"/>
    <mergeCell ref="MEU97:MEX97"/>
    <mergeCell ref="MFT97:MFW97"/>
    <mergeCell ref="MGS97:MGV97"/>
    <mergeCell ref="MHR97:MHU97"/>
    <mergeCell ref="MIQ97:MIT97"/>
    <mergeCell ref="MJP97:MJS97"/>
    <mergeCell ref="MKO97:MKR97"/>
    <mergeCell ref="MLN97:MLQ97"/>
    <mergeCell ref="MMM97:MMP97"/>
    <mergeCell ref="MNL97:MNO97"/>
    <mergeCell ref="MOK97:MON97"/>
    <mergeCell ref="MPJ97:MPM97"/>
    <mergeCell ref="MQI97:MQL97"/>
    <mergeCell ref="MRH97:MRK97"/>
    <mergeCell ref="MSG97:MSJ97"/>
    <mergeCell ref="MTF97:MTI97"/>
    <mergeCell ref="MUE97:MUH97"/>
    <mergeCell ref="MVD97:MVG97"/>
    <mergeCell ref="MWC97:MWF97"/>
    <mergeCell ref="MXB97:MXE97"/>
    <mergeCell ref="MYA97:MYD97"/>
    <mergeCell ref="MYZ97:MZC97"/>
    <mergeCell ref="MZY97:NAB97"/>
    <mergeCell ref="NAX97:NBA97"/>
    <mergeCell ref="NBW97:NBZ97"/>
    <mergeCell ref="NCV97:NCY97"/>
    <mergeCell ref="NDU97:NDX97"/>
    <mergeCell ref="NET97:NEW97"/>
    <mergeCell ref="NFS97:NFV97"/>
    <mergeCell ref="NGR97:NGU97"/>
    <mergeCell ref="NHQ97:NHT97"/>
    <mergeCell ref="NIP97:NIS97"/>
    <mergeCell ref="NJO97:NJR97"/>
    <mergeCell ref="NKN97:NKQ97"/>
    <mergeCell ref="NLM97:NLP97"/>
    <mergeCell ref="NML97:NMO97"/>
    <mergeCell ref="NNK97:NNN97"/>
    <mergeCell ref="NOJ97:NOM97"/>
    <mergeCell ref="NPI97:NPL97"/>
    <mergeCell ref="NQH97:NQK97"/>
    <mergeCell ref="NRG97:NRJ97"/>
    <mergeCell ref="NSF97:NSI97"/>
    <mergeCell ref="NTE97:NTH97"/>
    <mergeCell ref="NUD97:NUG97"/>
    <mergeCell ref="NVC97:NVF97"/>
    <mergeCell ref="NWB97:NWE97"/>
    <mergeCell ref="NXA97:NXD97"/>
    <mergeCell ref="NXZ97:NYC97"/>
    <mergeCell ref="NYY97:NZB97"/>
    <mergeCell ref="NZX97:OAA97"/>
    <mergeCell ref="OAW97:OAZ97"/>
    <mergeCell ref="OBV97:OBY97"/>
    <mergeCell ref="OCU97:OCX97"/>
    <mergeCell ref="ODT97:ODW97"/>
    <mergeCell ref="OES97:OEV97"/>
    <mergeCell ref="OFR97:OFU97"/>
    <mergeCell ref="OGQ97:OGT97"/>
    <mergeCell ref="OHP97:OHS97"/>
    <mergeCell ref="OIO97:OIR97"/>
    <mergeCell ref="OJN97:OJQ97"/>
    <mergeCell ref="OKM97:OKP97"/>
    <mergeCell ref="OLL97:OLO97"/>
    <mergeCell ref="OMK97:OMN97"/>
    <mergeCell ref="ONJ97:ONM97"/>
    <mergeCell ref="OOI97:OOL97"/>
    <mergeCell ref="OPH97:OPK97"/>
    <mergeCell ref="OQG97:OQJ97"/>
    <mergeCell ref="ORF97:ORI97"/>
    <mergeCell ref="OSE97:OSH97"/>
    <mergeCell ref="OTD97:OTG97"/>
    <mergeCell ref="OUC97:OUF97"/>
    <mergeCell ref="OVB97:OVE97"/>
    <mergeCell ref="OWA97:OWD97"/>
    <mergeCell ref="OWZ97:OXC97"/>
    <mergeCell ref="OXY97:OYB97"/>
    <mergeCell ref="OYX97:OZA97"/>
    <mergeCell ref="OZW97:OZZ97"/>
    <mergeCell ref="PAV97:PAY97"/>
    <mergeCell ref="PBU97:PBX97"/>
    <mergeCell ref="PCT97:PCW97"/>
    <mergeCell ref="PDS97:PDV97"/>
    <mergeCell ref="PER97:PEU97"/>
    <mergeCell ref="PFQ97:PFT97"/>
    <mergeCell ref="PGP97:PGS97"/>
    <mergeCell ref="PHO97:PHR97"/>
    <mergeCell ref="PIN97:PIQ97"/>
    <mergeCell ref="PJM97:PJP97"/>
    <mergeCell ref="PKL97:PKO97"/>
    <mergeCell ref="PLK97:PLN97"/>
    <mergeCell ref="PMJ97:PMM97"/>
    <mergeCell ref="PNI97:PNL97"/>
    <mergeCell ref="POH97:POK97"/>
    <mergeCell ref="PPG97:PPJ97"/>
    <mergeCell ref="PQF97:PQI97"/>
    <mergeCell ref="PRE97:PRH97"/>
    <mergeCell ref="PSD97:PSG97"/>
    <mergeCell ref="PTC97:PTF97"/>
    <mergeCell ref="PUB97:PUE97"/>
    <mergeCell ref="PVA97:PVD97"/>
    <mergeCell ref="PVZ97:PWC97"/>
    <mergeCell ref="PWY97:PXB97"/>
    <mergeCell ref="PXX97:PYA97"/>
    <mergeCell ref="PYW97:PYZ97"/>
    <mergeCell ref="PZV97:PZY97"/>
    <mergeCell ref="QAU97:QAX97"/>
    <mergeCell ref="QBT97:QBW97"/>
    <mergeCell ref="QCS97:QCV97"/>
    <mergeCell ref="QDR97:QDU97"/>
    <mergeCell ref="QEQ97:QET97"/>
    <mergeCell ref="QFP97:QFS97"/>
    <mergeCell ref="QGO97:QGR97"/>
    <mergeCell ref="QHN97:QHQ97"/>
    <mergeCell ref="QIM97:QIP97"/>
    <mergeCell ref="QJL97:QJO97"/>
    <mergeCell ref="QKK97:QKN97"/>
    <mergeCell ref="QLJ97:QLM97"/>
    <mergeCell ref="QMI97:QML97"/>
    <mergeCell ref="QNH97:QNK97"/>
    <mergeCell ref="QOG97:QOJ97"/>
    <mergeCell ref="QPF97:QPI97"/>
    <mergeCell ref="QQE97:QQH97"/>
    <mergeCell ref="QRD97:QRG97"/>
    <mergeCell ref="QSC97:QSF97"/>
    <mergeCell ref="QTB97:QTE97"/>
    <mergeCell ref="QUA97:QUD97"/>
    <mergeCell ref="QUZ97:QVC97"/>
    <mergeCell ref="QVY97:QWB97"/>
    <mergeCell ref="QWX97:QXA97"/>
    <mergeCell ref="QXW97:QXZ97"/>
    <mergeCell ref="QYV97:QYY97"/>
    <mergeCell ref="QZU97:QZX97"/>
    <mergeCell ref="RAT97:RAW97"/>
    <mergeCell ref="RBS97:RBV97"/>
    <mergeCell ref="RCR97:RCU97"/>
    <mergeCell ref="RDQ97:RDT97"/>
    <mergeCell ref="REP97:RES97"/>
    <mergeCell ref="RFO97:RFR97"/>
    <mergeCell ref="RGN97:RGQ97"/>
    <mergeCell ref="RHM97:RHP97"/>
    <mergeCell ref="RIL97:RIO97"/>
    <mergeCell ref="RJK97:RJN97"/>
    <mergeCell ref="RKJ97:RKM97"/>
    <mergeCell ref="RLI97:RLL97"/>
    <mergeCell ref="RMH97:RMK97"/>
    <mergeCell ref="RNG97:RNJ97"/>
    <mergeCell ref="ROF97:ROI97"/>
    <mergeCell ref="RPE97:RPH97"/>
    <mergeCell ref="RQD97:RQG97"/>
    <mergeCell ref="RRC97:RRF97"/>
    <mergeCell ref="RSB97:RSE97"/>
    <mergeCell ref="RTA97:RTD97"/>
    <mergeCell ref="RTZ97:RUC97"/>
    <mergeCell ref="RUY97:RVB97"/>
    <mergeCell ref="RVX97:RWA97"/>
    <mergeCell ref="RWW97:RWZ97"/>
    <mergeCell ref="RXV97:RXY97"/>
    <mergeCell ref="RYU97:RYX97"/>
    <mergeCell ref="RZT97:RZW97"/>
    <mergeCell ref="SAS97:SAV97"/>
    <mergeCell ref="SBR97:SBU97"/>
    <mergeCell ref="SCQ97:SCT97"/>
    <mergeCell ref="SDP97:SDS97"/>
    <mergeCell ref="SEO97:SER97"/>
    <mergeCell ref="SFN97:SFQ97"/>
    <mergeCell ref="SGM97:SGP97"/>
    <mergeCell ref="SHL97:SHO97"/>
    <mergeCell ref="SIK97:SIN97"/>
    <mergeCell ref="SJJ97:SJM97"/>
    <mergeCell ref="SKI97:SKL97"/>
    <mergeCell ref="SLH97:SLK97"/>
    <mergeCell ref="SMG97:SMJ97"/>
    <mergeCell ref="SNF97:SNI97"/>
    <mergeCell ref="SOE97:SOH97"/>
    <mergeCell ref="SPD97:SPG97"/>
    <mergeCell ref="SQC97:SQF97"/>
    <mergeCell ref="SRB97:SRE97"/>
    <mergeCell ref="SSA97:SSD97"/>
    <mergeCell ref="SSZ97:STC97"/>
    <mergeCell ref="STY97:SUB97"/>
    <mergeCell ref="SUX97:SVA97"/>
    <mergeCell ref="SVW97:SVZ97"/>
    <mergeCell ref="SWV97:SWY97"/>
    <mergeCell ref="SXU97:SXX97"/>
    <mergeCell ref="SYT97:SYW97"/>
    <mergeCell ref="SZS97:SZV97"/>
    <mergeCell ref="TAR97:TAU97"/>
    <mergeCell ref="TBQ97:TBT97"/>
    <mergeCell ref="TCP97:TCS97"/>
    <mergeCell ref="TDO97:TDR97"/>
    <mergeCell ref="TEN97:TEQ97"/>
    <mergeCell ref="TFM97:TFP97"/>
    <mergeCell ref="TGL97:TGO97"/>
    <mergeCell ref="THK97:THN97"/>
    <mergeCell ref="TIJ97:TIM97"/>
    <mergeCell ref="TJI97:TJL97"/>
    <mergeCell ref="TKH97:TKK97"/>
    <mergeCell ref="TLG97:TLJ97"/>
    <mergeCell ref="TMF97:TMI97"/>
    <mergeCell ref="TNE97:TNH97"/>
    <mergeCell ref="TOD97:TOG97"/>
    <mergeCell ref="TPC97:TPF97"/>
    <mergeCell ref="TQB97:TQE97"/>
    <mergeCell ref="TRA97:TRD97"/>
    <mergeCell ref="TRZ97:TSC97"/>
    <mergeCell ref="TSY97:TTB97"/>
    <mergeCell ref="TTX97:TUA97"/>
    <mergeCell ref="TUW97:TUZ97"/>
    <mergeCell ref="TVV97:TVY97"/>
    <mergeCell ref="TWU97:TWX97"/>
    <mergeCell ref="TXT97:TXW97"/>
    <mergeCell ref="TYS97:TYV97"/>
    <mergeCell ref="TZR97:TZU97"/>
    <mergeCell ref="UAQ97:UAT97"/>
    <mergeCell ref="UBP97:UBS97"/>
    <mergeCell ref="UCO97:UCR97"/>
    <mergeCell ref="UDN97:UDQ97"/>
    <mergeCell ref="UEM97:UEP97"/>
    <mergeCell ref="UFL97:UFO97"/>
    <mergeCell ref="UGK97:UGN97"/>
    <mergeCell ref="UHJ97:UHM97"/>
    <mergeCell ref="UII97:UIL97"/>
    <mergeCell ref="UJH97:UJK97"/>
    <mergeCell ref="UKG97:UKJ97"/>
    <mergeCell ref="ULF97:ULI97"/>
    <mergeCell ref="UME97:UMH97"/>
    <mergeCell ref="UND97:UNG97"/>
    <mergeCell ref="UOC97:UOF97"/>
    <mergeCell ref="UPB97:UPE97"/>
    <mergeCell ref="UQA97:UQD97"/>
    <mergeCell ref="UQZ97:URC97"/>
    <mergeCell ref="URY97:USB97"/>
    <mergeCell ref="USX97:UTA97"/>
    <mergeCell ref="UTW97:UTZ97"/>
    <mergeCell ref="UUV97:UUY97"/>
    <mergeCell ref="UVU97:UVX97"/>
    <mergeCell ref="UWT97:UWW97"/>
    <mergeCell ref="UXS97:UXV97"/>
    <mergeCell ref="UYR97:UYU97"/>
    <mergeCell ref="UZQ97:UZT97"/>
    <mergeCell ref="VAP97:VAS97"/>
    <mergeCell ref="VBO97:VBR97"/>
    <mergeCell ref="VCN97:VCQ97"/>
    <mergeCell ref="VDM97:VDP97"/>
    <mergeCell ref="VEL97:VEO97"/>
    <mergeCell ref="VFK97:VFN97"/>
    <mergeCell ref="VGJ97:VGM97"/>
    <mergeCell ref="VHI97:VHL97"/>
    <mergeCell ref="VIH97:VIK97"/>
    <mergeCell ref="VJG97:VJJ97"/>
    <mergeCell ref="VKF97:VKI97"/>
    <mergeCell ref="VLE97:VLH97"/>
    <mergeCell ref="VMD97:VMG97"/>
    <mergeCell ref="VNC97:VNF97"/>
    <mergeCell ref="VOB97:VOE97"/>
    <mergeCell ref="VPA97:VPD97"/>
    <mergeCell ref="VPZ97:VQC97"/>
    <mergeCell ref="VQY97:VRB97"/>
    <mergeCell ref="VRX97:VSA97"/>
    <mergeCell ref="VSW97:VSZ97"/>
    <mergeCell ref="VTV97:VTY97"/>
    <mergeCell ref="VUU97:VUX97"/>
    <mergeCell ref="VVT97:VVW97"/>
    <mergeCell ref="VWS97:VWV97"/>
    <mergeCell ref="VXR97:VXU97"/>
    <mergeCell ref="VYQ97:VYT97"/>
    <mergeCell ref="VZP97:VZS97"/>
    <mergeCell ref="WAO97:WAR97"/>
    <mergeCell ref="WBN97:WBQ97"/>
    <mergeCell ref="WCM97:WCP97"/>
    <mergeCell ref="WDL97:WDO97"/>
    <mergeCell ref="WEK97:WEN97"/>
    <mergeCell ref="WFJ97:WFM97"/>
    <mergeCell ref="WGI97:WGL97"/>
    <mergeCell ref="WHH97:WHK97"/>
    <mergeCell ref="WIG97:WIJ97"/>
    <mergeCell ref="WJF97:WJI97"/>
    <mergeCell ref="WKE97:WKH97"/>
    <mergeCell ref="WLD97:WLG97"/>
    <mergeCell ref="WMC97:WMF97"/>
    <mergeCell ref="WNB97:WNE97"/>
    <mergeCell ref="WOA97:WOD97"/>
    <mergeCell ref="WOZ97:WPC97"/>
    <mergeCell ref="WPY97:WQB97"/>
    <mergeCell ref="WQX97:WRA97"/>
    <mergeCell ref="WRW97:WRZ97"/>
    <mergeCell ref="WSV97:WSY97"/>
    <mergeCell ref="WTU97:WTX97"/>
    <mergeCell ref="WUT97:WUW97"/>
    <mergeCell ref="XEJ97:XEM97"/>
    <mergeCell ref="WVS97:WVV97"/>
    <mergeCell ref="WWR97:WWU97"/>
    <mergeCell ref="WXQ97:WXT97"/>
    <mergeCell ref="WYP97:WYS97"/>
    <mergeCell ref="WZO97:WZR97"/>
    <mergeCell ref="XAN97:XAQ97"/>
    <mergeCell ref="XBM97:XBP97"/>
    <mergeCell ref="XCL97:XCO97"/>
    <mergeCell ref="XDK97:XDN97"/>
  </mergeCells>
  <phoneticPr fontId="13" type="noConversion"/>
  <pageMargins left="0.7" right="0.7" top="0.75" bottom="0.75" header="0.3" footer="0.3"/>
  <pageSetup paperSize="9" orientation="portrait" horizontalDpi="4294967293" r:id="rId1"/>
  <ignoredErrors>
    <ignoredError sqref="E2:E11 E25:E29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E132-BC25-4908-A8A5-DECF52AE3155}">
  <sheetPr>
    <tabColor theme="8" tint="0.79998168889431442"/>
  </sheetPr>
  <dimension ref="A1:P78"/>
  <sheetViews>
    <sheetView zoomScale="70" zoomScaleNormal="70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18.453125" style="66" customWidth="1"/>
    <col min="2" max="2" width="12.54296875" style="66" customWidth="1"/>
    <col min="3" max="3" width="27.6328125" style="66" customWidth="1"/>
    <col min="4" max="5" width="6.81640625" style="66" customWidth="1"/>
    <col min="6" max="6" width="18.54296875" style="66" customWidth="1"/>
    <col min="7" max="7" width="18.6328125" style="66" customWidth="1"/>
    <col min="8" max="8" width="26.08984375" style="66" hidden="1" customWidth="1"/>
    <col min="9" max="9" width="6.7265625" style="66" hidden="1" customWidth="1"/>
    <col min="10" max="10" width="24.453125" style="66" hidden="1" customWidth="1"/>
    <col min="11" max="11" width="0" style="66" hidden="1" customWidth="1"/>
    <col min="12" max="12" width="22.81640625" style="66" hidden="1" customWidth="1"/>
    <col min="13" max="13" width="0" style="66" hidden="1" customWidth="1"/>
    <col min="14" max="14" width="26" style="76" customWidth="1"/>
    <col min="15" max="15" width="21" style="76" customWidth="1"/>
    <col min="16" max="16" width="9.1796875" style="76" customWidth="1"/>
    <col min="17" max="16384" width="8.7265625" style="2"/>
  </cols>
  <sheetData>
    <row r="1" spans="1:16" ht="21" customHeight="1" x14ac:dyDescent="0.35">
      <c r="A1" s="63" t="s">
        <v>126</v>
      </c>
      <c r="B1" s="63" t="s">
        <v>208</v>
      </c>
      <c r="C1" s="63" t="s">
        <v>207</v>
      </c>
      <c r="D1" s="63" t="s">
        <v>132</v>
      </c>
      <c r="E1" s="63" t="s">
        <v>133</v>
      </c>
      <c r="F1" s="63" t="s">
        <v>134</v>
      </c>
      <c r="G1" s="63" t="s">
        <v>135</v>
      </c>
      <c r="H1" s="63" t="s">
        <v>206</v>
      </c>
      <c r="I1" s="70" t="s">
        <v>205</v>
      </c>
      <c r="J1" s="70" t="s">
        <v>204</v>
      </c>
      <c r="K1" s="70" t="s">
        <v>203</v>
      </c>
      <c r="L1" s="70" t="s">
        <v>202</v>
      </c>
      <c r="M1" s="70" t="s">
        <v>201</v>
      </c>
      <c r="N1" s="63" t="s">
        <v>234</v>
      </c>
      <c r="O1" s="63" t="s">
        <v>235</v>
      </c>
      <c r="P1" s="70" t="s">
        <v>200</v>
      </c>
    </row>
    <row r="2" spans="1:16" x14ac:dyDescent="0.35">
      <c r="A2" s="63" t="s">
        <v>217</v>
      </c>
      <c r="B2" s="63" t="s">
        <v>199</v>
      </c>
      <c r="C2" s="63" t="s">
        <v>236</v>
      </c>
      <c r="D2" s="63">
        <v>23</v>
      </c>
      <c r="E2" s="63" t="s">
        <v>145</v>
      </c>
      <c r="F2" s="68">
        <f>masterlist_log!P2</f>
        <v>1130.33</v>
      </c>
      <c r="G2" s="68">
        <f>D2*F2</f>
        <v>25997.589999999997</v>
      </c>
      <c r="H2" s="63"/>
      <c r="I2" s="64"/>
      <c r="J2" s="64"/>
      <c r="K2" s="64"/>
      <c r="L2" s="64"/>
      <c r="M2" s="64"/>
      <c r="N2" s="71">
        <f>G2</f>
        <v>25997.589999999997</v>
      </c>
      <c r="O2" s="71">
        <f>N2-26000</f>
        <v>-2.4100000000034925</v>
      </c>
      <c r="P2" s="70" t="s">
        <v>184</v>
      </c>
    </row>
    <row r="3" spans="1:16" x14ac:dyDescent="0.35">
      <c r="A3" s="63" t="s">
        <v>217</v>
      </c>
      <c r="B3" s="63" t="s">
        <v>198</v>
      </c>
      <c r="C3" s="63" t="s">
        <v>236</v>
      </c>
      <c r="D3" s="63">
        <v>23</v>
      </c>
      <c r="E3" s="63" t="s">
        <v>145</v>
      </c>
      <c r="F3" s="68">
        <f>masterlist_log!P2</f>
        <v>1130.33</v>
      </c>
      <c r="G3" s="68">
        <f t="shared" ref="G3:G38" si="0">D3*F3</f>
        <v>25997.589999999997</v>
      </c>
      <c r="H3" s="63"/>
      <c r="I3" s="64"/>
      <c r="J3" s="64"/>
      <c r="K3" s="64"/>
      <c r="L3" s="64"/>
      <c r="M3" s="64"/>
      <c r="N3" s="71">
        <f t="shared" ref="N3:N11" si="1">G3</f>
        <v>25997.589999999997</v>
      </c>
      <c r="O3" s="71">
        <f t="shared" ref="O3:O11" si="2">N3-26000</f>
        <v>-2.4100000000034925</v>
      </c>
      <c r="P3" s="70" t="s">
        <v>184</v>
      </c>
    </row>
    <row r="4" spans="1:16" x14ac:dyDescent="0.35">
      <c r="A4" s="63" t="s">
        <v>217</v>
      </c>
      <c r="B4" s="63" t="s">
        <v>197</v>
      </c>
      <c r="C4" s="63" t="s">
        <v>236</v>
      </c>
      <c r="D4" s="63">
        <v>23</v>
      </c>
      <c r="E4" s="63" t="s">
        <v>145</v>
      </c>
      <c r="F4" s="68">
        <f>masterlist_log!P2</f>
        <v>1130.33</v>
      </c>
      <c r="G4" s="68">
        <f t="shared" si="0"/>
        <v>25997.589999999997</v>
      </c>
      <c r="H4" s="63"/>
      <c r="I4" s="64"/>
      <c r="J4" s="64"/>
      <c r="K4" s="64"/>
      <c r="L4" s="64"/>
      <c r="M4" s="64"/>
      <c r="N4" s="71">
        <f t="shared" si="1"/>
        <v>25997.589999999997</v>
      </c>
      <c r="O4" s="71">
        <f t="shared" si="2"/>
        <v>-2.4100000000034925</v>
      </c>
      <c r="P4" s="70" t="s">
        <v>184</v>
      </c>
    </row>
    <row r="5" spans="1:16" x14ac:dyDescent="0.35">
      <c r="A5" s="63" t="s">
        <v>217</v>
      </c>
      <c r="B5" s="63" t="s">
        <v>196</v>
      </c>
      <c r="C5" s="63" t="s">
        <v>236</v>
      </c>
      <c r="D5" s="63">
        <v>23</v>
      </c>
      <c r="E5" s="63" t="s">
        <v>145</v>
      </c>
      <c r="F5" s="68">
        <f>masterlist_log!P2</f>
        <v>1130.33</v>
      </c>
      <c r="G5" s="68">
        <f t="shared" si="0"/>
        <v>25997.589999999997</v>
      </c>
      <c r="H5" s="63"/>
      <c r="I5" s="64"/>
      <c r="J5" s="64"/>
      <c r="K5" s="64"/>
      <c r="L5" s="64"/>
      <c r="M5" s="64"/>
      <c r="N5" s="71">
        <f t="shared" si="1"/>
        <v>25997.589999999997</v>
      </c>
      <c r="O5" s="71">
        <f t="shared" si="2"/>
        <v>-2.4100000000034925</v>
      </c>
      <c r="P5" s="70" t="s">
        <v>184</v>
      </c>
    </row>
    <row r="6" spans="1:16" x14ac:dyDescent="0.35">
      <c r="A6" s="63" t="s">
        <v>217</v>
      </c>
      <c r="B6" s="63" t="s">
        <v>195</v>
      </c>
      <c r="C6" s="63" t="s">
        <v>236</v>
      </c>
      <c r="D6" s="63">
        <v>23</v>
      </c>
      <c r="E6" s="63" t="s">
        <v>145</v>
      </c>
      <c r="F6" s="68">
        <f>masterlist_log!P2</f>
        <v>1130.33</v>
      </c>
      <c r="G6" s="68">
        <f t="shared" si="0"/>
        <v>25997.589999999997</v>
      </c>
      <c r="H6" s="63"/>
      <c r="I6" s="64"/>
      <c r="J6" s="64"/>
      <c r="K6" s="64"/>
      <c r="L6" s="64"/>
      <c r="M6" s="64"/>
      <c r="N6" s="71">
        <f t="shared" si="1"/>
        <v>25997.589999999997</v>
      </c>
      <c r="O6" s="71">
        <f t="shared" si="2"/>
        <v>-2.4100000000034925</v>
      </c>
      <c r="P6" s="70" t="s">
        <v>184</v>
      </c>
    </row>
    <row r="7" spans="1:16" x14ac:dyDescent="0.35">
      <c r="A7" s="63" t="s">
        <v>217</v>
      </c>
      <c r="B7" s="63" t="s">
        <v>194</v>
      </c>
      <c r="C7" s="63" t="s">
        <v>237</v>
      </c>
      <c r="D7" s="63">
        <v>32</v>
      </c>
      <c r="E7" s="63" t="s">
        <v>145</v>
      </c>
      <c r="F7" s="68">
        <f>masterlist_log!P4</f>
        <v>812.44</v>
      </c>
      <c r="G7" s="68">
        <f t="shared" si="0"/>
        <v>25998.080000000002</v>
      </c>
      <c r="H7" s="63"/>
      <c r="I7" s="64"/>
      <c r="J7" s="64"/>
      <c r="K7" s="64"/>
      <c r="L7" s="64"/>
      <c r="M7" s="64"/>
      <c r="N7" s="71">
        <f t="shared" si="1"/>
        <v>25998.080000000002</v>
      </c>
      <c r="O7" s="71">
        <f t="shared" si="2"/>
        <v>-1.9199999999982538</v>
      </c>
      <c r="P7" s="70" t="s">
        <v>184</v>
      </c>
    </row>
    <row r="8" spans="1:16" x14ac:dyDescent="0.35">
      <c r="A8" s="63" t="s">
        <v>217</v>
      </c>
      <c r="B8" s="63" t="s">
        <v>193</v>
      </c>
      <c r="C8" s="63" t="s">
        <v>237</v>
      </c>
      <c r="D8" s="63">
        <v>32</v>
      </c>
      <c r="E8" s="63" t="s">
        <v>145</v>
      </c>
      <c r="F8" s="68">
        <f>masterlist_log!P4</f>
        <v>812.44</v>
      </c>
      <c r="G8" s="68">
        <f t="shared" si="0"/>
        <v>25998.080000000002</v>
      </c>
      <c r="H8" s="63"/>
      <c r="I8" s="64"/>
      <c r="J8" s="64"/>
      <c r="K8" s="64"/>
      <c r="L8" s="64"/>
      <c r="M8" s="64"/>
      <c r="N8" s="71">
        <f t="shared" si="1"/>
        <v>25998.080000000002</v>
      </c>
      <c r="O8" s="71">
        <f t="shared" si="2"/>
        <v>-1.9199999999982538</v>
      </c>
      <c r="P8" s="70" t="s">
        <v>184</v>
      </c>
    </row>
    <row r="9" spans="1:16" x14ac:dyDescent="0.35">
      <c r="A9" s="63" t="s">
        <v>217</v>
      </c>
      <c r="B9" s="63" t="s">
        <v>192</v>
      </c>
      <c r="C9" s="78" t="s">
        <v>238</v>
      </c>
      <c r="D9" s="63">
        <v>40</v>
      </c>
      <c r="E9" s="63" t="s">
        <v>145</v>
      </c>
      <c r="F9" s="68">
        <f>masterlist_log!P5</f>
        <v>649.95000000000005</v>
      </c>
      <c r="G9" s="68">
        <f t="shared" si="0"/>
        <v>25998</v>
      </c>
      <c r="H9" s="63"/>
      <c r="I9" s="64"/>
      <c r="J9" s="64"/>
      <c r="K9" s="64"/>
      <c r="L9" s="64"/>
      <c r="M9" s="64"/>
      <c r="N9" s="71">
        <f t="shared" si="1"/>
        <v>25998</v>
      </c>
      <c r="O9" s="71">
        <f>N9-26000</f>
        <v>-2</v>
      </c>
      <c r="P9" s="70" t="s">
        <v>190</v>
      </c>
    </row>
    <row r="10" spans="1:16" x14ac:dyDescent="0.35">
      <c r="A10" s="63" t="s">
        <v>217</v>
      </c>
      <c r="B10" s="63" t="s">
        <v>191</v>
      </c>
      <c r="C10" s="78" t="s">
        <v>238</v>
      </c>
      <c r="D10" s="63">
        <v>40</v>
      </c>
      <c r="E10" s="63" t="s">
        <v>145</v>
      </c>
      <c r="F10" s="68">
        <f>masterlist_log!P5</f>
        <v>649.95000000000005</v>
      </c>
      <c r="G10" s="68">
        <f t="shared" si="0"/>
        <v>25998</v>
      </c>
      <c r="H10" s="63"/>
      <c r="I10" s="64"/>
      <c r="J10" s="64"/>
      <c r="K10" s="64"/>
      <c r="L10" s="64"/>
      <c r="M10" s="64"/>
      <c r="N10" s="71">
        <f t="shared" si="1"/>
        <v>25998</v>
      </c>
      <c r="O10" s="71">
        <f t="shared" si="2"/>
        <v>-2</v>
      </c>
      <c r="P10" s="70" t="s">
        <v>190</v>
      </c>
    </row>
    <row r="11" spans="1:16" x14ac:dyDescent="0.35">
      <c r="A11" s="63" t="s">
        <v>217</v>
      </c>
      <c r="B11" s="63" t="s">
        <v>189</v>
      </c>
      <c r="C11" s="63" t="s">
        <v>239</v>
      </c>
      <c r="D11" s="63">
        <v>69</v>
      </c>
      <c r="E11" s="63" t="s">
        <v>145</v>
      </c>
      <c r="F11" s="68">
        <f>masterlist_log!P9</f>
        <v>376.8</v>
      </c>
      <c r="G11" s="68">
        <f t="shared" si="0"/>
        <v>25999.200000000001</v>
      </c>
      <c r="H11" s="63"/>
      <c r="I11" s="64"/>
      <c r="J11" s="64"/>
      <c r="K11" s="64"/>
      <c r="L11" s="64"/>
      <c r="M11" s="64"/>
      <c r="N11" s="71">
        <f t="shared" si="1"/>
        <v>25999.200000000001</v>
      </c>
      <c r="O11" s="71">
        <f t="shared" si="2"/>
        <v>-0.7999999999992724</v>
      </c>
      <c r="P11" s="70" t="s">
        <v>184</v>
      </c>
    </row>
    <row r="12" spans="1:16" x14ac:dyDescent="0.35">
      <c r="A12" s="115" t="s">
        <v>217</v>
      </c>
      <c r="B12" s="115" t="s">
        <v>188</v>
      </c>
      <c r="C12" s="63" t="s">
        <v>240</v>
      </c>
      <c r="D12" s="63">
        <v>26</v>
      </c>
      <c r="E12" s="63" t="s">
        <v>145</v>
      </c>
      <c r="F12" s="68">
        <f>masterlist_log!P3</f>
        <v>974.94</v>
      </c>
      <c r="G12" s="68">
        <f t="shared" si="0"/>
        <v>25348.440000000002</v>
      </c>
      <c r="H12" s="63"/>
      <c r="I12" s="64"/>
      <c r="J12" s="64"/>
      <c r="K12" s="64"/>
      <c r="L12" s="64"/>
      <c r="M12" s="64"/>
      <c r="N12" s="119">
        <f>SUM(G12:G13)</f>
        <v>25998.390000000003</v>
      </c>
      <c r="O12" s="119">
        <f>N12-26000</f>
        <v>-1.6099999999969441</v>
      </c>
      <c r="P12" s="124" t="s">
        <v>184</v>
      </c>
    </row>
    <row r="13" spans="1:16" x14ac:dyDescent="0.35">
      <c r="A13" s="118"/>
      <c r="B13" s="118"/>
      <c r="C13" s="78" t="s">
        <v>238</v>
      </c>
      <c r="D13" s="64">
        <v>1</v>
      </c>
      <c r="E13" s="63" t="s">
        <v>145</v>
      </c>
      <c r="F13" s="69">
        <f>masterlist_log!P5</f>
        <v>649.95000000000005</v>
      </c>
      <c r="G13" s="68">
        <f t="shared" si="0"/>
        <v>649.95000000000005</v>
      </c>
      <c r="J13" s="64"/>
      <c r="K13" s="64"/>
      <c r="L13" s="64"/>
      <c r="M13" s="64"/>
      <c r="N13" s="123"/>
      <c r="O13" s="123"/>
      <c r="P13" s="123"/>
    </row>
    <row r="14" spans="1:16" x14ac:dyDescent="0.35">
      <c r="A14" s="115" t="s">
        <v>217</v>
      </c>
      <c r="B14" s="115" t="s">
        <v>187</v>
      </c>
      <c r="C14" s="63" t="s">
        <v>240</v>
      </c>
      <c r="D14" s="63">
        <v>26</v>
      </c>
      <c r="E14" s="63" t="s">
        <v>145</v>
      </c>
      <c r="F14" s="68">
        <f>masterlist_log!P3</f>
        <v>974.94</v>
      </c>
      <c r="G14" s="68">
        <f t="shared" si="0"/>
        <v>25348.440000000002</v>
      </c>
      <c r="H14" s="63"/>
      <c r="I14" s="64"/>
      <c r="J14" s="64"/>
      <c r="K14" s="64"/>
      <c r="L14" s="64"/>
      <c r="M14" s="64"/>
      <c r="N14" s="119">
        <f>SUM(G14:G15)</f>
        <v>25998.390000000003</v>
      </c>
      <c r="O14" s="119">
        <f>N14-26000</f>
        <v>-1.6099999999969441</v>
      </c>
      <c r="P14" s="124" t="s">
        <v>184</v>
      </c>
    </row>
    <row r="15" spans="1:16" x14ac:dyDescent="0.35">
      <c r="A15" s="118"/>
      <c r="B15" s="118"/>
      <c r="C15" s="78" t="s">
        <v>238</v>
      </c>
      <c r="D15" s="64">
        <v>1</v>
      </c>
      <c r="E15" s="63" t="s">
        <v>145</v>
      </c>
      <c r="F15" s="69">
        <f>masterlist_log!P5</f>
        <v>649.95000000000005</v>
      </c>
      <c r="G15" s="68">
        <f t="shared" si="0"/>
        <v>649.95000000000005</v>
      </c>
      <c r="J15" s="64"/>
      <c r="K15" s="64"/>
      <c r="L15" s="64"/>
      <c r="M15" s="64"/>
      <c r="N15" s="123"/>
      <c r="O15" s="123"/>
      <c r="P15" s="123"/>
    </row>
    <row r="16" spans="1:16" x14ac:dyDescent="0.35">
      <c r="A16" s="115" t="s">
        <v>217</v>
      </c>
      <c r="B16" s="115" t="s">
        <v>186</v>
      </c>
      <c r="C16" s="63" t="s">
        <v>240</v>
      </c>
      <c r="D16" s="63">
        <v>26</v>
      </c>
      <c r="E16" s="63" t="s">
        <v>145</v>
      </c>
      <c r="F16" s="68">
        <f>masterlist_log!P3</f>
        <v>974.94</v>
      </c>
      <c r="G16" s="68">
        <f t="shared" si="0"/>
        <v>25348.440000000002</v>
      </c>
      <c r="H16" s="63"/>
      <c r="I16" s="64"/>
      <c r="J16" s="64"/>
      <c r="K16" s="64"/>
      <c r="L16" s="64"/>
      <c r="M16" s="64"/>
      <c r="N16" s="119">
        <f>SUM(G16:G17)</f>
        <v>25998.390000000003</v>
      </c>
      <c r="O16" s="124">
        <v>-1.62</v>
      </c>
      <c r="P16" s="124" t="s">
        <v>184</v>
      </c>
    </row>
    <row r="17" spans="1:16" x14ac:dyDescent="0.35">
      <c r="A17" s="118"/>
      <c r="B17" s="118"/>
      <c r="C17" s="78" t="s">
        <v>238</v>
      </c>
      <c r="D17" s="64">
        <v>1</v>
      </c>
      <c r="E17" s="63" t="s">
        <v>145</v>
      </c>
      <c r="F17" s="69">
        <f>masterlist_log!P5</f>
        <v>649.95000000000005</v>
      </c>
      <c r="G17" s="68">
        <f t="shared" si="0"/>
        <v>649.95000000000005</v>
      </c>
      <c r="J17" s="64"/>
      <c r="K17" s="64"/>
      <c r="L17" s="64"/>
      <c r="M17" s="64"/>
      <c r="N17" s="123"/>
      <c r="O17" s="123"/>
      <c r="P17" s="123"/>
    </row>
    <row r="18" spans="1:16" x14ac:dyDescent="0.35">
      <c r="A18" s="115" t="s">
        <v>217</v>
      </c>
      <c r="B18" s="115" t="s">
        <v>185</v>
      </c>
      <c r="C18" s="63" t="s">
        <v>237</v>
      </c>
      <c r="D18" s="63">
        <v>16</v>
      </c>
      <c r="E18" s="63" t="s">
        <v>145</v>
      </c>
      <c r="F18" s="68">
        <f>masterlist_log!P4</f>
        <v>812.44</v>
      </c>
      <c r="G18" s="68">
        <f t="shared" si="0"/>
        <v>12999.04</v>
      </c>
      <c r="H18" s="63"/>
      <c r="I18" s="64"/>
      <c r="J18" s="64"/>
      <c r="K18" s="64"/>
      <c r="L18" s="64"/>
      <c r="M18" s="64"/>
      <c r="N18" s="119">
        <f>SUM(G18:G19)</f>
        <v>25998.04</v>
      </c>
      <c r="O18" s="124">
        <v>-1</v>
      </c>
      <c r="P18" s="124" t="s">
        <v>184</v>
      </c>
    </row>
    <row r="19" spans="1:16" x14ac:dyDescent="0.35">
      <c r="A19" s="116"/>
      <c r="B19" s="116"/>
      <c r="C19" s="79" t="s">
        <v>238</v>
      </c>
      <c r="D19" s="80">
        <v>20</v>
      </c>
      <c r="E19" s="62" t="s">
        <v>145</v>
      </c>
      <c r="F19" s="69">
        <f>masterlist_log!P5</f>
        <v>649.95000000000005</v>
      </c>
      <c r="G19" s="68">
        <f t="shared" si="0"/>
        <v>12999</v>
      </c>
      <c r="J19" s="64"/>
      <c r="K19" s="64"/>
      <c r="L19" s="64"/>
      <c r="M19" s="64"/>
      <c r="N19" s="123"/>
      <c r="O19" s="123"/>
      <c r="P19" s="123"/>
    </row>
    <row r="20" spans="1:16" ht="16" customHeight="1" x14ac:dyDescent="0.35">
      <c r="A20" s="115" t="s">
        <v>217</v>
      </c>
      <c r="B20" s="115" t="s">
        <v>183</v>
      </c>
      <c r="C20" s="63" t="s">
        <v>241</v>
      </c>
      <c r="D20" s="63">
        <v>89</v>
      </c>
      <c r="E20" s="63" t="s">
        <v>145</v>
      </c>
      <c r="F20" s="68">
        <f>masterlist_log!P11</f>
        <v>282.63</v>
      </c>
      <c r="G20" s="68">
        <f>D20*F20</f>
        <v>25154.07</v>
      </c>
      <c r="H20" s="63"/>
      <c r="I20" s="64"/>
      <c r="J20" s="64"/>
      <c r="K20" s="64"/>
      <c r="L20" s="64"/>
      <c r="M20" s="64"/>
      <c r="N20" s="119">
        <f>SUM(G20:G21)</f>
        <v>26284.59</v>
      </c>
      <c r="O20" s="125">
        <f>N20-26000</f>
        <v>284.59000000000015</v>
      </c>
      <c r="P20" s="128" t="s">
        <v>174</v>
      </c>
    </row>
    <row r="21" spans="1:16" x14ac:dyDescent="0.35">
      <c r="A21" s="118"/>
      <c r="B21" s="118"/>
      <c r="C21" s="65" t="s">
        <v>175</v>
      </c>
      <c r="D21" s="81">
        <v>4</v>
      </c>
      <c r="E21" s="65" t="s">
        <v>145</v>
      </c>
      <c r="F21" s="69">
        <f>masterlist_log!P10</f>
        <v>282.63</v>
      </c>
      <c r="G21" s="68">
        <f>D21*F21</f>
        <v>1130.52</v>
      </c>
      <c r="J21" s="64"/>
      <c r="K21" s="64"/>
      <c r="L21" s="64"/>
      <c r="M21" s="64"/>
      <c r="N21" s="123"/>
      <c r="O21" s="127"/>
      <c r="P21" s="127"/>
    </row>
    <row r="22" spans="1:16" x14ac:dyDescent="0.35">
      <c r="A22" s="115" t="s">
        <v>217</v>
      </c>
      <c r="B22" s="115" t="s">
        <v>182</v>
      </c>
      <c r="C22" s="63" t="s">
        <v>242</v>
      </c>
      <c r="D22" s="63">
        <v>53</v>
      </c>
      <c r="E22" s="63" t="s">
        <v>145</v>
      </c>
      <c r="F22" s="68">
        <f>masterlist_log!P7</f>
        <v>487.49</v>
      </c>
      <c r="G22" s="68">
        <f t="shared" si="0"/>
        <v>25836.97</v>
      </c>
      <c r="H22" s="63"/>
      <c r="I22" s="64"/>
      <c r="J22" s="64"/>
      <c r="K22" s="64"/>
      <c r="L22" s="64"/>
      <c r="M22" s="64"/>
      <c r="N22" s="119">
        <f>SUM(G22:G23)</f>
        <v>26119.600000000002</v>
      </c>
      <c r="O22" s="125">
        <f>N22-26000</f>
        <v>119.60000000000218</v>
      </c>
      <c r="P22" s="128" t="s">
        <v>174</v>
      </c>
    </row>
    <row r="23" spans="1:16" x14ac:dyDescent="0.35">
      <c r="A23" s="118"/>
      <c r="B23" s="118"/>
      <c r="C23" s="63" t="s">
        <v>175</v>
      </c>
      <c r="D23" s="64">
        <v>1</v>
      </c>
      <c r="E23" s="63" t="s">
        <v>145</v>
      </c>
      <c r="F23" s="69">
        <f>masterlist_log!P10</f>
        <v>282.63</v>
      </c>
      <c r="G23" s="68">
        <f t="shared" si="0"/>
        <v>282.63</v>
      </c>
      <c r="H23" s="2"/>
      <c r="I23" s="2"/>
      <c r="J23" s="64"/>
      <c r="K23" s="64"/>
      <c r="L23" s="64"/>
      <c r="M23" s="64"/>
      <c r="N23" s="123"/>
      <c r="O23" s="127"/>
      <c r="P23" s="127"/>
    </row>
    <row r="24" spans="1:16" x14ac:dyDescent="0.35">
      <c r="A24" s="115" t="s">
        <v>217</v>
      </c>
      <c r="B24" s="115" t="s">
        <v>181</v>
      </c>
      <c r="C24" s="80" t="s">
        <v>239</v>
      </c>
      <c r="D24" s="62">
        <v>34</v>
      </c>
      <c r="E24" s="62" t="s">
        <v>145</v>
      </c>
      <c r="F24" s="72">
        <f>masterlist_log!P9</f>
        <v>376.8</v>
      </c>
      <c r="G24" s="68">
        <f t="shared" si="0"/>
        <v>12811.2</v>
      </c>
      <c r="J24" s="64"/>
      <c r="K24" s="64"/>
      <c r="L24" s="64"/>
      <c r="M24" s="64"/>
      <c r="N24" s="119">
        <f>SUM(G24:G26)</f>
        <v>26094.81</v>
      </c>
      <c r="O24" s="125">
        <f>N24-26000</f>
        <v>94.81000000000131</v>
      </c>
      <c r="P24" s="128" t="s">
        <v>174</v>
      </c>
    </row>
    <row r="25" spans="1:16" x14ac:dyDescent="0.35">
      <c r="A25" s="117"/>
      <c r="B25" s="117"/>
      <c r="C25" s="63" t="s">
        <v>241</v>
      </c>
      <c r="D25" s="64">
        <v>46</v>
      </c>
      <c r="E25" s="63" t="s">
        <v>145</v>
      </c>
      <c r="F25" s="73">
        <f>masterlist_log!P11</f>
        <v>282.63</v>
      </c>
      <c r="G25" s="68">
        <f t="shared" si="0"/>
        <v>13000.98</v>
      </c>
      <c r="H25" s="63"/>
      <c r="I25" s="64"/>
      <c r="J25" s="64"/>
      <c r="K25" s="64"/>
      <c r="L25" s="64"/>
      <c r="M25" s="64"/>
      <c r="N25" s="122"/>
      <c r="O25" s="126"/>
      <c r="P25" s="126"/>
    </row>
    <row r="26" spans="1:16" x14ac:dyDescent="0.35">
      <c r="A26" s="118"/>
      <c r="B26" s="118"/>
      <c r="C26" s="64" t="s">
        <v>175</v>
      </c>
      <c r="D26" s="64">
        <v>1</v>
      </c>
      <c r="E26" s="63" t="s">
        <v>145</v>
      </c>
      <c r="F26" s="73">
        <f>masterlist_log!P10</f>
        <v>282.63</v>
      </c>
      <c r="G26" s="68">
        <f t="shared" si="0"/>
        <v>282.63</v>
      </c>
      <c r="H26" s="63"/>
      <c r="I26" s="64"/>
      <c r="L26" s="64"/>
      <c r="M26" s="64"/>
      <c r="N26" s="123"/>
      <c r="O26" s="127"/>
      <c r="P26" s="127"/>
    </row>
    <row r="27" spans="1:16" x14ac:dyDescent="0.35">
      <c r="A27" s="115" t="s">
        <v>217</v>
      </c>
      <c r="B27" s="115" t="s">
        <v>180</v>
      </c>
      <c r="C27" s="82" t="s">
        <v>238</v>
      </c>
      <c r="D27" s="65">
        <v>17</v>
      </c>
      <c r="E27" s="65" t="s">
        <v>145</v>
      </c>
      <c r="F27" s="72">
        <f>masterlist_log!P5</f>
        <v>649.95000000000005</v>
      </c>
      <c r="G27" s="83">
        <f t="shared" si="0"/>
        <v>11049.150000000001</v>
      </c>
      <c r="H27" s="2"/>
      <c r="I27" s="2"/>
      <c r="J27" s="2"/>
      <c r="K27" s="2"/>
      <c r="L27" s="2"/>
      <c r="M27" s="2"/>
      <c r="N27" s="119">
        <f>SUM(G27:G30)</f>
        <v>25991.280000000002</v>
      </c>
      <c r="O27" s="119">
        <f>N27-26000</f>
        <v>-8.7199999999975262</v>
      </c>
      <c r="P27" s="124" t="s">
        <v>174</v>
      </c>
    </row>
    <row r="28" spans="1:16" x14ac:dyDescent="0.35">
      <c r="A28" s="116"/>
      <c r="B28" s="116"/>
      <c r="C28" s="63" t="s">
        <v>179</v>
      </c>
      <c r="D28" s="64">
        <v>18</v>
      </c>
      <c r="E28" s="63" t="s">
        <v>145</v>
      </c>
      <c r="F28" s="73">
        <f>masterlist_log!P6</f>
        <v>565.44000000000005</v>
      </c>
      <c r="G28" s="68">
        <f t="shared" si="0"/>
        <v>10177.920000000002</v>
      </c>
      <c r="H28" s="63"/>
      <c r="I28" s="64"/>
      <c r="J28" s="64"/>
      <c r="K28" s="64"/>
      <c r="L28" s="64"/>
      <c r="M28" s="64"/>
      <c r="N28" s="122"/>
      <c r="O28" s="122"/>
      <c r="P28" s="122"/>
    </row>
    <row r="29" spans="1:16" x14ac:dyDescent="0.35">
      <c r="A29" s="116"/>
      <c r="B29" s="116"/>
      <c r="C29" s="63" t="s">
        <v>242</v>
      </c>
      <c r="D29" s="64">
        <v>9</v>
      </c>
      <c r="E29" s="63" t="s">
        <v>145</v>
      </c>
      <c r="F29" s="73">
        <f>masterlist_log!P7</f>
        <v>487.49</v>
      </c>
      <c r="G29" s="68">
        <f t="shared" si="0"/>
        <v>4387.41</v>
      </c>
      <c r="H29" s="63"/>
      <c r="I29" s="64"/>
      <c r="J29" s="64"/>
      <c r="K29" s="64"/>
      <c r="L29" s="64"/>
      <c r="M29" s="64"/>
      <c r="N29" s="122"/>
      <c r="O29" s="122"/>
      <c r="P29" s="122"/>
    </row>
    <row r="30" spans="1:16" x14ac:dyDescent="0.35">
      <c r="A30" s="118"/>
      <c r="B30" s="118"/>
      <c r="C30" s="63" t="s">
        <v>239</v>
      </c>
      <c r="D30" s="64">
        <v>1</v>
      </c>
      <c r="E30" s="63" t="s">
        <v>145</v>
      </c>
      <c r="F30" s="73">
        <f>masterlist_log!P9</f>
        <v>376.8</v>
      </c>
      <c r="G30" s="68">
        <f t="shared" si="0"/>
        <v>376.8</v>
      </c>
      <c r="H30" s="63"/>
      <c r="I30" s="64"/>
      <c r="J30" s="64"/>
      <c r="K30" s="64"/>
      <c r="L30" s="64"/>
      <c r="M30" s="64"/>
      <c r="N30" s="123"/>
      <c r="O30" s="123"/>
      <c r="P30" s="123"/>
    </row>
    <row r="31" spans="1:16" x14ac:dyDescent="0.35">
      <c r="A31" s="115" t="s">
        <v>217</v>
      </c>
      <c r="B31" s="115" t="s">
        <v>178</v>
      </c>
      <c r="C31" s="63" t="s">
        <v>242</v>
      </c>
      <c r="D31" s="63">
        <v>18</v>
      </c>
      <c r="E31" s="63" t="s">
        <v>145</v>
      </c>
      <c r="F31" s="72">
        <f>masterlist_log!P7</f>
        <v>487.49</v>
      </c>
      <c r="G31" s="68">
        <f t="shared" si="0"/>
        <v>8774.82</v>
      </c>
      <c r="N31" s="119">
        <f>SUM(G31:G34)</f>
        <v>26200.05</v>
      </c>
      <c r="O31" s="119">
        <f>N31-26000</f>
        <v>200.04999999999927</v>
      </c>
      <c r="P31" s="124" t="s">
        <v>174</v>
      </c>
    </row>
    <row r="32" spans="1:16" x14ac:dyDescent="0.35">
      <c r="A32" s="116"/>
      <c r="B32" s="116"/>
      <c r="C32" s="63" t="s">
        <v>177</v>
      </c>
      <c r="D32" s="64">
        <v>12</v>
      </c>
      <c r="E32" s="63" t="s">
        <v>145</v>
      </c>
      <c r="F32" s="73">
        <f>masterlist_log!P8</f>
        <v>423.75</v>
      </c>
      <c r="G32" s="68">
        <f t="shared" si="0"/>
        <v>5085</v>
      </c>
      <c r="H32" s="63"/>
      <c r="I32" s="64"/>
      <c r="J32" s="64"/>
      <c r="K32" s="64"/>
      <c r="L32" s="64"/>
      <c r="M32" s="64"/>
      <c r="N32" s="120"/>
      <c r="O32" s="122"/>
      <c r="P32" s="122"/>
    </row>
    <row r="33" spans="1:16" x14ac:dyDescent="0.35">
      <c r="A33" s="116"/>
      <c r="B33" s="116"/>
      <c r="C33" s="64" t="s">
        <v>239</v>
      </c>
      <c r="D33" s="64">
        <v>32</v>
      </c>
      <c r="E33" s="63" t="s">
        <v>145</v>
      </c>
      <c r="F33" s="73">
        <f>masterlist_log!P9</f>
        <v>376.8</v>
      </c>
      <c r="G33" s="68">
        <f t="shared" si="0"/>
        <v>12057.6</v>
      </c>
      <c r="H33" s="63"/>
      <c r="I33" s="64"/>
      <c r="J33" s="64"/>
      <c r="K33" s="64"/>
      <c r="L33" s="64"/>
      <c r="M33" s="64"/>
      <c r="N33" s="120"/>
      <c r="O33" s="122"/>
      <c r="P33" s="122"/>
    </row>
    <row r="34" spans="1:16" x14ac:dyDescent="0.35">
      <c r="A34" s="118"/>
      <c r="B34" s="118"/>
      <c r="C34" s="64" t="s">
        <v>175</v>
      </c>
      <c r="D34" s="64">
        <v>1</v>
      </c>
      <c r="E34" s="63" t="s">
        <v>145</v>
      </c>
      <c r="F34" s="73">
        <f>masterlist_log!P10</f>
        <v>282.63</v>
      </c>
      <c r="G34" s="68">
        <f t="shared" si="0"/>
        <v>282.63</v>
      </c>
      <c r="H34" s="63"/>
      <c r="I34" s="64"/>
      <c r="J34" s="64"/>
      <c r="K34" s="64"/>
      <c r="L34" s="64"/>
      <c r="M34" s="64"/>
      <c r="N34" s="121"/>
      <c r="O34" s="123"/>
      <c r="P34" s="123"/>
    </row>
    <row r="35" spans="1:16" x14ac:dyDescent="0.35">
      <c r="A35" s="115" t="s">
        <v>217</v>
      </c>
      <c r="B35" s="115" t="s">
        <v>176</v>
      </c>
      <c r="C35" s="65" t="s">
        <v>236</v>
      </c>
      <c r="D35" s="65">
        <v>21</v>
      </c>
      <c r="E35" s="65" t="s">
        <v>145</v>
      </c>
      <c r="F35" s="83">
        <f>masterlist_log!P2</f>
        <v>1130.33</v>
      </c>
      <c r="G35" s="83">
        <f t="shared" si="0"/>
        <v>23736.93</v>
      </c>
      <c r="H35" s="63"/>
      <c r="I35" s="64"/>
      <c r="J35" s="64"/>
      <c r="K35" s="64"/>
      <c r="L35" s="64"/>
      <c r="M35" s="64"/>
      <c r="N35" s="119">
        <f>SUM(G35:G38)</f>
        <v>26252.070000000003</v>
      </c>
      <c r="O35" s="119">
        <f>N35-26000</f>
        <v>252.07000000000335</v>
      </c>
      <c r="P35" s="124" t="s">
        <v>174</v>
      </c>
    </row>
    <row r="36" spans="1:16" x14ac:dyDescent="0.35">
      <c r="A36" s="116"/>
      <c r="B36" s="116"/>
      <c r="C36" s="62" t="s">
        <v>240</v>
      </c>
      <c r="D36" s="80">
        <v>2</v>
      </c>
      <c r="E36" s="62" t="s">
        <v>145</v>
      </c>
      <c r="F36" s="73">
        <f>masterlist_log!P3</f>
        <v>974.94</v>
      </c>
      <c r="G36" s="68">
        <f t="shared" si="0"/>
        <v>1949.88</v>
      </c>
      <c r="H36" s="63"/>
      <c r="I36" s="64"/>
      <c r="J36" s="64"/>
      <c r="K36" s="64"/>
      <c r="L36" s="64"/>
      <c r="M36" s="64"/>
      <c r="N36" s="120"/>
      <c r="O36" s="122"/>
      <c r="P36" s="122"/>
    </row>
    <row r="37" spans="1:16" x14ac:dyDescent="0.35">
      <c r="A37" s="117"/>
      <c r="B37" s="117"/>
      <c r="C37" s="63" t="s">
        <v>241</v>
      </c>
      <c r="D37" s="64">
        <v>1</v>
      </c>
      <c r="E37" s="63" t="s">
        <v>145</v>
      </c>
      <c r="F37" s="73">
        <f>masterlist_log!P11</f>
        <v>282.63</v>
      </c>
      <c r="G37" s="68">
        <f t="shared" si="0"/>
        <v>282.63</v>
      </c>
      <c r="H37" s="63"/>
      <c r="I37" s="64"/>
      <c r="J37" s="64"/>
      <c r="K37" s="64"/>
      <c r="L37" s="64"/>
      <c r="M37" s="64"/>
      <c r="N37" s="120"/>
      <c r="O37" s="122"/>
      <c r="P37" s="122"/>
    </row>
    <row r="38" spans="1:16" x14ac:dyDescent="0.35">
      <c r="A38" s="118"/>
      <c r="B38" s="118"/>
      <c r="C38" s="64" t="s">
        <v>175</v>
      </c>
      <c r="D38" s="64">
        <v>1</v>
      </c>
      <c r="E38" s="63" t="s">
        <v>145</v>
      </c>
      <c r="F38" s="73">
        <f>masterlist_log!P10</f>
        <v>282.63</v>
      </c>
      <c r="G38" s="68">
        <f t="shared" si="0"/>
        <v>282.63</v>
      </c>
      <c r="H38" s="2"/>
      <c r="I38" s="2"/>
      <c r="J38" s="2"/>
      <c r="K38" s="2"/>
      <c r="L38" s="2"/>
      <c r="M38" s="2"/>
      <c r="N38" s="121"/>
      <c r="O38" s="123"/>
      <c r="P38" s="123"/>
    </row>
    <row r="39" spans="1:16" x14ac:dyDescent="0.35">
      <c r="A39" s="75"/>
      <c r="B39" s="75"/>
      <c r="C39" s="75"/>
      <c r="D39" s="75"/>
      <c r="E39" s="75"/>
      <c r="F39" s="75"/>
      <c r="G39" s="75"/>
      <c r="H39" s="75"/>
    </row>
    <row r="40" spans="1:16" x14ac:dyDescent="0.35">
      <c r="A40" s="74"/>
      <c r="B40" s="75"/>
      <c r="C40" s="74"/>
      <c r="D40" s="75"/>
      <c r="E40" s="75"/>
      <c r="F40" s="75"/>
      <c r="G40" s="75"/>
      <c r="H40" s="74"/>
    </row>
    <row r="41" spans="1:16" x14ac:dyDescent="0.35">
      <c r="A41" s="75"/>
      <c r="B41" s="75"/>
      <c r="C41" s="75"/>
      <c r="D41" s="75"/>
      <c r="E41" s="75"/>
      <c r="F41" s="75"/>
      <c r="G41" s="75"/>
      <c r="H41" s="75"/>
    </row>
    <row r="42" spans="1:16" x14ac:dyDescent="0.35">
      <c r="A42" s="75"/>
      <c r="B42" s="75"/>
      <c r="C42" s="75"/>
      <c r="D42" s="75"/>
      <c r="E42" s="75"/>
      <c r="F42" s="75"/>
      <c r="G42" s="75"/>
      <c r="H42" s="75"/>
    </row>
    <row r="43" spans="1:16" x14ac:dyDescent="0.35">
      <c r="A43" s="74"/>
      <c r="B43" s="75"/>
      <c r="C43" s="74"/>
      <c r="D43" s="75"/>
      <c r="E43" s="75"/>
      <c r="F43" s="75"/>
      <c r="G43" s="75"/>
      <c r="H43" s="74"/>
    </row>
    <row r="44" spans="1:16" x14ac:dyDescent="0.35">
      <c r="A44" s="75"/>
      <c r="B44" s="75"/>
      <c r="C44" s="75"/>
      <c r="D44" s="75"/>
      <c r="E44" s="75"/>
      <c r="F44" s="75"/>
      <c r="G44" s="75"/>
      <c r="H44" s="75"/>
    </row>
    <row r="45" spans="1:16" x14ac:dyDescent="0.35">
      <c r="A45" s="74"/>
      <c r="B45" s="75"/>
      <c r="C45" s="74"/>
      <c r="D45" s="75"/>
      <c r="E45" s="75"/>
      <c r="F45" s="75"/>
      <c r="G45" s="75"/>
      <c r="H45" s="74"/>
    </row>
    <row r="46" spans="1:16" x14ac:dyDescent="0.35">
      <c r="A46" s="75"/>
      <c r="B46" s="75"/>
      <c r="C46" s="75"/>
      <c r="D46" s="75"/>
      <c r="E46" s="75"/>
      <c r="F46" s="75"/>
      <c r="G46" s="75"/>
      <c r="H46" s="75"/>
    </row>
    <row r="47" spans="1:16" x14ac:dyDescent="0.35">
      <c r="A47" s="75"/>
      <c r="B47" s="75"/>
      <c r="C47" s="75"/>
      <c r="D47" s="75"/>
      <c r="E47" s="75"/>
      <c r="F47" s="75"/>
      <c r="G47" s="75"/>
      <c r="H47" s="75"/>
    </row>
    <row r="48" spans="1:16" x14ac:dyDescent="0.35">
      <c r="A48" s="75"/>
      <c r="B48" s="75"/>
      <c r="C48" s="75"/>
      <c r="D48" s="75"/>
      <c r="E48" s="75"/>
      <c r="F48" s="75"/>
      <c r="G48" s="75"/>
      <c r="H48" s="75"/>
    </row>
    <row r="49" spans="1:8" x14ac:dyDescent="0.35">
      <c r="A49" s="74"/>
      <c r="B49" s="75"/>
      <c r="C49" s="74"/>
      <c r="D49" s="75"/>
      <c r="E49" s="75"/>
      <c r="F49" s="75"/>
      <c r="G49" s="75"/>
      <c r="H49" s="74"/>
    </row>
    <row r="50" spans="1:8" x14ac:dyDescent="0.35">
      <c r="A50" s="75"/>
      <c r="B50" s="75"/>
      <c r="C50" s="75"/>
      <c r="D50" s="75"/>
      <c r="E50" s="75"/>
      <c r="F50" s="75"/>
      <c r="G50" s="75"/>
      <c r="H50" s="75"/>
    </row>
    <row r="51" spans="1:8" x14ac:dyDescent="0.35">
      <c r="A51" s="75"/>
      <c r="B51" s="75"/>
      <c r="C51" s="75"/>
      <c r="D51" s="75"/>
      <c r="E51" s="75"/>
      <c r="F51" s="75"/>
      <c r="G51" s="75"/>
      <c r="H51" s="75"/>
    </row>
    <row r="52" spans="1:8" x14ac:dyDescent="0.35">
      <c r="A52" s="74"/>
      <c r="B52" s="75"/>
      <c r="C52" s="74"/>
      <c r="D52" s="75"/>
      <c r="E52" s="75"/>
      <c r="F52" s="75"/>
      <c r="G52" s="75"/>
      <c r="H52" s="74"/>
    </row>
    <row r="53" spans="1:8" x14ac:dyDescent="0.35">
      <c r="A53" s="75"/>
      <c r="B53" s="75"/>
      <c r="C53" s="75"/>
      <c r="D53" s="75"/>
      <c r="E53" s="75"/>
      <c r="F53" s="75"/>
      <c r="G53" s="75"/>
      <c r="H53" s="75"/>
    </row>
    <row r="54" spans="1:8" x14ac:dyDescent="0.35">
      <c r="A54" s="74"/>
      <c r="B54" s="75"/>
      <c r="C54" s="74"/>
      <c r="D54" s="75"/>
      <c r="E54" s="75"/>
      <c r="F54" s="75"/>
      <c r="G54" s="75"/>
      <c r="H54" s="74"/>
    </row>
    <row r="55" spans="1:8" x14ac:dyDescent="0.35">
      <c r="A55" s="75"/>
      <c r="B55" s="75"/>
      <c r="C55" s="75"/>
      <c r="D55" s="75"/>
      <c r="E55" s="75"/>
      <c r="F55" s="75"/>
      <c r="G55" s="75"/>
      <c r="H55" s="75"/>
    </row>
    <row r="56" spans="1:8" x14ac:dyDescent="0.35">
      <c r="A56" s="74"/>
      <c r="B56" s="75"/>
      <c r="C56" s="74"/>
      <c r="D56" s="75"/>
      <c r="E56" s="75"/>
      <c r="F56" s="75"/>
      <c r="G56" s="75"/>
      <c r="H56" s="74"/>
    </row>
    <row r="57" spans="1:8" x14ac:dyDescent="0.35">
      <c r="A57" s="75"/>
      <c r="B57" s="75"/>
      <c r="C57" s="75"/>
      <c r="D57" s="75"/>
      <c r="E57" s="75"/>
      <c r="F57" s="75"/>
      <c r="G57" s="75"/>
      <c r="H57" s="75"/>
    </row>
    <row r="58" spans="1:8" x14ac:dyDescent="0.35">
      <c r="A58" s="75"/>
      <c r="B58" s="75"/>
      <c r="C58" s="75"/>
      <c r="D58" s="75"/>
      <c r="E58" s="75"/>
      <c r="F58" s="75"/>
      <c r="G58" s="75"/>
      <c r="H58" s="75"/>
    </row>
    <row r="59" spans="1:8" x14ac:dyDescent="0.35">
      <c r="A59" s="75"/>
      <c r="B59" s="75"/>
      <c r="C59" s="75"/>
      <c r="D59" s="75"/>
      <c r="E59" s="75"/>
      <c r="F59" s="75"/>
      <c r="G59" s="75"/>
      <c r="H59" s="75"/>
    </row>
    <row r="60" spans="1:8" x14ac:dyDescent="0.35">
      <c r="A60" s="75"/>
      <c r="B60" s="75"/>
      <c r="C60" s="75"/>
      <c r="D60" s="75"/>
      <c r="E60" s="75"/>
      <c r="F60" s="75"/>
      <c r="G60" s="75"/>
      <c r="H60" s="75"/>
    </row>
    <row r="61" spans="1:8" x14ac:dyDescent="0.35">
      <c r="A61" s="74"/>
      <c r="B61" s="75"/>
      <c r="C61" s="74"/>
      <c r="D61" s="75"/>
      <c r="E61" s="75"/>
      <c r="F61" s="75"/>
      <c r="G61" s="75"/>
      <c r="H61" s="74"/>
    </row>
    <row r="62" spans="1:8" x14ac:dyDescent="0.35">
      <c r="A62" s="75"/>
      <c r="B62" s="75"/>
      <c r="C62" s="75"/>
      <c r="D62" s="75"/>
      <c r="E62" s="75"/>
      <c r="F62" s="75"/>
      <c r="G62" s="75"/>
      <c r="H62" s="75"/>
    </row>
    <row r="63" spans="1:8" x14ac:dyDescent="0.35">
      <c r="A63" s="75"/>
      <c r="B63" s="75"/>
      <c r="C63" s="75"/>
      <c r="D63" s="75"/>
      <c r="E63" s="75"/>
      <c r="F63" s="75"/>
      <c r="G63" s="75"/>
      <c r="H63" s="75"/>
    </row>
    <row r="64" spans="1:8" x14ac:dyDescent="0.35">
      <c r="A64" s="74"/>
      <c r="B64" s="75"/>
      <c r="C64" s="74"/>
      <c r="D64" s="75"/>
      <c r="E64" s="75"/>
      <c r="F64" s="75"/>
      <c r="G64" s="75"/>
      <c r="H64" s="74"/>
    </row>
    <row r="65" spans="1:8" x14ac:dyDescent="0.35">
      <c r="A65" s="75"/>
      <c r="B65" s="75"/>
      <c r="C65" s="75"/>
      <c r="D65" s="75"/>
      <c r="E65" s="75"/>
      <c r="F65" s="75"/>
      <c r="G65" s="75"/>
      <c r="H65" s="75"/>
    </row>
    <row r="66" spans="1:8" x14ac:dyDescent="0.35">
      <c r="A66" s="75"/>
      <c r="B66" s="75"/>
      <c r="C66" s="75"/>
      <c r="D66" s="75"/>
      <c r="E66" s="75"/>
      <c r="F66" s="75"/>
      <c r="G66" s="75"/>
      <c r="H66" s="75"/>
    </row>
    <row r="67" spans="1:8" x14ac:dyDescent="0.35">
      <c r="A67" s="74"/>
      <c r="B67" s="75"/>
      <c r="C67" s="74"/>
      <c r="D67" s="75"/>
      <c r="E67" s="75"/>
      <c r="F67" s="75"/>
      <c r="G67" s="75"/>
      <c r="H67" s="74"/>
    </row>
    <row r="68" spans="1:8" x14ac:dyDescent="0.35">
      <c r="A68" s="75"/>
      <c r="B68" s="75"/>
      <c r="C68" s="75"/>
      <c r="D68" s="75"/>
      <c r="E68" s="75"/>
      <c r="F68" s="75"/>
      <c r="G68" s="75"/>
      <c r="H68" s="75"/>
    </row>
    <row r="69" spans="1:8" x14ac:dyDescent="0.35">
      <c r="A69" s="75"/>
      <c r="B69" s="75"/>
      <c r="C69" s="75"/>
      <c r="D69" s="75"/>
      <c r="E69" s="75"/>
      <c r="F69" s="75"/>
      <c r="G69" s="75"/>
      <c r="H69" s="75"/>
    </row>
    <row r="70" spans="1:8" x14ac:dyDescent="0.35">
      <c r="A70" s="75"/>
      <c r="B70" s="75"/>
      <c r="C70" s="75"/>
      <c r="D70" s="75"/>
      <c r="E70" s="75"/>
      <c r="F70" s="75"/>
      <c r="G70" s="75"/>
      <c r="H70" s="75"/>
    </row>
    <row r="71" spans="1:8" x14ac:dyDescent="0.35">
      <c r="A71" s="75"/>
      <c r="B71" s="75"/>
      <c r="C71" s="75"/>
      <c r="D71" s="75"/>
      <c r="E71" s="75"/>
      <c r="F71" s="75"/>
      <c r="G71" s="75"/>
      <c r="H71" s="75"/>
    </row>
    <row r="72" spans="1:8" x14ac:dyDescent="0.35">
      <c r="A72" s="75"/>
      <c r="B72" s="75"/>
      <c r="C72" s="75"/>
      <c r="D72" s="75"/>
      <c r="E72" s="75"/>
      <c r="F72" s="75"/>
      <c r="G72" s="75"/>
      <c r="H72" s="75"/>
    </row>
    <row r="73" spans="1:8" x14ac:dyDescent="0.35">
      <c r="A73" s="75"/>
      <c r="B73" s="75"/>
      <c r="C73" s="75"/>
      <c r="D73" s="75"/>
      <c r="E73" s="75"/>
      <c r="F73" s="75"/>
      <c r="G73" s="75"/>
      <c r="H73" s="75"/>
    </row>
    <row r="74" spans="1:8" x14ac:dyDescent="0.35">
      <c r="A74" s="75"/>
      <c r="B74" s="75"/>
      <c r="C74" s="75"/>
      <c r="D74" s="75"/>
      <c r="E74" s="75"/>
      <c r="F74" s="75"/>
      <c r="G74" s="75"/>
      <c r="H74" s="75"/>
    </row>
    <row r="75" spans="1:8" x14ac:dyDescent="0.35">
      <c r="A75" s="75"/>
      <c r="B75" s="75"/>
      <c r="C75" s="75"/>
      <c r="D75" s="75"/>
      <c r="E75" s="75"/>
      <c r="F75" s="75"/>
      <c r="G75" s="75"/>
      <c r="H75" s="75"/>
    </row>
    <row r="76" spans="1:8" x14ac:dyDescent="0.35">
      <c r="A76" s="74"/>
      <c r="B76" s="75"/>
      <c r="C76" s="74"/>
      <c r="D76" s="75"/>
      <c r="E76" s="75"/>
      <c r="F76" s="75"/>
      <c r="G76" s="75"/>
      <c r="H76" s="74"/>
    </row>
    <row r="77" spans="1:8" x14ac:dyDescent="0.35">
      <c r="A77" s="75"/>
      <c r="B77" s="75"/>
      <c r="C77" s="75"/>
      <c r="D77" s="75"/>
      <c r="E77" s="75"/>
      <c r="F77" s="75"/>
      <c r="G77" s="75"/>
      <c r="H77" s="75"/>
    </row>
    <row r="78" spans="1:8" x14ac:dyDescent="0.35">
      <c r="A78" s="74"/>
      <c r="B78" s="75"/>
      <c r="C78" s="74"/>
      <c r="D78" s="75"/>
      <c r="E78" s="75"/>
      <c r="F78" s="75"/>
      <c r="G78" s="75"/>
      <c r="H78" s="74"/>
    </row>
  </sheetData>
  <autoFilter ref="A1:P38" xr:uid="{C42CE132-BC25-4908-A8A5-DECF52AE3155}"/>
  <mergeCells count="50">
    <mergeCell ref="A14:A15"/>
    <mergeCell ref="B14:B15"/>
    <mergeCell ref="N14:N15"/>
    <mergeCell ref="O14:O15"/>
    <mergeCell ref="P14:P15"/>
    <mergeCell ref="B12:B13"/>
    <mergeCell ref="A12:A13"/>
    <mergeCell ref="N12:N13"/>
    <mergeCell ref="O12:O13"/>
    <mergeCell ref="P12:P13"/>
    <mergeCell ref="A18:A19"/>
    <mergeCell ref="B18:B19"/>
    <mergeCell ref="N18:N19"/>
    <mergeCell ref="O18:O19"/>
    <mergeCell ref="P18:P19"/>
    <mergeCell ref="A16:A17"/>
    <mergeCell ref="B16:B17"/>
    <mergeCell ref="N16:N17"/>
    <mergeCell ref="O16:O17"/>
    <mergeCell ref="P16:P17"/>
    <mergeCell ref="N22:N23"/>
    <mergeCell ref="O22:O23"/>
    <mergeCell ref="P22:P23"/>
    <mergeCell ref="A22:A23"/>
    <mergeCell ref="B22:B23"/>
    <mergeCell ref="B20:B21"/>
    <mergeCell ref="A20:A21"/>
    <mergeCell ref="N20:N21"/>
    <mergeCell ref="O20:O21"/>
    <mergeCell ref="P20:P21"/>
    <mergeCell ref="B24:B26"/>
    <mergeCell ref="A24:A26"/>
    <mergeCell ref="N24:N26"/>
    <mergeCell ref="O24:O26"/>
    <mergeCell ref="P24:P26"/>
    <mergeCell ref="O27:O30"/>
    <mergeCell ref="P27:P30"/>
    <mergeCell ref="B31:B34"/>
    <mergeCell ref="A31:A34"/>
    <mergeCell ref="N31:N34"/>
    <mergeCell ref="O31:O34"/>
    <mergeCell ref="P31:P34"/>
    <mergeCell ref="A27:A30"/>
    <mergeCell ref="B27:B30"/>
    <mergeCell ref="N27:N30"/>
    <mergeCell ref="B35:B38"/>
    <mergeCell ref="A35:A38"/>
    <mergeCell ref="N35:N38"/>
    <mergeCell ref="O35:O38"/>
    <mergeCell ref="P35:P38"/>
  </mergeCells>
  <phoneticPr fontId="13" type="noConversion"/>
  <pageMargins left="0.7" right="0.7" top="0.75" bottom="0.75" header="0.3" footer="0.3"/>
  <ignoredErrors>
    <ignoredError sqref="F3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A834-1848-412D-BE95-851DAB16D8FF}">
  <sheetPr>
    <tabColor theme="8" tint="0.79998168889431442"/>
  </sheetPr>
  <dimension ref="A1:T77"/>
  <sheetViews>
    <sheetView tabSelected="1" zoomScale="85" zoomScaleNormal="85" workbookViewId="0">
      <pane ySplit="1" topLeftCell="A4" activePane="bottomLeft" state="frozen"/>
      <selection pane="bottomLeft" activeCell="H1" sqref="H1:I1048576"/>
    </sheetView>
  </sheetViews>
  <sheetFormatPr defaultRowHeight="14.5" x14ac:dyDescent="0.35"/>
  <cols>
    <col min="1" max="1" width="12.1796875" style="87" bestFit="1" customWidth="1"/>
    <col min="2" max="2" width="16.453125" style="67" customWidth="1"/>
    <col min="3" max="3" width="9.54296875" style="67" customWidth="1"/>
    <col min="4" max="4" width="9.81640625" style="67" customWidth="1"/>
    <col min="5" max="5" width="24.08984375" style="99" customWidth="1"/>
    <col min="6" max="7" width="6.81640625" style="67" customWidth="1"/>
    <col min="8" max="9" width="6.81640625" style="67" hidden="1" customWidth="1"/>
    <col min="10" max="10" width="12.6328125" style="67" customWidth="1"/>
    <col min="11" max="11" width="12.36328125" style="67" customWidth="1"/>
    <col min="12" max="12" width="13.26953125" style="67" customWidth="1"/>
    <col min="13" max="13" width="10.26953125" style="67" customWidth="1"/>
    <col min="14" max="14" width="12.08984375" style="84" customWidth="1"/>
    <col min="15" max="15" width="8.7265625" style="67" customWidth="1"/>
    <col min="16" max="16" width="22.81640625" style="67" customWidth="1"/>
    <col min="17" max="17" width="8.7265625" style="67" customWidth="1"/>
    <col min="18" max="18" width="26" style="84" customWidth="1"/>
    <col min="19" max="19" width="21" style="84" customWidth="1"/>
    <col min="20" max="20" width="9.1796875" style="84" customWidth="1"/>
    <col min="21" max="16384" width="8.7265625" style="29"/>
  </cols>
  <sheetData>
    <row r="1" spans="1:20" ht="40.5" customHeight="1" thickBot="1" x14ac:dyDescent="0.4">
      <c r="A1" s="100" t="s">
        <v>127</v>
      </c>
      <c r="B1" s="101" t="s">
        <v>126</v>
      </c>
      <c r="C1" s="101" t="s">
        <v>146</v>
      </c>
      <c r="D1" s="101" t="s">
        <v>144</v>
      </c>
      <c r="E1" s="102" t="s">
        <v>130</v>
      </c>
      <c r="F1" s="101" t="s">
        <v>258</v>
      </c>
      <c r="G1" s="101" t="s">
        <v>259</v>
      </c>
      <c r="H1" s="101" t="s">
        <v>260</v>
      </c>
      <c r="I1" s="101" t="s">
        <v>261</v>
      </c>
      <c r="J1" s="101" t="s">
        <v>134</v>
      </c>
      <c r="K1" s="101" t="s">
        <v>135</v>
      </c>
      <c r="L1" s="101" t="s">
        <v>226</v>
      </c>
      <c r="M1" s="101" t="s">
        <v>235</v>
      </c>
      <c r="N1" s="103" t="s">
        <v>262</v>
      </c>
      <c r="O1" s="84"/>
      <c r="P1" s="84"/>
      <c r="Q1" s="84"/>
      <c r="R1" s="74"/>
      <c r="S1" s="74"/>
    </row>
    <row r="2" spans="1:20" ht="17" customHeight="1" x14ac:dyDescent="0.35">
      <c r="A2" s="87" t="s">
        <v>154</v>
      </c>
      <c r="B2" s="91" t="s">
        <v>291</v>
      </c>
      <c r="C2" s="91" t="s">
        <v>199</v>
      </c>
      <c r="D2" s="91" t="s">
        <v>143</v>
      </c>
      <c r="E2" s="97" t="s">
        <v>248</v>
      </c>
      <c r="F2" s="91">
        <v>53</v>
      </c>
      <c r="G2" s="91" t="s">
        <v>145</v>
      </c>
      <c r="H2" s="91"/>
      <c r="I2" s="91"/>
      <c r="J2" s="91">
        <v>487.49</v>
      </c>
      <c r="K2" s="92">
        <f>J2*F2</f>
        <v>25836.97</v>
      </c>
      <c r="L2" s="92">
        <f>K2</f>
        <v>25836.97</v>
      </c>
      <c r="M2" s="93">
        <f>L2-26000</f>
        <v>-163.02999999999884</v>
      </c>
      <c r="N2" s="95" t="s">
        <v>184</v>
      </c>
    </row>
    <row r="3" spans="1:20" x14ac:dyDescent="0.35">
      <c r="A3" s="87" t="s">
        <v>154</v>
      </c>
      <c r="B3" s="74" t="s">
        <v>291</v>
      </c>
      <c r="C3" s="74" t="s">
        <v>198</v>
      </c>
      <c r="D3" s="74" t="s">
        <v>143</v>
      </c>
      <c r="E3" s="96" t="s">
        <v>249</v>
      </c>
      <c r="F3" s="74">
        <v>22</v>
      </c>
      <c r="G3" s="74" t="s">
        <v>145</v>
      </c>
      <c r="H3" s="74"/>
      <c r="I3" s="74"/>
      <c r="J3" s="72">
        <v>1130.33</v>
      </c>
      <c r="K3" s="72">
        <f>J3*F3</f>
        <v>24867.26</v>
      </c>
      <c r="L3" s="72">
        <f>SUM(K3:K4)</f>
        <v>25715.149999999998</v>
      </c>
      <c r="M3" s="69">
        <f>L3-26000</f>
        <v>-284.85000000000218</v>
      </c>
      <c r="N3" s="84" t="s">
        <v>184</v>
      </c>
      <c r="R3" s="85"/>
      <c r="S3" s="85"/>
    </row>
    <row r="4" spans="1:20" x14ac:dyDescent="0.35">
      <c r="B4" s="74"/>
      <c r="C4" s="74"/>
      <c r="D4" s="74"/>
      <c r="E4" s="96" t="s">
        <v>250</v>
      </c>
      <c r="F4" s="74">
        <v>3</v>
      </c>
      <c r="G4" s="74" t="s">
        <v>145</v>
      </c>
      <c r="H4" s="74"/>
      <c r="I4" s="74"/>
      <c r="J4" s="72">
        <v>282.63</v>
      </c>
      <c r="K4" s="72">
        <f t="shared" ref="K4:K55" si="0">J4*F4</f>
        <v>847.89</v>
      </c>
      <c r="L4" s="74"/>
      <c r="R4" s="85"/>
      <c r="S4" s="85"/>
    </row>
    <row r="5" spans="1:20" x14ac:dyDescent="0.35">
      <c r="A5" s="87" t="s">
        <v>154</v>
      </c>
      <c r="B5" s="91" t="s">
        <v>291</v>
      </c>
      <c r="C5" s="91" t="s">
        <v>197</v>
      </c>
      <c r="D5" s="91" t="s">
        <v>143</v>
      </c>
      <c r="E5" s="97" t="s">
        <v>249</v>
      </c>
      <c r="F5" s="91">
        <v>22</v>
      </c>
      <c r="G5" s="91" t="s">
        <v>145</v>
      </c>
      <c r="H5" s="91"/>
      <c r="I5" s="91"/>
      <c r="J5" s="92">
        <v>1130.33</v>
      </c>
      <c r="K5" s="92">
        <f t="shared" si="0"/>
        <v>24867.26</v>
      </c>
      <c r="L5" s="92">
        <f>SUM(K5:K6)</f>
        <v>25715.149999999998</v>
      </c>
      <c r="M5" s="93">
        <f>L5-26000</f>
        <v>-284.85000000000218</v>
      </c>
      <c r="N5" s="95" t="s">
        <v>184</v>
      </c>
      <c r="R5" s="85"/>
      <c r="S5" s="85"/>
    </row>
    <row r="6" spans="1:20" x14ac:dyDescent="0.35">
      <c r="B6" s="91"/>
      <c r="C6" s="91"/>
      <c r="D6" s="91"/>
      <c r="E6" s="97" t="s">
        <v>250</v>
      </c>
      <c r="F6" s="91">
        <v>3</v>
      </c>
      <c r="G6" s="91" t="s">
        <v>145</v>
      </c>
      <c r="H6" s="91"/>
      <c r="I6" s="91"/>
      <c r="J6" s="92">
        <v>282.63</v>
      </c>
      <c r="K6" s="92">
        <f t="shared" si="0"/>
        <v>847.89</v>
      </c>
      <c r="L6" s="91"/>
      <c r="M6" s="94"/>
      <c r="N6" s="95"/>
      <c r="R6" s="85"/>
      <c r="S6" s="85"/>
    </row>
    <row r="7" spans="1:20" x14ac:dyDescent="0.35">
      <c r="A7" s="87" t="s">
        <v>154</v>
      </c>
      <c r="B7" s="74" t="s">
        <v>291</v>
      </c>
      <c r="C7" s="74" t="s">
        <v>196</v>
      </c>
      <c r="D7" s="74" t="s">
        <v>143</v>
      </c>
      <c r="E7" s="96" t="s">
        <v>249</v>
      </c>
      <c r="F7" s="74">
        <v>22</v>
      </c>
      <c r="G7" s="74" t="s">
        <v>145</v>
      </c>
      <c r="H7" s="74"/>
      <c r="I7" s="74"/>
      <c r="J7" s="72">
        <v>1130.33</v>
      </c>
      <c r="K7" s="72">
        <f t="shared" si="0"/>
        <v>24867.26</v>
      </c>
      <c r="L7" s="72">
        <f>SUM(K7:K8)</f>
        <v>25715.149999999998</v>
      </c>
      <c r="M7" s="69">
        <f>L7-26000</f>
        <v>-284.85000000000218</v>
      </c>
      <c r="N7" s="84" t="s">
        <v>184</v>
      </c>
      <c r="R7" s="85"/>
      <c r="S7" s="85"/>
    </row>
    <row r="8" spans="1:20" x14ac:dyDescent="0.35">
      <c r="B8" s="74"/>
      <c r="C8" s="74"/>
      <c r="D8" s="74"/>
      <c r="E8" s="96" t="s">
        <v>250</v>
      </c>
      <c r="F8" s="74">
        <v>3</v>
      </c>
      <c r="G8" s="74" t="s">
        <v>145</v>
      </c>
      <c r="H8" s="74"/>
      <c r="I8" s="74"/>
      <c r="J8" s="72">
        <v>282.63</v>
      </c>
      <c r="K8" s="72">
        <f t="shared" si="0"/>
        <v>847.89</v>
      </c>
      <c r="L8" s="74"/>
      <c r="M8" s="84"/>
      <c r="R8" s="85"/>
      <c r="S8" s="85"/>
    </row>
    <row r="9" spans="1:20" x14ac:dyDescent="0.35">
      <c r="A9" s="87" t="s">
        <v>154</v>
      </c>
      <c r="B9" s="91" t="s">
        <v>291</v>
      </c>
      <c r="C9" s="91" t="s">
        <v>195</v>
      </c>
      <c r="D9" s="91" t="s">
        <v>143</v>
      </c>
      <c r="E9" s="97" t="s">
        <v>249</v>
      </c>
      <c r="F9" s="91">
        <v>22</v>
      </c>
      <c r="G9" s="91" t="s">
        <v>145</v>
      </c>
      <c r="H9" s="91"/>
      <c r="I9" s="91"/>
      <c r="J9" s="92">
        <v>1130.33</v>
      </c>
      <c r="K9" s="92">
        <f t="shared" si="0"/>
        <v>24867.26</v>
      </c>
      <c r="L9" s="92">
        <f>SUM(K9:K10)</f>
        <v>25715.149999999998</v>
      </c>
      <c r="M9" s="93">
        <f>L9-26000</f>
        <v>-284.85000000000218</v>
      </c>
      <c r="N9" s="95" t="s">
        <v>184</v>
      </c>
      <c r="R9" s="85"/>
      <c r="S9" s="85"/>
    </row>
    <row r="10" spans="1:20" x14ac:dyDescent="0.35">
      <c r="B10" s="91"/>
      <c r="C10" s="91"/>
      <c r="D10" s="91"/>
      <c r="E10" s="97" t="s">
        <v>250</v>
      </c>
      <c r="F10" s="91">
        <v>3</v>
      </c>
      <c r="G10" s="91" t="s">
        <v>145</v>
      </c>
      <c r="H10" s="91"/>
      <c r="I10" s="91"/>
      <c r="J10" s="92">
        <v>282.63</v>
      </c>
      <c r="K10" s="92">
        <f t="shared" si="0"/>
        <v>847.89</v>
      </c>
      <c r="L10" s="91"/>
      <c r="M10" s="95"/>
      <c r="N10" s="95"/>
      <c r="R10" s="85"/>
      <c r="S10" s="85"/>
    </row>
    <row r="11" spans="1:20" x14ac:dyDescent="0.35">
      <c r="A11" s="87" t="s">
        <v>154</v>
      </c>
      <c r="B11" s="74" t="s">
        <v>291</v>
      </c>
      <c r="C11" s="74" t="s">
        <v>194</v>
      </c>
      <c r="D11" s="74" t="s">
        <v>143</v>
      </c>
      <c r="E11" s="96" t="s">
        <v>249</v>
      </c>
      <c r="F11" s="74">
        <v>22</v>
      </c>
      <c r="G11" s="74" t="s">
        <v>145</v>
      </c>
      <c r="H11" s="74"/>
      <c r="I11" s="74"/>
      <c r="J11" s="72">
        <v>1130.33</v>
      </c>
      <c r="K11" s="72">
        <f t="shared" si="0"/>
        <v>24867.26</v>
      </c>
      <c r="L11" s="72">
        <f>SUM(K11:K12)</f>
        <v>25715.149999999998</v>
      </c>
      <c r="M11" s="69">
        <f>L11-26000</f>
        <v>-284.85000000000218</v>
      </c>
      <c r="N11" s="84" t="s">
        <v>184</v>
      </c>
      <c r="R11" s="85"/>
      <c r="S11" s="85"/>
    </row>
    <row r="12" spans="1:20" x14ac:dyDescent="0.35">
      <c r="B12" s="74"/>
      <c r="C12" s="74"/>
      <c r="D12" s="74"/>
      <c r="E12" s="96" t="s">
        <v>250</v>
      </c>
      <c r="F12" s="74">
        <v>3</v>
      </c>
      <c r="G12" s="74" t="s">
        <v>145</v>
      </c>
      <c r="H12" s="74"/>
      <c r="I12" s="74"/>
      <c r="J12" s="72">
        <v>282.63</v>
      </c>
      <c r="K12" s="72">
        <f t="shared" si="0"/>
        <v>847.89</v>
      </c>
      <c r="L12" s="74"/>
      <c r="M12" s="84"/>
      <c r="R12" s="85"/>
      <c r="S12" s="85"/>
    </row>
    <row r="13" spans="1:20" x14ac:dyDescent="0.35">
      <c r="A13" s="87" t="s">
        <v>154</v>
      </c>
      <c r="B13" s="91" t="s">
        <v>291</v>
      </c>
      <c r="C13" s="91" t="s">
        <v>193</v>
      </c>
      <c r="D13" s="91" t="s">
        <v>143</v>
      </c>
      <c r="E13" s="98" t="s">
        <v>251</v>
      </c>
      <c r="F13" s="91">
        <v>31</v>
      </c>
      <c r="G13" s="91" t="s">
        <v>145</v>
      </c>
      <c r="H13" s="91"/>
      <c r="I13" s="91"/>
      <c r="J13" s="92">
        <v>812.44</v>
      </c>
      <c r="K13" s="92">
        <f t="shared" si="0"/>
        <v>25185.640000000003</v>
      </c>
      <c r="L13" s="92">
        <f>SUM(K13:K14)</f>
        <v>25750.9</v>
      </c>
      <c r="M13" s="93">
        <f>L13-26000</f>
        <v>-249.09999999999854</v>
      </c>
      <c r="N13" s="95" t="s">
        <v>184</v>
      </c>
      <c r="R13" s="88"/>
      <c r="S13" s="89"/>
      <c r="T13" s="90"/>
    </row>
    <row r="14" spans="1:20" x14ac:dyDescent="0.35">
      <c r="B14" s="91"/>
      <c r="C14" s="91"/>
      <c r="D14" s="91"/>
      <c r="E14" s="97" t="s">
        <v>250</v>
      </c>
      <c r="F14" s="94">
        <v>2</v>
      </c>
      <c r="G14" s="91" t="s">
        <v>145</v>
      </c>
      <c r="H14" s="91"/>
      <c r="I14" s="91"/>
      <c r="J14" s="93">
        <v>282.63</v>
      </c>
      <c r="K14" s="92">
        <f t="shared" si="0"/>
        <v>565.26</v>
      </c>
      <c r="L14" s="91"/>
      <c r="M14" s="94"/>
      <c r="N14" s="95"/>
      <c r="R14" s="87"/>
      <c r="S14" s="90"/>
      <c r="T14" s="90"/>
    </row>
    <row r="15" spans="1:20" x14ac:dyDescent="0.35">
      <c r="A15" s="87" t="s">
        <v>154</v>
      </c>
      <c r="B15" s="74" t="s">
        <v>291</v>
      </c>
      <c r="C15" s="74" t="s">
        <v>192</v>
      </c>
      <c r="D15" s="74" t="s">
        <v>143</v>
      </c>
      <c r="E15" s="99" t="s">
        <v>251</v>
      </c>
      <c r="F15" s="67">
        <v>31</v>
      </c>
      <c r="G15" s="74" t="s">
        <v>145</v>
      </c>
      <c r="H15" s="74"/>
      <c r="I15" s="74"/>
      <c r="J15" s="69">
        <v>812.44</v>
      </c>
      <c r="K15" s="72">
        <f t="shared" si="0"/>
        <v>25185.640000000003</v>
      </c>
      <c r="L15" s="72">
        <f>SUM(K15:K16)</f>
        <v>25750.9</v>
      </c>
      <c r="M15" s="69">
        <f>L15-26000</f>
        <v>-249.09999999999854</v>
      </c>
      <c r="N15" s="84" t="s">
        <v>184</v>
      </c>
      <c r="R15" s="87"/>
      <c r="S15" s="90"/>
      <c r="T15" s="90"/>
    </row>
    <row r="16" spans="1:20" x14ac:dyDescent="0.35">
      <c r="B16" s="74"/>
      <c r="C16" s="74"/>
      <c r="D16" s="74"/>
      <c r="E16" s="96" t="s">
        <v>250</v>
      </c>
      <c r="F16" s="74">
        <v>2</v>
      </c>
      <c r="G16" s="74" t="s">
        <v>145</v>
      </c>
      <c r="H16" s="74"/>
      <c r="I16" s="74"/>
      <c r="J16" s="72">
        <v>282.63</v>
      </c>
      <c r="K16" s="72">
        <f t="shared" si="0"/>
        <v>565.26</v>
      </c>
      <c r="O16" s="29"/>
      <c r="P16" s="29"/>
      <c r="Q16" s="29"/>
      <c r="R16" s="88"/>
      <c r="S16" s="88"/>
      <c r="T16" s="87"/>
    </row>
    <row r="17" spans="1:20" x14ac:dyDescent="0.35">
      <c r="A17" s="87" t="s">
        <v>154</v>
      </c>
      <c r="B17" s="91" t="s">
        <v>291</v>
      </c>
      <c r="C17" s="91" t="s">
        <v>191</v>
      </c>
      <c r="D17" s="91" t="s">
        <v>143</v>
      </c>
      <c r="E17" s="97" t="s">
        <v>251</v>
      </c>
      <c r="F17" s="94">
        <v>16</v>
      </c>
      <c r="G17" s="91" t="s">
        <v>145</v>
      </c>
      <c r="H17" s="91"/>
      <c r="I17" s="91"/>
      <c r="J17" s="93">
        <v>812.44</v>
      </c>
      <c r="K17" s="92">
        <f t="shared" si="0"/>
        <v>12999.04</v>
      </c>
      <c r="L17" s="92">
        <f>SUM(K17:K18)</f>
        <v>25998.04</v>
      </c>
      <c r="M17" s="93">
        <f>L17-26000</f>
        <v>-1.9599999999991269</v>
      </c>
      <c r="N17" s="95" t="s">
        <v>184</v>
      </c>
      <c r="R17" s="87"/>
      <c r="S17" s="87"/>
      <c r="T17" s="87"/>
    </row>
    <row r="18" spans="1:20" x14ac:dyDescent="0.35">
      <c r="B18" s="91"/>
      <c r="C18" s="91"/>
      <c r="D18" s="91"/>
      <c r="E18" s="97" t="s">
        <v>252</v>
      </c>
      <c r="F18" s="94">
        <v>20</v>
      </c>
      <c r="G18" s="91" t="s">
        <v>145</v>
      </c>
      <c r="H18" s="91"/>
      <c r="I18" s="91"/>
      <c r="J18" s="93">
        <v>649.95000000000005</v>
      </c>
      <c r="K18" s="92">
        <f t="shared" si="0"/>
        <v>12999</v>
      </c>
      <c r="L18" s="91"/>
      <c r="M18" s="94"/>
      <c r="N18" s="95"/>
      <c r="R18" s="87"/>
      <c r="S18" s="87"/>
      <c r="T18" s="87"/>
    </row>
    <row r="19" spans="1:20" x14ac:dyDescent="0.35">
      <c r="A19" s="87" t="s">
        <v>154</v>
      </c>
      <c r="B19" s="74" t="s">
        <v>291</v>
      </c>
      <c r="C19" s="74" t="s">
        <v>189</v>
      </c>
      <c r="D19" s="74" t="s">
        <v>143</v>
      </c>
      <c r="E19" s="96" t="s">
        <v>252</v>
      </c>
      <c r="F19" s="67">
        <v>39</v>
      </c>
      <c r="G19" s="74" t="s">
        <v>145</v>
      </c>
      <c r="H19" s="74"/>
      <c r="I19" s="74"/>
      <c r="J19" s="69">
        <v>649.95000000000005</v>
      </c>
      <c r="K19" s="72">
        <f t="shared" si="0"/>
        <v>25348.050000000003</v>
      </c>
      <c r="L19" s="72">
        <f>SUM(K19:K20)</f>
        <v>25630.680000000004</v>
      </c>
      <c r="M19" s="69">
        <f>L19-26000</f>
        <v>-369.31999999999607</v>
      </c>
      <c r="N19" s="84" t="s">
        <v>184</v>
      </c>
      <c r="R19" s="87"/>
      <c r="S19" s="87"/>
      <c r="T19" s="87"/>
    </row>
    <row r="20" spans="1:20" x14ac:dyDescent="0.35">
      <c r="B20" s="74"/>
      <c r="C20" s="74"/>
      <c r="D20" s="74"/>
      <c r="E20" s="96" t="s">
        <v>250</v>
      </c>
      <c r="F20" s="74">
        <v>1</v>
      </c>
      <c r="G20" s="74" t="s">
        <v>145</v>
      </c>
      <c r="H20" s="74"/>
      <c r="I20" s="74"/>
      <c r="J20" s="72">
        <v>282.63</v>
      </c>
      <c r="K20" s="72">
        <f t="shared" si="0"/>
        <v>282.63</v>
      </c>
      <c r="R20" s="88"/>
      <c r="S20" s="88"/>
      <c r="T20" s="87"/>
    </row>
    <row r="21" spans="1:20" x14ac:dyDescent="0.35">
      <c r="A21" s="87" t="s">
        <v>154</v>
      </c>
      <c r="B21" s="91" t="s">
        <v>291</v>
      </c>
      <c r="C21" s="91" t="s">
        <v>188</v>
      </c>
      <c r="D21" s="91" t="s">
        <v>143</v>
      </c>
      <c r="E21" s="97" t="s">
        <v>248</v>
      </c>
      <c r="F21" s="94">
        <v>52</v>
      </c>
      <c r="G21" s="91" t="s">
        <v>145</v>
      </c>
      <c r="H21" s="91"/>
      <c r="I21" s="91"/>
      <c r="J21" s="93">
        <v>487.49</v>
      </c>
      <c r="K21" s="92">
        <f t="shared" si="0"/>
        <v>25349.48</v>
      </c>
      <c r="L21" s="92">
        <f>SUM(K21:K22)</f>
        <v>25632.11</v>
      </c>
      <c r="M21" s="93">
        <f>L21-26000</f>
        <v>-367.88999999999942</v>
      </c>
      <c r="N21" s="95" t="s">
        <v>184</v>
      </c>
      <c r="R21" s="88"/>
      <c r="S21" s="87"/>
      <c r="T21" s="87"/>
    </row>
    <row r="22" spans="1:20" x14ac:dyDescent="0.35">
      <c r="B22" s="91"/>
      <c r="C22" s="91"/>
      <c r="D22" s="91"/>
      <c r="E22" s="98" t="s">
        <v>250</v>
      </c>
      <c r="F22" s="94">
        <v>1</v>
      </c>
      <c r="G22" s="91" t="s">
        <v>145</v>
      </c>
      <c r="H22" s="91"/>
      <c r="I22" s="91"/>
      <c r="J22" s="93">
        <v>282.63</v>
      </c>
      <c r="K22" s="92">
        <f t="shared" si="0"/>
        <v>282.63</v>
      </c>
      <c r="L22" s="94"/>
      <c r="M22" s="94"/>
      <c r="N22" s="95"/>
      <c r="O22" s="29"/>
      <c r="P22" s="29"/>
      <c r="Q22" s="29"/>
      <c r="R22" s="88"/>
      <c r="S22" s="87"/>
      <c r="T22" s="87"/>
    </row>
    <row r="23" spans="1:20" x14ac:dyDescent="0.35">
      <c r="A23" s="87" t="s">
        <v>154</v>
      </c>
      <c r="B23" s="74" t="s">
        <v>291</v>
      </c>
      <c r="C23" s="74" t="s">
        <v>187</v>
      </c>
      <c r="D23" s="74" t="s">
        <v>143</v>
      </c>
      <c r="E23" s="96" t="s">
        <v>253</v>
      </c>
      <c r="F23" s="74">
        <v>68</v>
      </c>
      <c r="G23" s="74" t="s">
        <v>145</v>
      </c>
      <c r="H23" s="74"/>
      <c r="I23" s="74"/>
      <c r="J23" s="74">
        <v>376.8</v>
      </c>
      <c r="K23" s="72">
        <f t="shared" si="0"/>
        <v>25622.400000000001</v>
      </c>
      <c r="L23" s="72">
        <f>SUM(K23:K24)</f>
        <v>25905.030000000002</v>
      </c>
      <c r="M23" s="69">
        <f>L23-26000</f>
        <v>-94.969999999997526</v>
      </c>
      <c r="N23" s="84" t="s">
        <v>184</v>
      </c>
    </row>
    <row r="24" spans="1:20" x14ac:dyDescent="0.35">
      <c r="B24" s="74"/>
      <c r="C24" s="74"/>
      <c r="D24" s="74"/>
      <c r="E24" s="96" t="s">
        <v>250</v>
      </c>
      <c r="F24" s="74">
        <v>1</v>
      </c>
      <c r="G24" s="74" t="s">
        <v>145</v>
      </c>
      <c r="H24" s="74"/>
      <c r="I24" s="74"/>
      <c r="J24" s="74">
        <v>282.63</v>
      </c>
      <c r="K24" s="72">
        <f t="shared" si="0"/>
        <v>282.63</v>
      </c>
      <c r="L24" s="74"/>
    </row>
    <row r="25" spans="1:20" x14ac:dyDescent="0.35">
      <c r="A25" s="87" t="s">
        <v>154</v>
      </c>
      <c r="B25" s="91" t="s">
        <v>291</v>
      </c>
      <c r="C25" s="94" t="s">
        <v>186</v>
      </c>
      <c r="D25" s="94" t="s">
        <v>143</v>
      </c>
      <c r="E25" s="97" t="s">
        <v>249</v>
      </c>
      <c r="F25" s="91">
        <v>21</v>
      </c>
      <c r="G25" s="91" t="s">
        <v>145</v>
      </c>
      <c r="H25" s="91"/>
      <c r="I25" s="91"/>
      <c r="J25" s="92">
        <v>1130.33</v>
      </c>
      <c r="K25" s="92">
        <f t="shared" ref="K25:K39" si="1">J25*F25</f>
        <v>23736.93</v>
      </c>
      <c r="L25" s="92">
        <f>SUM(K25:K27)</f>
        <v>25969.440000000002</v>
      </c>
      <c r="M25" s="93">
        <f>L25-26000</f>
        <v>-30.559999999997672</v>
      </c>
      <c r="N25" s="95" t="s">
        <v>184</v>
      </c>
      <c r="R25" s="88"/>
      <c r="S25" s="88"/>
      <c r="T25" s="87"/>
    </row>
    <row r="26" spans="1:20" x14ac:dyDescent="0.35">
      <c r="B26" s="91"/>
      <c r="C26" s="91"/>
      <c r="D26" s="91"/>
      <c r="E26" s="97" t="s">
        <v>254</v>
      </c>
      <c r="F26" s="94">
        <v>2</v>
      </c>
      <c r="G26" s="91" t="s">
        <v>145</v>
      </c>
      <c r="H26" s="91"/>
      <c r="I26" s="91"/>
      <c r="J26" s="93">
        <v>974.94</v>
      </c>
      <c r="K26" s="92">
        <f t="shared" si="1"/>
        <v>1949.88</v>
      </c>
      <c r="L26" s="94"/>
      <c r="M26" s="94"/>
      <c r="N26" s="95"/>
      <c r="R26" s="87"/>
      <c r="S26" s="87"/>
      <c r="T26" s="87"/>
    </row>
    <row r="27" spans="1:20" x14ac:dyDescent="0.35">
      <c r="B27" s="91"/>
      <c r="C27" s="91"/>
      <c r="D27" s="91"/>
      <c r="E27" s="97" t="s">
        <v>255</v>
      </c>
      <c r="F27" s="91">
        <v>1</v>
      </c>
      <c r="G27" s="91" t="s">
        <v>145</v>
      </c>
      <c r="H27" s="91"/>
      <c r="I27" s="91"/>
      <c r="J27" s="92">
        <v>282.63</v>
      </c>
      <c r="K27" s="92">
        <f t="shared" si="1"/>
        <v>282.63</v>
      </c>
      <c r="L27" s="91"/>
      <c r="M27" s="94"/>
      <c r="N27" s="95"/>
      <c r="R27" s="88"/>
      <c r="S27" s="88"/>
      <c r="T27" s="87"/>
    </row>
    <row r="28" spans="1:20" x14ac:dyDescent="0.35">
      <c r="A28" s="87" t="s">
        <v>154</v>
      </c>
      <c r="B28" s="74" t="s">
        <v>291</v>
      </c>
      <c r="C28" s="74" t="s">
        <v>185</v>
      </c>
      <c r="D28" s="74" t="s">
        <v>143</v>
      </c>
      <c r="E28" s="96" t="s">
        <v>254</v>
      </c>
      <c r="F28" s="67">
        <v>25</v>
      </c>
      <c r="G28" s="74" t="s">
        <v>145</v>
      </c>
      <c r="H28" s="74"/>
      <c r="I28" s="74"/>
      <c r="J28" s="69">
        <v>974.94</v>
      </c>
      <c r="K28" s="72">
        <f t="shared" si="1"/>
        <v>24373.5</v>
      </c>
      <c r="L28" s="72">
        <f>SUM(K28:K30)</f>
        <v>25588.71</v>
      </c>
      <c r="M28" s="69">
        <f>L28-26000</f>
        <v>-411.29000000000087</v>
      </c>
      <c r="N28" s="84" t="s">
        <v>184</v>
      </c>
      <c r="R28" s="87"/>
      <c r="S28" s="87"/>
      <c r="T28" s="87"/>
    </row>
    <row r="29" spans="1:20" x14ac:dyDescent="0.35">
      <c r="B29" s="74"/>
      <c r="C29" s="74"/>
      <c r="D29" s="74"/>
      <c r="E29" s="96" t="s">
        <v>252</v>
      </c>
      <c r="F29" s="74">
        <v>1</v>
      </c>
      <c r="G29" s="74" t="s">
        <v>145</v>
      </c>
      <c r="H29" s="74"/>
      <c r="I29" s="74"/>
      <c r="J29" s="72">
        <v>649.95000000000005</v>
      </c>
      <c r="K29" s="72">
        <f t="shared" si="1"/>
        <v>649.95000000000005</v>
      </c>
      <c r="L29" s="74"/>
      <c r="R29" s="88"/>
      <c r="S29" s="87"/>
      <c r="T29" s="87"/>
    </row>
    <row r="30" spans="1:20" x14ac:dyDescent="0.35">
      <c r="B30" s="74"/>
      <c r="C30" s="74"/>
      <c r="D30" s="74"/>
      <c r="E30" s="96" t="s">
        <v>250</v>
      </c>
      <c r="F30" s="67">
        <v>2</v>
      </c>
      <c r="G30" s="74" t="s">
        <v>145</v>
      </c>
      <c r="H30" s="74"/>
      <c r="I30" s="74"/>
      <c r="J30" s="69">
        <v>282.63</v>
      </c>
      <c r="K30" s="72">
        <f t="shared" si="1"/>
        <v>565.26</v>
      </c>
      <c r="R30" s="87"/>
      <c r="S30" s="87"/>
      <c r="T30" s="87"/>
    </row>
    <row r="31" spans="1:20" x14ac:dyDescent="0.35">
      <c r="A31" s="87" t="s">
        <v>154</v>
      </c>
      <c r="B31" s="91" t="s">
        <v>291</v>
      </c>
      <c r="C31" s="91" t="s">
        <v>183</v>
      </c>
      <c r="D31" s="91" t="s">
        <v>143</v>
      </c>
      <c r="E31" s="97" t="s">
        <v>254</v>
      </c>
      <c r="F31" s="91">
        <v>25</v>
      </c>
      <c r="G31" s="91" t="s">
        <v>145</v>
      </c>
      <c r="H31" s="91"/>
      <c r="I31" s="91"/>
      <c r="J31" s="92">
        <v>974.94</v>
      </c>
      <c r="K31" s="92">
        <f t="shared" si="1"/>
        <v>24373.5</v>
      </c>
      <c r="L31" s="92">
        <f>SUM(K31:K33)</f>
        <v>25588.71</v>
      </c>
      <c r="M31" s="93">
        <f>L31-26000</f>
        <v>-411.29000000000087</v>
      </c>
      <c r="N31" s="95" t="s">
        <v>184</v>
      </c>
      <c r="R31" s="88"/>
      <c r="S31" s="87"/>
      <c r="T31" s="87"/>
    </row>
    <row r="32" spans="1:20" x14ac:dyDescent="0.35">
      <c r="B32" s="91"/>
      <c r="C32" s="91"/>
      <c r="D32" s="91"/>
      <c r="E32" s="97" t="s">
        <v>252</v>
      </c>
      <c r="F32" s="94">
        <v>1</v>
      </c>
      <c r="G32" s="91" t="s">
        <v>145</v>
      </c>
      <c r="H32" s="91"/>
      <c r="I32" s="91"/>
      <c r="J32" s="93">
        <v>649.95000000000005</v>
      </c>
      <c r="K32" s="92">
        <f t="shared" si="1"/>
        <v>649.95000000000005</v>
      </c>
      <c r="L32" s="94"/>
      <c r="M32" s="94"/>
      <c r="N32" s="95"/>
      <c r="R32" s="87"/>
      <c r="S32" s="87"/>
      <c r="T32" s="87"/>
    </row>
    <row r="33" spans="1:20" ht="16" customHeight="1" x14ac:dyDescent="0.35">
      <c r="B33" s="91"/>
      <c r="C33" s="91"/>
      <c r="D33" s="91"/>
      <c r="E33" s="97" t="s">
        <v>250</v>
      </c>
      <c r="F33" s="91">
        <v>2</v>
      </c>
      <c r="G33" s="91" t="s">
        <v>145</v>
      </c>
      <c r="H33" s="91"/>
      <c r="I33" s="91"/>
      <c r="J33" s="92">
        <v>282.63</v>
      </c>
      <c r="K33" s="92">
        <f t="shared" si="1"/>
        <v>565.26</v>
      </c>
      <c r="L33" s="91"/>
      <c r="M33" s="94"/>
      <c r="N33" s="95"/>
      <c r="R33" s="88"/>
      <c r="S33" s="89"/>
      <c r="T33" s="90"/>
    </row>
    <row r="34" spans="1:20" x14ac:dyDescent="0.35">
      <c r="A34" s="87" t="s">
        <v>154</v>
      </c>
      <c r="B34" s="74" t="s">
        <v>291</v>
      </c>
      <c r="C34" s="74" t="s">
        <v>182</v>
      </c>
      <c r="D34" s="74" t="s">
        <v>143</v>
      </c>
      <c r="E34" s="96" t="s">
        <v>254</v>
      </c>
      <c r="F34" s="67">
        <v>25</v>
      </c>
      <c r="G34" s="74" t="s">
        <v>145</v>
      </c>
      <c r="H34" s="74"/>
      <c r="I34" s="74"/>
      <c r="J34" s="69">
        <v>974.94</v>
      </c>
      <c r="K34" s="72">
        <f t="shared" si="1"/>
        <v>24373.5</v>
      </c>
      <c r="L34" s="72">
        <f>SUM(K34:K36)</f>
        <v>25588.71</v>
      </c>
      <c r="M34" s="69">
        <f>L34-26000</f>
        <v>-411.29000000000087</v>
      </c>
      <c r="N34" s="84" t="s">
        <v>184</v>
      </c>
      <c r="R34" s="87"/>
      <c r="S34" s="90"/>
      <c r="T34" s="90"/>
    </row>
    <row r="35" spans="1:20" x14ac:dyDescent="0.35">
      <c r="B35" s="74"/>
      <c r="C35" s="74"/>
      <c r="D35" s="74"/>
      <c r="E35" s="96" t="s">
        <v>252</v>
      </c>
      <c r="F35" s="74">
        <v>1</v>
      </c>
      <c r="G35" s="74" t="s">
        <v>145</v>
      </c>
      <c r="H35" s="74"/>
      <c r="I35" s="74"/>
      <c r="J35" s="72">
        <v>649.95000000000005</v>
      </c>
      <c r="K35" s="72">
        <f t="shared" si="1"/>
        <v>649.95000000000005</v>
      </c>
      <c r="L35" s="74"/>
      <c r="R35" s="88"/>
      <c r="S35" s="89"/>
      <c r="T35" s="90"/>
    </row>
    <row r="36" spans="1:20" x14ac:dyDescent="0.35">
      <c r="B36" s="74"/>
      <c r="C36" s="74"/>
      <c r="D36" s="74"/>
      <c r="E36" s="96" t="s">
        <v>250</v>
      </c>
      <c r="F36" s="67">
        <v>2</v>
      </c>
      <c r="G36" s="74" t="s">
        <v>145</v>
      </c>
      <c r="H36" s="74"/>
      <c r="I36" s="74"/>
      <c r="J36" s="69">
        <v>282.63</v>
      </c>
      <c r="K36" s="72">
        <f t="shared" si="1"/>
        <v>565.26</v>
      </c>
      <c r="R36" s="87"/>
      <c r="S36" s="90"/>
      <c r="T36" s="90"/>
    </row>
    <row r="37" spans="1:20" x14ac:dyDescent="0.35">
      <c r="A37" s="87" t="s">
        <v>154</v>
      </c>
      <c r="B37" s="91" t="s">
        <v>291</v>
      </c>
      <c r="C37" s="91" t="s">
        <v>181</v>
      </c>
      <c r="D37" s="91" t="s">
        <v>143</v>
      </c>
      <c r="E37" s="97" t="s">
        <v>248</v>
      </c>
      <c r="F37" s="91">
        <v>5</v>
      </c>
      <c r="G37" s="91" t="s">
        <v>145</v>
      </c>
      <c r="H37" s="91"/>
      <c r="I37" s="91"/>
      <c r="J37" s="91">
        <v>487.49</v>
      </c>
      <c r="K37" s="92">
        <f t="shared" si="1"/>
        <v>2437.4499999999998</v>
      </c>
      <c r="L37" s="92">
        <f>SUM(K37:K39)</f>
        <v>25985.65</v>
      </c>
      <c r="M37" s="93">
        <f>L37-26000</f>
        <v>-14.349999999998545</v>
      </c>
      <c r="N37" s="95" t="s">
        <v>184</v>
      </c>
    </row>
    <row r="38" spans="1:20" x14ac:dyDescent="0.35">
      <c r="B38" s="91"/>
      <c r="C38" s="91"/>
      <c r="D38" s="91"/>
      <c r="E38" s="97" t="s">
        <v>256</v>
      </c>
      <c r="F38" s="91">
        <v>12</v>
      </c>
      <c r="G38" s="91" t="s">
        <v>145</v>
      </c>
      <c r="H38" s="91"/>
      <c r="I38" s="91"/>
      <c r="J38" s="91">
        <v>423.75</v>
      </c>
      <c r="K38" s="92">
        <f t="shared" si="1"/>
        <v>5085</v>
      </c>
      <c r="L38" s="91"/>
      <c r="M38" s="94"/>
      <c r="N38" s="95"/>
    </row>
    <row r="39" spans="1:20" x14ac:dyDescent="0.35">
      <c r="B39" s="91"/>
      <c r="C39" s="91"/>
      <c r="D39" s="91"/>
      <c r="E39" s="97" t="s">
        <v>253</v>
      </c>
      <c r="F39" s="91">
        <v>49</v>
      </c>
      <c r="G39" s="91" t="s">
        <v>145</v>
      </c>
      <c r="H39" s="91"/>
      <c r="I39" s="91"/>
      <c r="J39" s="91">
        <v>376.8</v>
      </c>
      <c r="K39" s="92">
        <f t="shared" si="1"/>
        <v>18463.2</v>
      </c>
      <c r="L39" s="91"/>
      <c r="M39" s="94"/>
      <c r="N39" s="95"/>
    </row>
    <row r="40" spans="1:20" x14ac:dyDescent="0.35">
      <c r="A40" s="87" t="s">
        <v>154</v>
      </c>
      <c r="B40" s="74" t="s">
        <v>291</v>
      </c>
      <c r="C40" s="74" t="s">
        <v>180</v>
      </c>
      <c r="D40" s="74" t="s">
        <v>143</v>
      </c>
      <c r="E40" s="96" t="s">
        <v>253</v>
      </c>
      <c r="F40" s="74">
        <v>16</v>
      </c>
      <c r="G40" s="74" t="s">
        <v>145</v>
      </c>
      <c r="H40" s="74"/>
      <c r="I40" s="74"/>
      <c r="J40" s="74">
        <v>376.8</v>
      </c>
      <c r="K40" s="72">
        <f t="shared" si="0"/>
        <v>6028.8</v>
      </c>
      <c r="L40" s="72">
        <f>SUM(K40:K42)</f>
        <v>25812.899999999998</v>
      </c>
      <c r="M40" s="69">
        <f>L40-26000</f>
        <v>-187.10000000000218</v>
      </c>
      <c r="N40" s="84" t="s">
        <v>184</v>
      </c>
    </row>
    <row r="41" spans="1:20" x14ac:dyDescent="0.35">
      <c r="B41" s="74"/>
      <c r="C41" s="74"/>
      <c r="D41" s="74"/>
      <c r="E41" s="96" t="s">
        <v>255</v>
      </c>
      <c r="F41" s="74">
        <v>7</v>
      </c>
      <c r="G41" s="74" t="s">
        <v>145</v>
      </c>
      <c r="H41" s="74"/>
      <c r="I41" s="74"/>
      <c r="J41" s="74">
        <v>282.63</v>
      </c>
      <c r="K41" s="72">
        <f t="shared" si="0"/>
        <v>1978.4099999999999</v>
      </c>
      <c r="L41" s="74"/>
    </row>
    <row r="42" spans="1:20" x14ac:dyDescent="0.35">
      <c r="B42" s="74"/>
      <c r="C42" s="74"/>
      <c r="D42" s="74"/>
      <c r="E42" s="96" t="s">
        <v>250</v>
      </c>
      <c r="F42" s="74">
        <v>63</v>
      </c>
      <c r="G42" s="74" t="s">
        <v>145</v>
      </c>
      <c r="H42" s="74"/>
      <c r="I42" s="74"/>
      <c r="J42" s="74">
        <v>282.63</v>
      </c>
      <c r="K42" s="72">
        <f t="shared" si="0"/>
        <v>17805.689999999999</v>
      </c>
      <c r="L42" s="74"/>
    </row>
    <row r="43" spans="1:20" x14ac:dyDescent="0.35">
      <c r="A43" s="87" t="s">
        <v>154</v>
      </c>
      <c r="B43" s="91" t="s">
        <v>291</v>
      </c>
      <c r="C43" s="91" t="s">
        <v>178</v>
      </c>
      <c r="D43" s="91" t="s">
        <v>143</v>
      </c>
      <c r="E43" s="97" t="s">
        <v>252</v>
      </c>
      <c r="F43" s="94">
        <v>17</v>
      </c>
      <c r="G43" s="91" t="s">
        <v>145</v>
      </c>
      <c r="H43" s="91"/>
      <c r="I43" s="91"/>
      <c r="J43" s="93">
        <v>649.95000000000005</v>
      </c>
      <c r="K43" s="92">
        <f>J43*F43</f>
        <v>11049.150000000001</v>
      </c>
      <c r="L43" s="92">
        <f>SUM(K43:K47)</f>
        <v>25708.470000000005</v>
      </c>
      <c r="M43" s="93">
        <f>L43-26000</f>
        <v>-291.5299999999952</v>
      </c>
      <c r="N43" s="95" t="s">
        <v>184</v>
      </c>
      <c r="R43" s="88"/>
      <c r="S43" s="87"/>
      <c r="T43" s="87"/>
    </row>
    <row r="44" spans="1:20" x14ac:dyDescent="0.35">
      <c r="B44" s="91"/>
      <c r="C44" s="91"/>
      <c r="D44" s="91"/>
      <c r="E44" s="98" t="s">
        <v>257</v>
      </c>
      <c r="F44" s="94">
        <v>17</v>
      </c>
      <c r="G44" s="91" t="s">
        <v>145</v>
      </c>
      <c r="H44" s="91"/>
      <c r="I44" s="91"/>
      <c r="J44" s="93">
        <v>565.44000000000005</v>
      </c>
      <c r="K44" s="92">
        <f>J44*F44</f>
        <v>9612.4800000000014</v>
      </c>
      <c r="L44" s="91"/>
      <c r="M44" s="94"/>
      <c r="N44" s="95"/>
      <c r="R44" s="88"/>
      <c r="S44" s="87"/>
      <c r="T44" s="87"/>
    </row>
    <row r="45" spans="1:20" x14ac:dyDescent="0.35">
      <c r="B45" s="91"/>
      <c r="C45" s="91"/>
      <c r="D45" s="91"/>
      <c r="E45" s="98" t="s">
        <v>248</v>
      </c>
      <c r="F45" s="94">
        <v>9</v>
      </c>
      <c r="G45" s="91" t="s">
        <v>145</v>
      </c>
      <c r="H45" s="91"/>
      <c r="I45" s="91"/>
      <c r="J45" s="93">
        <v>487.49</v>
      </c>
      <c r="K45" s="92">
        <f>J45*F45</f>
        <v>4387.41</v>
      </c>
      <c r="L45" s="91"/>
      <c r="M45" s="94"/>
      <c r="N45" s="95"/>
      <c r="R45" s="88"/>
      <c r="S45" s="87"/>
      <c r="T45" s="87"/>
    </row>
    <row r="46" spans="1:20" ht="33.5" customHeight="1" x14ac:dyDescent="0.35">
      <c r="B46" s="91"/>
      <c r="C46" s="91"/>
      <c r="D46" s="91"/>
      <c r="E46" s="97" t="s">
        <v>253</v>
      </c>
      <c r="F46" s="91">
        <v>1</v>
      </c>
      <c r="G46" s="91" t="s">
        <v>145</v>
      </c>
      <c r="H46" s="91"/>
      <c r="I46" s="91"/>
      <c r="J46" s="92">
        <v>376.8</v>
      </c>
      <c r="K46" s="92">
        <f>J46*F46</f>
        <v>376.8</v>
      </c>
      <c r="L46" s="91"/>
      <c r="M46" s="94"/>
      <c r="N46" s="95"/>
      <c r="R46" s="88"/>
      <c r="S46" s="88"/>
      <c r="T46" s="87"/>
    </row>
    <row r="47" spans="1:20" x14ac:dyDescent="0.35">
      <c r="B47" s="91"/>
      <c r="C47" s="91"/>
      <c r="D47" s="91"/>
      <c r="E47" s="97" t="s">
        <v>250</v>
      </c>
      <c r="F47" s="94">
        <v>1</v>
      </c>
      <c r="G47" s="91" t="s">
        <v>145</v>
      </c>
      <c r="H47" s="91"/>
      <c r="I47" s="91"/>
      <c r="J47" s="93">
        <v>282.63</v>
      </c>
      <c r="K47" s="92">
        <f>J47*F47</f>
        <v>282.63</v>
      </c>
      <c r="L47" s="91"/>
      <c r="M47" s="94"/>
      <c r="N47" s="95"/>
      <c r="R47" s="88"/>
      <c r="S47" s="87"/>
      <c r="T47" s="87"/>
    </row>
    <row r="48" spans="1:20" x14ac:dyDescent="0.35">
      <c r="A48" s="87" t="s">
        <v>154</v>
      </c>
      <c r="B48" s="74" t="s">
        <v>291</v>
      </c>
      <c r="C48" s="74" t="s">
        <v>176</v>
      </c>
      <c r="D48" s="74" t="s">
        <v>143</v>
      </c>
      <c r="E48" s="96" t="s">
        <v>249</v>
      </c>
      <c r="F48" s="74">
        <v>5</v>
      </c>
      <c r="G48" s="74" t="s">
        <v>145</v>
      </c>
      <c r="H48" s="74"/>
      <c r="I48" s="74"/>
      <c r="J48" s="74">
        <v>1130.33</v>
      </c>
      <c r="K48" s="72">
        <f t="shared" si="0"/>
        <v>5651.65</v>
      </c>
      <c r="L48" s="72">
        <f>SUM(K48:K55)</f>
        <v>25093.55</v>
      </c>
      <c r="M48" s="69">
        <f>L48-26000</f>
        <v>-906.45000000000073</v>
      </c>
      <c r="N48" s="84" t="s">
        <v>184</v>
      </c>
    </row>
    <row r="49" spans="1:14" x14ac:dyDescent="0.35">
      <c r="B49" s="74"/>
      <c r="C49" s="74"/>
      <c r="D49" s="74"/>
      <c r="E49" s="96" t="s">
        <v>254</v>
      </c>
      <c r="F49" s="74">
        <v>3</v>
      </c>
      <c r="G49" s="74" t="s">
        <v>145</v>
      </c>
      <c r="H49" s="74"/>
      <c r="I49" s="74"/>
      <c r="J49" s="74">
        <v>974.94</v>
      </c>
      <c r="K49" s="72">
        <f t="shared" si="0"/>
        <v>2924.82</v>
      </c>
      <c r="L49" s="74"/>
    </row>
    <row r="50" spans="1:14" x14ac:dyDescent="0.35">
      <c r="B50" s="74"/>
      <c r="C50" s="74"/>
      <c r="D50" s="74"/>
      <c r="E50" s="96" t="s">
        <v>251</v>
      </c>
      <c r="F50" s="74">
        <v>2</v>
      </c>
      <c r="G50" s="74" t="s">
        <v>145</v>
      </c>
      <c r="H50" s="74"/>
      <c r="I50" s="74"/>
      <c r="J50" s="74">
        <v>812.44</v>
      </c>
      <c r="K50" s="72">
        <f t="shared" si="0"/>
        <v>1624.88</v>
      </c>
      <c r="L50" s="74"/>
    </row>
    <row r="51" spans="1:14" x14ac:dyDescent="0.35">
      <c r="B51" s="74"/>
      <c r="C51" s="74"/>
      <c r="D51" s="74"/>
      <c r="E51" s="96" t="s">
        <v>252</v>
      </c>
      <c r="F51" s="74">
        <v>1</v>
      </c>
      <c r="G51" s="74" t="s">
        <v>145</v>
      </c>
      <c r="H51" s="74"/>
      <c r="I51" s="74"/>
      <c r="J51" s="74">
        <v>649.95000000000005</v>
      </c>
      <c r="K51" s="72">
        <f t="shared" si="0"/>
        <v>649.95000000000005</v>
      </c>
      <c r="L51" s="74"/>
    </row>
    <row r="52" spans="1:14" x14ac:dyDescent="0.35">
      <c r="B52" s="74"/>
      <c r="C52" s="74"/>
      <c r="D52" s="74"/>
      <c r="E52" s="96" t="s">
        <v>257</v>
      </c>
      <c r="F52" s="74">
        <v>1</v>
      </c>
      <c r="G52" s="74" t="s">
        <v>145</v>
      </c>
      <c r="H52" s="74"/>
      <c r="I52" s="74"/>
      <c r="J52" s="74">
        <v>565.44000000000005</v>
      </c>
      <c r="K52" s="72">
        <f t="shared" si="0"/>
        <v>565.44000000000005</v>
      </c>
      <c r="L52" s="74"/>
    </row>
    <row r="53" spans="1:14" x14ac:dyDescent="0.35">
      <c r="B53" s="74"/>
      <c r="C53" s="74"/>
      <c r="D53" s="74"/>
      <c r="E53" s="96" t="s">
        <v>248</v>
      </c>
      <c r="F53" s="74">
        <v>1</v>
      </c>
      <c r="G53" s="74" t="s">
        <v>145</v>
      </c>
      <c r="H53" s="74"/>
      <c r="I53" s="74"/>
      <c r="J53" s="74">
        <v>487.49</v>
      </c>
      <c r="K53" s="72">
        <f t="shared" si="0"/>
        <v>487.49</v>
      </c>
      <c r="L53" s="74"/>
    </row>
    <row r="54" spans="1:14" x14ac:dyDescent="0.35">
      <c r="B54" s="74"/>
      <c r="C54" s="74"/>
      <c r="D54" s="74"/>
      <c r="E54" s="96" t="s">
        <v>253</v>
      </c>
      <c r="F54" s="74">
        <v>2</v>
      </c>
      <c r="G54" s="74" t="s">
        <v>145</v>
      </c>
      <c r="H54" s="74"/>
      <c r="I54" s="74"/>
      <c r="J54" s="74">
        <v>376.8</v>
      </c>
      <c r="K54" s="72">
        <f t="shared" si="0"/>
        <v>753.6</v>
      </c>
      <c r="L54" s="74"/>
    </row>
    <row r="55" spans="1:14" x14ac:dyDescent="0.35">
      <c r="B55" s="74"/>
      <c r="C55" s="74"/>
      <c r="D55" s="74"/>
      <c r="E55" s="96" t="s">
        <v>250</v>
      </c>
      <c r="F55" s="74">
        <v>44</v>
      </c>
      <c r="G55" s="74" t="s">
        <v>145</v>
      </c>
      <c r="H55" s="74"/>
      <c r="I55" s="74"/>
      <c r="J55" s="74">
        <v>282.63</v>
      </c>
      <c r="K55" s="72">
        <f t="shared" si="0"/>
        <v>12435.72</v>
      </c>
      <c r="L55" s="74"/>
    </row>
    <row r="56" spans="1:14" x14ac:dyDescent="0.35">
      <c r="A56" s="87" t="s">
        <v>156</v>
      </c>
      <c r="B56" s="74" t="s">
        <v>224</v>
      </c>
      <c r="C56" s="74" t="s">
        <v>263</v>
      </c>
      <c r="D56" s="74" t="s">
        <v>143</v>
      </c>
      <c r="E56" s="96" t="s">
        <v>227</v>
      </c>
      <c r="F56" s="74">
        <v>5688</v>
      </c>
      <c r="G56" s="74" t="s">
        <v>223</v>
      </c>
      <c r="H56" s="74">
        <v>474</v>
      </c>
      <c r="I56" s="74" t="s">
        <v>145</v>
      </c>
      <c r="J56" s="74">
        <v>4.57</v>
      </c>
      <c r="K56" s="72">
        <f>F56*J56</f>
        <v>25994.16</v>
      </c>
      <c r="L56" s="72">
        <f>K56</f>
        <v>25994.16</v>
      </c>
      <c r="M56" s="69">
        <f>L56-26000</f>
        <v>-5.8400000000001455</v>
      </c>
      <c r="N56" s="84" t="s">
        <v>184</v>
      </c>
    </row>
    <row r="57" spans="1:14" x14ac:dyDescent="0.35">
      <c r="A57" s="87" t="s">
        <v>156</v>
      </c>
      <c r="B57" s="74" t="s">
        <v>224</v>
      </c>
      <c r="C57" s="74" t="s">
        <v>264</v>
      </c>
      <c r="D57" s="74" t="s">
        <v>143</v>
      </c>
      <c r="E57" s="96" t="s">
        <v>227</v>
      </c>
      <c r="F57" s="74">
        <f>10500-F56</f>
        <v>4812</v>
      </c>
      <c r="G57" s="74" t="s">
        <v>223</v>
      </c>
      <c r="H57" s="74">
        <v>401</v>
      </c>
      <c r="I57" s="74" t="s">
        <v>145</v>
      </c>
      <c r="J57" s="74">
        <v>4.57</v>
      </c>
      <c r="K57" s="72">
        <f>F57*J57</f>
        <v>21990.84</v>
      </c>
      <c r="L57" s="72">
        <f>SUM(K57:K59)</f>
        <v>25534.68</v>
      </c>
      <c r="M57" s="69">
        <f>L57-26000</f>
        <v>-465.31999999999971</v>
      </c>
      <c r="N57" s="84" t="s">
        <v>184</v>
      </c>
    </row>
    <row r="58" spans="1:14" x14ac:dyDescent="0.35">
      <c r="B58" s="74"/>
      <c r="C58" s="74"/>
      <c r="D58" s="74"/>
      <c r="E58" s="96" t="s">
        <v>94</v>
      </c>
      <c r="F58" s="74">
        <v>312</v>
      </c>
      <c r="G58" s="74" t="s">
        <v>223</v>
      </c>
      <c r="H58" s="74">
        <v>134</v>
      </c>
      <c r="I58" s="74" t="s">
        <v>145</v>
      </c>
      <c r="J58" s="74">
        <v>1.56</v>
      </c>
      <c r="K58" s="72">
        <f t="shared" ref="K58:K60" si="2">F58*J58</f>
        <v>486.72</v>
      </c>
      <c r="L58" s="72"/>
      <c r="M58" s="69"/>
    </row>
    <row r="59" spans="1:14" ht="18.5" customHeight="1" x14ac:dyDescent="0.35">
      <c r="A59" s="29"/>
      <c r="B59" s="74"/>
      <c r="C59" s="74"/>
      <c r="D59" s="74"/>
      <c r="E59" s="96" t="s">
        <v>69</v>
      </c>
      <c r="F59" s="74">
        <v>144</v>
      </c>
      <c r="G59" s="74" t="s">
        <v>223</v>
      </c>
      <c r="H59" s="74">
        <v>52</v>
      </c>
      <c r="I59" s="74" t="s">
        <v>145</v>
      </c>
      <c r="J59" s="74">
        <v>21.23</v>
      </c>
      <c r="K59" s="72">
        <f t="shared" si="2"/>
        <v>3057.12</v>
      </c>
      <c r="L59" s="72"/>
      <c r="M59" s="69"/>
    </row>
    <row r="60" spans="1:14" ht="18.5" customHeight="1" x14ac:dyDescent="0.35">
      <c r="A60" s="104" t="s">
        <v>156</v>
      </c>
      <c r="B60" s="86"/>
      <c r="C60" s="86"/>
      <c r="D60" s="86"/>
      <c r="E60" s="105" t="s">
        <v>247</v>
      </c>
      <c r="F60" s="86">
        <v>800</v>
      </c>
      <c r="G60" s="86" t="s">
        <v>223</v>
      </c>
      <c r="H60" s="86">
        <v>24</v>
      </c>
      <c r="I60" s="86" t="s">
        <v>145</v>
      </c>
      <c r="J60" s="86">
        <v>4.49</v>
      </c>
      <c r="K60" s="106">
        <f t="shared" si="2"/>
        <v>3592</v>
      </c>
      <c r="L60" s="106"/>
      <c r="M60" s="107"/>
      <c r="N60" s="108"/>
    </row>
    <row r="61" spans="1:14" x14ac:dyDescent="0.35">
      <c r="B61" s="74"/>
      <c r="C61" s="74"/>
      <c r="D61" s="74"/>
      <c r="E61" s="96"/>
      <c r="F61" s="74"/>
      <c r="G61" s="74"/>
      <c r="H61" s="74"/>
      <c r="I61" s="74"/>
      <c r="J61" s="74"/>
      <c r="K61" s="74"/>
      <c r="L61" s="74"/>
    </row>
    <row r="62" spans="1:14" x14ac:dyDescent="0.35">
      <c r="A62" s="87" t="s">
        <v>221</v>
      </c>
      <c r="B62" s="74" t="s">
        <v>222</v>
      </c>
      <c r="C62" s="74" t="s">
        <v>266</v>
      </c>
      <c r="D62" s="74" t="s">
        <v>143</v>
      </c>
      <c r="E62" s="96" t="s">
        <v>211</v>
      </c>
      <c r="F62" s="74">
        <v>80</v>
      </c>
      <c r="G62" s="74" t="s">
        <v>145</v>
      </c>
      <c r="H62" s="67">
        <f>F62*6</f>
        <v>480</v>
      </c>
      <c r="I62" s="74" t="s">
        <v>223</v>
      </c>
      <c r="J62" s="74">
        <v>265</v>
      </c>
      <c r="K62" s="72">
        <f>F62*J62</f>
        <v>21200</v>
      </c>
      <c r="L62" s="72">
        <f>SUM(K62:K63)</f>
        <v>26000</v>
      </c>
      <c r="M62" s="69">
        <f>L62-26000</f>
        <v>0</v>
      </c>
      <c r="N62" s="84" t="s">
        <v>265</v>
      </c>
    </row>
    <row r="63" spans="1:14" x14ac:dyDescent="0.35">
      <c r="B63" s="74"/>
      <c r="C63" s="74"/>
      <c r="D63" s="74"/>
      <c r="E63" s="96" t="s">
        <v>212</v>
      </c>
      <c r="F63" s="74">
        <v>30</v>
      </c>
      <c r="G63" s="74" t="s">
        <v>145</v>
      </c>
      <c r="H63" s="74">
        <f>F63*6</f>
        <v>180</v>
      </c>
      <c r="I63" s="74" t="s">
        <v>223</v>
      </c>
      <c r="J63" s="74">
        <v>160</v>
      </c>
      <c r="K63" s="72">
        <f>F63*J63</f>
        <v>4800</v>
      </c>
      <c r="L63" s="72"/>
      <c r="M63" s="69"/>
    </row>
    <row r="64" spans="1:14" x14ac:dyDescent="0.35">
      <c r="A64" s="87" t="s">
        <v>221</v>
      </c>
      <c r="B64" s="74" t="s">
        <v>222</v>
      </c>
      <c r="C64" s="74" t="s">
        <v>267</v>
      </c>
      <c r="D64" s="74" t="s">
        <v>143</v>
      </c>
      <c r="E64" s="96" t="s">
        <v>211</v>
      </c>
      <c r="F64" s="74">
        <v>80</v>
      </c>
      <c r="G64" s="74" t="s">
        <v>145</v>
      </c>
      <c r="H64" s="74">
        <f>F64*6</f>
        <v>480</v>
      </c>
      <c r="I64" s="74" t="s">
        <v>223</v>
      </c>
      <c r="J64" s="74">
        <v>265</v>
      </c>
      <c r="K64" s="72">
        <f>F64*J64</f>
        <v>21200</v>
      </c>
      <c r="L64" s="72">
        <f>SUM(K64:K65)</f>
        <v>26000</v>
      </c>
      <c r="M64" s="69">
        <f>L64-26000</f>
        <v>0</v>
      </c>
      <c r="N64" s="84" t="s">
        <v>265</v>
      </c>
    </row>
    <row r="65" spans="1:14" x14ac:dyDescent="0.35">
      <c r="B65" s="74"/>
      <c r="C65" s="74"/>
      <c r="D65" s="74"/>
      <c r="E65" s="96" t="s">
        <v>212</v>
      </c>
      <c r="F65" s="74">
        <v>30</v>
      </c>
      <c r="G65" s="74" t="s">
        <v>145</v>
      </c>
      <c r="H65" s="74">
        <f>F65*6</f>
        <v>180</v>
      </c>
      <c r="I65" s="74" t="s">
        <v>223</v>
      </c>
      <c r="J65" s="74">
        <v>160</v>
      </c>
      <c r="K65" s="72">
        <f>F65*J65</f>
        <v>4800</v>
      </c>
      <c r="L65" s="72"/>
      <c r="M65" s="69"/>
    </row>
    <row r="66" spans="1:14" x14ac:dyDescent="0.35">
      <c r="A66" s="109" t="s">
        <v>221</v>
      </c>
      <c r="B66" s="86"/>
      <c r="C66" s="86"/>
      <c r="D66" s="86"/>
      <c r="E66" s="105" t="s">
        <v>211</v>
      </c>
      <c r="F66" s="86">
        <v>32</v>
      </c>
      <c r="G66" s="86" t="s">
        <v>145</v>
      </c>
      <c r="H66" s="86"/>
      <c r="I66" s="86"/>
      <c r="J66" s="86">
        <v>265</v>
      </c>
      <c r="K66" s="106">
        <f>F66*J66</f>
        <v>8480</v>
      </c>
      <c r="L66" s="106">
        <f>SUM(K66:K66)</f>
        <v>8480</v>
      </c>
      <c r="M66" s="107"/>
      <c r="N66" s="108"/>
    </row>
    <row r="67" spans="1:14" x14ac:dyDescent="0.35">
      <c r="E67" s="96" t="s">
        <v>108</v>
      </c>
      <c r="F67" s="74">
        <v>136</v>
      </c>
      <c r="G67" s="74" t="s">
        <v>145</v>
      </c>
      <c r="H67" s="74">
        <f>F67*6</f>
        <v>816</v>
      </c>
      <c r="I67" s="74" t="s">
        <v>223</v>
      </c>
      <c r="J67" s="74">
        <f>masterlist_log!P17</f>
        <v>35.64</v>
      </c>
      <c r="K67" s="72">
        <f>J67*F67</f>
        <v>4847.04</v>
      </c>
      <c r="L67" s="72">
        <f>SUM(K67:K74)</f>
        <v>24805.32</v>
      </c>
      <c r="M67" s="107">
        <f>L67-26000</f>
        <v>-1194.6800000000003</v>
      </c>
      <c r="N67" s="84" t="s">
        <v>184</v>
      </c>
    </row>
    <row r="69" spans="1:14" x14ac:dyDescent="0.35">
      <c r="A69" s="87" t="s">
        <v>157</v>
      </c>
      <c r="B69" s="74" t="s">
        <v>220</v>
      </c>
      <c r="C69" s="74" t="s">
        <v>268</v>
      </c>
      <c r="D69" s="74" t="s">
        <v>143</v>
      </c>
      <c r="E69" s="96" t="s">
        <v>106</v>
      </c>
      <c r="F69" s="74">
        <v>600</v>
      </c>
      <c r="G69" s="74" t="s">
        <v>145</v>
      </c>
      <c r="H69" s="74">
        <f t="shared" ref="H69:H74" si="3">F69*6</f>
        <v>3600</v>
      </c>
      <c r="I69" s="74" t="s">
        <v>223</v>
      </c>
      <c r="J69" s="74">
        <f>masterlist_log!P18</f>
        <v>18.079999999999998</v>
      </c>
      <c r="K69" s="72">
        <f t="shared" ref="K69:K74" si="4">J69*F69</f>
        <v>10847.999999999998</v>
      </c>
      <c r="L69" s="72"/>
      <c r="M69" s="69"/>
    </row>
    <row r="70" spans="1:14" x14ac:dyDescent="0.35">
      <c r="B70" s="74"/>
      <c r="C70" s="74"/>
      <c r="D70" s="74"/>
      <c r="E70" s="96" t="s">
        <v>104</v>
      </c>
      <c r="F70" s="74">
        <v>200</v>
      </c>
      <c r="G70" s="74" t="s">
        <v>145</v>
      </c>
      <c r="H70" s="74">
        <f t="shared" si="3"/>
        <v>1200</v>
      </c>
      <c r="I70" s="74" t="s">
        <v>223</v>
      </c>
      <c r="J70" s="74">
        <f>masterlist_log!P19</f>
        <v>10.55</v>
      </c>
      <c r="K70" s="72">
        <f t="shared" si="4"/>
        <v>2110</v>
      </c>
      <c r="L70" s="72"/>
      <c r="M70" s="69"/>
    </row>
    <row r="71" spans="1:14" x14ac:dyDescent="0.35">
      <c r="B71" s="74"/>
      <c r="C71" s="74"/>
      <c r="D71" s="74"/>
      <c r="E71" s="96" t="s">
        <v>102</v>
      </c>
      <c r="F71" s="74">
        <v>840</v>
      </c>
      <c r="G71" s="74" t="s">
        <v>145</v>
      </c>
      <c r="H71" s="74">
        <f t="shared" si="3"/>
        <v>5040</v>
      </c>
      <c r="I71" s="74" t="s">
        <v>223</v>
      </c>
      <c r="J71" s="74">
        <f>masterlist_log!P20</f>
        <v>4.24</v>
      </c>
      <c r="K71" s="72">
        <f t="shared" si="4"/>
        <v>3561.6000000000004</v>
      </c>
      <c r="L71" s="72"/>
      <c r="M71" s="69"/>
    </row>
    <row r="72" spans="1:14" x14ac:dyDescent="0.35">
      <c r="B72" s="74"/>
      <c r="C72" s="74"/>
      <c r="D72" s="74"/>
      <c r="E72" s="96" t="s">
        <v>100</v>
      </c>
      <c r="F72" s="74">
        <v>96</v>
      </c>
      <c r="G72" s="74" t="s">
        <v>145</v>
      </c>
      <c r="H72" s="74">
        <f t="shared" si="3"/>
        <v>576</v>
      </c>
      <c r="I72" s="74" t="s">
        <v>223</v>
      </c>
      <c r="J72" s="74">
        <f>masterlist_log!P21</f>
        <v>11.78</v>
      </c>
      <c r="K72" s="72">
        <f t="shared" si="4"/>
        <v>1130.8799999999999</v>
      </c>
      <c r="L72" s="72"/>
      <c r="M72" s="69"/>
    </row>
    <row r="73" spans="1:14" x14ac:dyDescent="0.35">
      <c r="B73" s="74"/>
      <c r="C73" s="74"/>
      <c r="D73" s="74"/>
      <c r="E73" s="96" t="s">
        <v>98</v>
      </c>
      <c r="F73" s="74">
        <v>40</v>
      </c>
      <c r="G73" s="74" t="s">
        <v>145</v>
      </c>
      <c r="H73" s="74">
        <f t="shared" si="3"/>
        <v>240</v>
      </c>
      <c r="I73" s="74" t="s">
        <v>223</v>
      </c>
      <c r="J73" s="74">
        <f>masterlist_log!P22</f>
        <v>22.37</v>
      </c>
      <c r="K73" s="72">
        <f t="shared" si="4"/>
        <v>894.80000000000007</v>
      </c>
      <c r="L73" s="72"/>
      <c r="M73" s="69"/>
    </row>
    <row r="74" spans="1:14" x14ac:dyDescent="0.35">
      <c r="B74" s="74"/>
      <c r="C74" s="74"/>
      <c r="D74" s="74"/>
      <c r="E74" s="96" t="s">
        <v>96</v>
      </c>
      <c r="F74" s="74">
        <v>60</v>
      </c>
      <c r="G74" s="74" t="s">
        <v>145</v>
      </c>
      <c r="H74" s="74">
        <f t="shared" si="3"/>
        <v>360</v>
      </c>
      <c r="I74" s="74" t="s">
        <v>223</v>
      </c>
      <c r="J74" s="74">
        <f>masterlist_log!P23</f>
        <v>23.55</v>
      </c>
      <c r="K74" s="72">
        <f t="shared" si="4"/>
        <v>1413</v>
      </c>
      <c r="L74" s="72"/>
      <c r="M74" s="69"/>
    </row>
    <row r="75" spans="1:14" x14ac:dyDescent="0.35">
      <c r="B75" s="74"/>
      <c r="C75" s="74"/>
      <c r="D75" s="74"/>
      <c r="E75" s="96"/>
      <c r="F75" s="74"/>
      <c r="G75" s="74"/>
      <c r="H75" s="74"/>
      <c r="I75" s="74"/>
      <c r="J75" s="74"/>
      <c r="K75" s="74"/>
      <c r="L75" s="74"/>
    </row>
    <row r="76" spans="1:14" x14ac:dyDescent="0.35">
      <c r="B76" s="74"/>
      <c r="C76" s="74"/>
      <c r="D76" s="74"/>
      <c r="E76" s="96"/>
      <c r="F76" s="74"/>
      <c r="G76" s="74"/>
      <c r="H76" s="74"/>
      <c r="I76" s="74"/>
      <c r="J76" s="74"/>
      <c r="K76" s="74"/>
      <c r="L76" s="74"/>
    </row>
    <row r="77" spans="1:14" x14ac:dyDescent="0.35">
      <c r="B77" s="74"/>
      <c r="C77" s="74"/>
      <c r="D77" s="74"/>
      <c r="E77" s="96"/>
      <c r="F77" s="74"/>
      <c r="G77" s="74"/>
      <c r="H77" s="74"/>
      <c r="I77" s="74"/>
      <c r="J77" s="74"/>
      <c r="K77" s="74"/>
      <c r="L77" s="74"/>
    </row>
  </sheetData>
  <protectedRanges>
    <protectedRange algorithmName="SHA-512" hashValue="K4+4yZd0RhXEtsHfj98TrL7ZtIuw2hOCcqpg8oENky7Mmtjd9zaW34H1PDuhYjlxkr5O4bRbzKoXgmdBlczw3g==" saltValue="hpRhFBnulTT3VeVePvCuUg==" spinCount="100000" sqref="E56:E57 J56:K56 J57 K57:K60" name="PROJE OFİSİ"/>
    <protectedRange algorithmName="SHA-512" hashValue="K4+4yZd0RhXEtsHfj98TrL7ZtIuw2hOCcqpg8oENky7Mmtjd9zaW34H1PDuhYjlxkr5O4bRbzKoXgmdBlczw3g==" saltValue="hpRhFBnulTT3VeVePvCuUg==" spinCount="100000" sqref="F56:G57 G58:G60 I56:I60" name="PROJE OFİSİ_1"/>
    <protectedRange algorithmName="SHA-512" hashValue="K4+4yZd0RhXEtsHfj98TrL7ZtIuw2hOCcqpg8oENky7Mmtjd9zaW34H1PDuhYjlxkr5O4bRbzKoXgmdBlczw3g==" saltValue="hpRhFBnulTT3VeVePvCuUg==" spinCount="100000" sqref="E59 J58:J59" name="PROJE OFİSİ_2"/>
    <protectedRange algorithmName="SHA-512" hashValue="jEUMdggTDLQFCxrKCCnMQ/T2MzXSyHtOPtm/AhAFn9X9+Lfb50YZB4dmftFgWrdISbRTmnP2NTOH1Mzpn4HeBA==" saltValue="2NW3q98r4PgEjZ06GHzBJA==" spinCount="100000" sqref="E58" name="SATINALMA_1_4"/>
    <protectedRange algorithmName="SHA-512" hashValue="K4+4yZd0RhXEtsHfj98TrL7ZtIuw2hOCcqpg8oENky7Mmtjd9zaW34H1PDuhYjlxkr5O4bRbzKoXgmdBlczw3g==" saltValue="hpRhFBnulTT3VeVePvCuUg==" spinCount="100000" sqref="F58:F59" name="PROJE OFİSİ_1_1"/>
    <protectedRange algorithmName="SHA-512" hashValue="K4+4yZd0RhXEtsHfj98TrL7ZtIuw2hOCcqpg8oENky7Mmtjd9zaW34H1PDuhYjlxkr5O4bRbzKoXgmdBlczw3g==" saltValue="hpRhFBnulTT3VeVePvCuUg==" spinCount="100000" sqref="F60 J60" name="PROJE OFİSİ_3"/>
    <protectedRange algorithmName="SHA-512" hashValue="jEUMdggTDLQFCxrKCCnMQ/T2MzXSyHtOPtm/AhAFn9X9+Lfb50YZB4dmftFgWrdISbRTmnP2NTOH1Mzpn4HeBA==" saltValue="2NW3q98r4PgEjZ06GHzBJA==" spinCount="100000" sqref="E60" name="SATINALMA_1_4_1"/>
  </protectedRange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BA14-5E85-4FBD-936B-EDB85F279832}">
  <dimension ref="A1:T4"/>
  <sheetViews>
    <sheetView workbookViewId="0">
      <selection activeCell="H9" sqref="H9"/>
    </sheetView>
  </sheetViews>
  <sheetFormatPr defaultRowHeight="14.5" x14ac:dyDescent="0.35"/>
  <cols>
    <col min="1" max="1" width="8.7265625" style="39"/>
    <col min="2" max="2" width="6.08984375" style="39" customWidth="1"/>
    <col min="3" max="4" width="10.7265625" style="39" customWidth="1"/>
    <col min="5" max="5" width="13.54296875" style="39" customWidth="1"/>
    <col min="6" max="6" width="8.7265625" style="39"/>
    <col min="7" max="7" width="20.36328125" style="39" customWidth="1"/>
    <col min="8" max="8" width="25.6328125" style="39" customWidth="1"/>
    <col min="9" max="9" width="11.81640625" style="39" customWidth="1"/>
    <col min="10" max="20" width="8.7265625" style="39"/>
  </cols>
  <sheetData>
    <row r="1" spans="1:20" ht="43.5" x14ac:dyDescent="0.35">
      <c r="A1" s="37" t="s">
        <v>125</v>
      </c>
      <c r="B1" s="37" t="s">
        <v>152</v>
      </c>
      <c r="C1" s="37" t="s">
        <v>153</v>
      </c>
      <c r="D1" s="37" t="s">
        <v>126</v>
      </c>
      <c r="E1" s="37" t="s">
        <v>127</v>
      </c>
      <c r="F1" s="37" t="s">
        <v>128</v>
      </c>
      <c r="G1" s="37" t="s">
        <v>129</v>
      </c>
      <c r="H1" s="37" t="s">
        <v>130</v>
      </c>
      <c r="I1" s="37" t="s">
        <v>131</v>
      </c>
      <c r="J1" s="37" t="s">
        <v>132</v>
      </c>
      <c r="K1" s="37" t="s">
        <v>133</v>
      </c>
      <c r="L1" s="37" t="s">
        <v>134</v>
      </c>
      <c r="M1" s="37" t="s">
        <v>135</v>
      </c>
      <c r="N1" s="37" t="s">
        <v>136</v>
      </c>
      <c r="O1" s="37" t="s">
        <v>137</v>
      </c>
      <c r="P1" s="37" t="s">
        <v>138</v>
      </c>
      <c r="Q1" s="37" t="s">
        <v>139</v>
      </c>
      <c r="R1" s="37" t="s">
        <v>140</v>
      </c>
      <c r="S1" s="37" t="s">
        <v>141</v>
      </c>
      <c r="T1" s="37" t="s">
        <v>142</v>
      </c>
    </row>
    <row r="2" spans="1:20" x14ac:dyDescent="0.35">
      <c r="A2" s="36"/>
      <c r="B2" s="36"/>
      <c r="C2" s="36"/>
      <c r="D2" s="38"/>
      <c r="E2" s="36"/>
      <c r="F2" s="36"/>
      <c r="G2" s="36"/>
      <c r="H2" s="36"/>
      <c r="I2" s="36"/>
      <c r="J2" s="36"/>
      <c r="K2" s="36"/>
      <c r="L2" s="36"/>
    </row>
    <row r="3" spans="1:20" x14ac:dyDescent="0.35">
      <c r="A3" s="36"/>
      <c r="B3" s="36"/>
      <c r="C3" s="36"/>
      <c r="D3" s="38"/>
      <c r="E3" s="36"/>
      <c r="F3" s="36"/>
      <c r="G3" s="36"/>
      <c r="H3" s="36"/>
      <c r="I3" s="36"/>
      <c r="J3" s="36"/>
      <c r="K3" s="36"/>
      <c r="L3" s="36"/>
    </row>
    <row r="4" spans="1:20" x14ac:dyDescent="0.35">
      <c r="A4" s="36"/>
      <c r="B4" s="36"/>
      <c r="C4" s="36"/>
      <c r="D4" s="38"/>
      <c r="E4" s="36"/>
      <c r="F4" s="36"/>
      <c r="G4" s="36"/>
      <c r="H4" s="36"/>
      <c r="I4" s="36"/>
      <c r="J4" s="36"/>
      <c r="K4" s="36"/>
      <c r="L4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FD12-69ED-48FF-B1A5-E7AA028C3F56}">
  <dimension ref="A1:G1"/>
  <sheetViews>
    <sheetView workbookViewId="0">
      <selection activeCell="K13" sqref="K13"/>
    </sheetView>
  </sheetViews>
  <sheetFormatPr defaultRowHeight="14.5" x14ac:dyDescent="0.35"/>
  <cols>
    <col min="2" max="2" width="13.81640625" customWidth="1"/>
    <col min="6" max="6" width="13.7265625" customWidth="1"/>
  </cols>
  <sheetData>
    <row r="1" spans="1:7" ht="29" x14ac:dyDescent="0.35">
      <c r="A1" s="37" t="s">
        <v>147</v>
      </c>
      <c r="B1" s="37" t="s">
        <v>131</v>
      </c>
      <c r="C1" s="37" t="s">
        <v>132</v>
      </c>
      <c r="D1" s="37" t="s">
        <v>148</v>
      </c>
      <c r="E1" s="37" t="s">
        <v>149</v>
      </c>
      <c r="F1" s="37" t="s">
        <v>150</v>
      </c>
      <c r="G1" s="3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masterlist_log</vt:lpstr>
      <vt:lpstr>isk_shp1</vt:lpstr>
      <vt:lpstr>Container_Plan</vt:lpstr>
      <vt:lpstr>Shipment_View</vt:lpstr>
      <vt:lpstr>Packing_List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64197</dc:creator>
  <cp:lastModifiedBy>Burcu ADIGÜZEL</cp:lastModifiedBy>
  <dcterms:created xsi:type="dcterms:W3CDTF">2026-03-09T18:22:34Z</dcterms:created>
  <dcterms:modified xsi:type="dcterms:W3CDTF">2026-03-23T18:15:53Z</dcterms:modified>
</cp:coreProperties>
</file>