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mpo-my.sharepoint.com/personal/procurement_vimpo_com/Documents/Masaüstü/00---039-VMP-S01064-ATP_5000m3_Libya/4-Logistics/BGZ_01_1st shipment/PL_invoice-shipdocs/"/>
    </mc:Choice>
  </mc:AlternateContent>
  <xr:revisionPtr revIDLastSave="870" documentId="13_ncr:1_{AFCB54F0-22E8-40B6-8E1C-C6467B05AB08}" xr6:coauthVersionLast="47" xr6:coauthVersionMax="47" xr10:uidLastSave="{6DC218E7-CFD6-431B-B071-C9EDF467DBDC}"/>
  <bookViews>
    <workbookView xWindow="-110" yWindow="-110" windowWidth="19420" windowHeight="10300" firstSheet="1" activeTab="1" xr2:uid="{45036DCF-1C36-4BEA-83C2-F9BA1C1831A9}"/>
  </bookViews>
  <sheets>
    <sheet name="sum" sheetId="16" r:id="rId1"/>
    <sheet name="TEXU157632-4" sheetId="8" r:id="rId2"/>
    <sheet name="TRIU052057-7" sheetId="4" r:id="rId3"/>
    <sheet name="TCLU714897-6" sheetId="7" r:id="rId4"/>
    <sheet name="TCLU706964-5" sheetId="12" r:id="rId5"/>
    <sheet name="TCLU715830-0" sheetId="10" r:id="rId6"/>
    <sheet name="TRIU053641-8" sheetId="14" r:id="rId7"/>
    <sheet name="TEXU158527-0" sheetId="9" r:id="rId8"/>
    <sheet name="TRIU056682-9" sheetId="13" r:id="rId9"/>
    <sheet name="TCLU716779-1" sheetId="11" r:id="rId10"/>
    <sheet name="TRIU056653-6" sheetId="15" r:id="rId11"/>
  </sheets>
  <definedNames>
    <definedName name="_xlnm._FilterDatabase" localSheetId="4" hidden="1">'TCLU706964-5'!$A$12:$O$22</definedName>
    <definedName name="_xlnm._FilterDatabase" localSheetId="3" hidden="1">'TCLU714897-6'!$A$12:$O$22</definedName>
    <definedName name="_xlnm._FilterDatabase" localSheetId="5" hidden="1">'TCLU715830-0'!$A$12:$O$22</definedName>
    <definedName name="_xlnm._FilterDatabase" localSheetId="9" hidden="1">'TCLU716779-1'!$A$12:$O$22</definedName>
    <definedName name="_xlnm._FilterDatabase" localSheetId="1" hidden="1">'TEXU157632-4'!$A$12:$O$22</definedName>
    <definedName name="_xlnm._FilterDatabase" localSheetId="7" hidden="1">'TEXU158527-0'!$A$12:$O$22</definedName>
    <definedName name="_xlnm._FilterDatabase" localSheetId="2" hidden="1">'TRIU052057-7'!$A$12:$O$22</definedName>
    <definedName name="_xlnm._FilterDatabase" localSheetId="6" hidden="1">'TRIU053641-8'!$A$12:$O$22</definedName>
    <definedName name="_xlnm._FilterDatabase" localSheetId="10" hidden="1">'TRIU056653-6'!$A$12:$O$22</definedName>
    <definedName name="_xlnm._FilterDatabase" localSheetId="8" hidden="1">'TRIU056682-9'!$A$12:$O$22</definedName>
    <definedName name="_xlnm.Print_Area" localSheetId="6">'TRIU053641-8'!$A$1:$O$39</definedName>
    <definedName name="_xlnm.Print_Titles" localSheetId="4">'TCLU706964-5'!$1:$12</definedName>
    <definedName name="_xlnm.Print_Titles" localSheetId="3">'TCLU714897-6'!$1:$12</definedName>
    <definedName name="_xlnm.Print_Titles" localSheetId="5">'TCLU715830-0'!$1:$12</definedName>
    <definedName name="_xlnm.Print_Titles" localSheetId="9">'TCLU716779-1'!$1:$12</definedName>
    <definedName name="_xlnm.Print_Titles" localSheetId="1">'TEXU157632-4'!$1:$12</definedName>
    <definedName name="_xlnm.Print_Titles" localSheetId="7">'TEXU158527-0'!$1:$12</definedName>
    <definedName name="_xlnm.Print_Titles" localSheetId="2">'TRIU052057-7'!$1:$12</definedName>
    <definedName name="_xlnm.Print_Titles" localSheetId="6">'TRIU053641-8'!$1:$12</definedName>
    <definedName name="_xlnm.Print_Titles" localSheetId="10">'TRIU056653-6'!$1:$12</definedName>
    <definedName name="_xlnm.Print_Titles" localSheetId="8">'TRIU056682-9'!$1:$12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6" l="1"/>
  <c r="C11" i="16"/>
  <c r="B11" i="16"/>
  <c r="C10" i="16"/>
  <c r="B10" i="16"/>
  <c r="C9" i="16"/>
  <c r="B9" i="16"/>
  <c r="C8" i="16"/>
  <c r="B8" i="16"/>
  <c r="C7" i="16"/>
  <c r="B7" i="16"/>
  <c r="C6" i="16"/>
  <c r="B6" i="16"/>
  <c r="C5" i="16"/>
  <c r="B5" i="16"/>
  <c r="C4" i="16"/>
  <c r="B4" i="16"/>
  <c r="C3" i="16"/>
  <c r="C2" i="16"/>
  <c r="B2" i="16"/>
  <c r="O25" i="15" l="1"/>
  <c r="L25" i="15"/>
  <c r="I25" i="15"/>
  <c r="F25" i="15"/>
  <c r="C25" i="15"/>
  <c r="O23" i="15"/>
  <c r="N23" i="15"/>
  <c r="M23" i="15"/>
  <c r="G23" i="15"/>
  <c r="O22" i="15"/>
  <c r="O21" i="15"/>
  <c r="O20" i="15"/>
  <c r="O19" i="15"/>
  <c r="L25" i="14"/>
  <c r="I25" i="14"/>
  <c r="F25" i="14"/>
  <c r="C25" i="14"/>
  <c r="O23" i="14"/>
  <c r="N23" i="14"/>
  <c r="M23" i="14"/>
  <c r="G23" i="14"/>
  <c r="O22" i="14"/>
  <c r="O21" i="14"/>
  <c r="O20" i="14"/>
  <c r="O19" i="14"/>
  <c r="O25" i="14" s="1"/>
  <c r="L25" i="13"/>
  <c r="I25" i="13"/>
  <c r="F25" i="13"/>
  <c r="C25" i="13"/>
  <c r="N23" i="13"/>
  <c r="M23" i="13"/>
  <c r="G23" i="13"/>
  <c r="O22" i="13"/>
  <c r="O21" i="13"/>
  <c r="O20" i="13"/>
  <c r="O19" i="13"/>
  <c r="O25" i="13" s="1"/>
  <c r="L25" i="12"/>
  <c r="I25" i="12"/>
  <c r="F25" i="12"/>
  <c r="C25" i="12"/>
  <c r="N23" i="12"/>
  <c r="M23" i="12"/>
  <c r="G23" i="12"/>
  <c r="O22" i="12"/>
  <c r="O21" i="12"/>
  <c r="O20" i="12"/>
  <c r="O19" i="12"/>
  <c r="O23" i="12" s="1"/>
  <c r="L25" i="11"/>
  <c r="I25" i="11"/>
  <c r="F25" i="11"/>
  <c r="C25" i="11"/>
  <c r="N23" i="11"/>
  <c r="M23" i="11"/>
  <c r="G23" i="11"/>
  <c r="O22" i="11"/>
  <c r="O21" i="11"/>
  <c r="O20" i="11"/>
  <c r="O23" i="11" s="1"/>
  <c r="O19" i="11"/>
  <c r="O25" i="11" s="1"/>
  <c r="L25" i="10"/>
  <c r="I25" i="10"/>
  <c r="F25" i="10"/>
  <c r="C25" i="10"/>
  <c r="N23" i="10"/>
  <c r="M23" i="10"/>
  <c r="G23" i="10"/>
  <c r="O22" i="10"/>
  <c r="O21" i="10"/>
  <c r="O20" i="10"/>
  <c r="O23" i="10" s="1"/>
  <c r="O19" i="10"/>
  <c r="O25" i="10" s="1"/>
  <c r="L25" i="9"/>
  <c r="I25" i="9"/>
  <c r="F25" i="9"/>
  <c r="C25" i="9"/>
  <c r="N23" i="9"/>
  <c r="M23" i="9"/>
  <c r="G23" i="9"/>
  <c r="O22" i="9"/>
  <c r="O21" i="9"/>
  <c r="O20" i="9"/>
  <c r="O19" i="9"/>
  <c r="O25" i="9"/>
  <c r="L25" i="8"/>
  <c r="I25" i="8"/>
  <c r="F25" i="8"/>
  <c r="C25" i="8"/>
  <c r="N23" i="8"/>
  <c r="M23" i="8"/>
  <c r="G23" i="8"/>
  <c r="O22" i="8"/>
  <c r="O21" i="8"/>
  <c r="O20" i="8"/>
  <c r="O19" i="8"/>
  <c r="O18" i="8"/>
  <c r="O17" i="8"/>
  <c r="O16" i="8"/>
  <c r="O15" i="8"/>
  <c r="O14" i="8"/>
  <c r="O13" i="8"/>
  <c r="O23" i="8" s="1"/>
  <c r="L25" i="7"/>
  <c r="I25" i="7"/>
  <c r="F25" i="7"/>
  <c r="C25" i="7"/>
  <c r="N23" i="7"/>
  <c r="M23" i="7"/>
  <c r="G23" i="7"/>
  <c r="O22" i="7"/>
  <c r="O21" i="7"/>
  <c r="O20" i="7"/>
  <c r="O19" i="7"/>
  <c r="O18" i="7"/>
  <c r="O17" i="7"/>
  <c r="O16" i="7"/>
  <c r="O15" i="7"/>
  <c r="O14" i="7"/>
  <c r="O13" i="7"/>
  <c r="O23" i="13" l="1"/>
  <c r="O25" i="12"/>
  <c r="O23" i="9"/>
  <c r="O25" i="8"/>
  <c r="O25" i="7"/>
  <c r="O23" i="7"/>
  <c r="L25" i="4"/>
  <c r="I25" i="4"/>
  <c r="B3" i="16" s="1"/>
  <c r="B12" i="16" s="1"/>
  <c r="F25" i="4"/>
  <c r="C25" i="4"/>
  <c r="N23" i="4"/>
  <c r="M23" i="4"/>
  <c r="G23" i="4"/>
  <c r="O22" i="4"/>
  <c r="O21" i="4"/>
  <c r="O20" i="4"/>
  <c r="O19" i="4"/>
  <c r="O18" i="4"/>
  <c r="O17" i="4"/>
  <c r="O16" i="4"/>
  <c r="O15" i="4"/>
  <c r="O14" i="4"/>
  <c r="O13" i="4"/>
  <c r="O25" i="4" l="1"/>
  <c r="O2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1D23CBF4-EACB-4F1E-AF6E-4E91FE87F7C0}">
      <text>
        <r>
          <rPr>
            <sz val="11"/>
            <color theme="1"/>
            <rFont val="Aptos Narrow"/>
            <family val="2"/>
            <scheme val="minor"/>
          </rPr>
          <t>Kendi logonuzu bu alana yerleştirebilirsiniz.</t>
        </r>
      </text>
    </comment>
    <comment ref="A37" authorId="0" shapeId="0" xr:uid="{61502BA0-D6AD-4FF2-911E-3FC13E5B78ED}">
      <text>
        <r>
          <rPr>
            <sz val="11"/>
            <color theme="1"/>
            <rFont val="Aptos Narrow"/>
            <family val="2"/>
            <scheme val="minor"/>
          </rPr>
          <t>Firma adı ve iletişim bilgilerini kurumsal kimliğinize göre güncelleyin.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93CE57EB-8279-44C5-BC5E-AF68392A049A}">
      <text>
        <r>
          <rPr>
            <sz val="11"/>
            <color theme="1"/>
            <rFont val="Aptos Narrow"/>
            <family val="2"/>
            <scheme val="minor"/>
          </rPr>
          <t>Kendi logonuzu bu alana yerleştirebilirsiniz.</t>
        </r>
      </text>
    </comment>
    <comment ref="A37" authorId="0" shapeId="0" xr:uid="{9230D680-E36C-4B5C-90F8-117899043F10}">
      <text>
        <r>
          <rPr>
            <sz val="11"/>
            <color theme="1"/>
            <rFont val="Aptos Narrow"/>
            <family val="2"/>
            <scheme val="minor"/>
          </rPr>
          <t>Firma adı ve iletişim bilgilerini kurumsal kimliğinize göre güncelleyin.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92FF21D7-0CDA-4EBA-B44F-6C013480E9B2}">
      <text>
        <r>
          <rPr>
            <sz val="11"/>
            <color theme="1"/>
            <rFont val="Aptos Narrow"/>
            <family val="2"/>
            <scheme val="minor"/>
          </rPr>
          <t>Kendi logonuzu bu alana yerleştirebilirsiniz.</t>
        </r>
      </text>
    </comment>
    <comment ref="A37" authorId="0" shapeId="0" xr:uid="{8C1D189A-336E-4A36-9663-B67ED23A23F5}">
      <text>
        <r>
          <rPr>
            <sz val="11"/>
            <color theme="1"/>
            <rFont val="Aptos Narrow"/>
            <family val="2"/>
            <scheme val="minor"/>
          </rPr>
          <t>Firma adı ve iletişim bilgilerini kurumsal kimliğinize göre güncelleyin.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BD121087-DEBE-42EB-9AB3-B6B8B669BC37}">
      <text>
        <r>
          <rPr>
            <sz val="11"/>
            <color theme="1"/>
            <rFont val="Aptos Narrow"/>
            <family val="2"/>
            <scheme val="minor"/>
          </rPr>
          <t>Kendi logonuzu bu alana yerleştirebilirsiniz.</t>
        </r>
      </text>
    </comment>
    <comment ref="A37" authorId="0" shapeId="0" xr:uid="{E1CD0178-B82F-4347-8277-FE815B0E0A13}">
      <text>
        <r>
          <rPr>
            <sz val="11"/>
            <color theme="1"/>
            <rFont val="Aptos Narrow"/>
            <family val="2"/>
            <scheme val="minor"/>
          </rPr>
          <t>Firma adı ve iletişim bilgilerini kurumsal kimliğinize göre güncelleyin.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215D8B95-580F-4A09-B4F3-7E644BC0EACA}">
      <text>
        <r>
          <rPr>
            <sz val="11"/>
            <color theme="1"/>
            <rFont val="Aptos Narrow"/>
            <family val="2"/>
            <scheme val="minor"/>
          </rPr>
          <t>Kendi logonuzu bu alana yerleştirebilirsiniz.</t>
        </r>
      </text>
    </comment>
    <comment ref="A37" authorId="0" shapeId="0" xr:uid="{31DD26E1-5997-4F7A-BBEA-3D04C8695FCB}">
      <text>
        <r>
          <rPr>
            <sz val="11"/>
            <color theme="1"/>
            <rFont val="Aptos Narrow"/>
            <family val="2"/>
            <scheme val="minor"/>
          </rPr>
          <t>Firma adı ve iletişim bilgilerini kurumsal kimliğinize göre güncelleyin.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5760E3D-2C5C-4FC3-986E-CC82B65E356F}">
      <text>
        <r>
          <rPr>
            <sz val="11"/>
            <color theme="1"/>
            <rFont val="Aptos Narrow"/>
            <family val="2"/>
            <scheme val="minor"/>
          </rPr>
          <t>Kendi logonuzu bu alana yerleştirebilirsiniz.</t>
        </r>
      </text>
    </comment>
    <comment ref="A37" authorId="0" shapeId="0" xr:uid="{27D13FF1-85CB-4861-B5F8-0B2D1017E054}">
      <text>
        <r>
          <rPr>
            <sz val="11"/>
            <color theme="1"/>
            <rFont val="Aptos Narrow"/>
            <family val="2"/>
            <scheme val="minor"/>
          </rPr>
          <t>Firma adı ve iletişim bilgilerini kurumsal kimliğinize göre güncelleyin.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D4549DCA-FE5E-47D7-AA56-E65DA2F90FC6}">
      <text>
        <r>
          <rPr>
            <sz val="11"/>
            <color theme="1"/>
            <rFont val="Aptos Narrow"/>
            <family val="2"/>
            <scheme val="minor"/>
          </rPr>
          <t>Kendi logonuzu bu alana yerleştirebilirsiniz.</t>
        </r>
      </text>
    </comment>
    <comment ref="A37" authorId="0" shapeId="0" xr:uid="{D79AD91F-273B-4575-A095-F1AA9717441A}">
      <text>
        <r>
          <rPr>
            <sz val="11"/>
            <color theme="1"/>
            <rFont val="Aptos Narrow"/>
            <family val="2"/>
            <scheme val="minor"/>
          </rPr>
          <t>Firma adı ve iletişim bilgilerini kurumsal kimliğinize göre güncelleyin.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5132AF07-F13C-4912-82B7-0E6642C8D6A4}">
      <text>
        <r>
          <rPr>
            <sz val="11"/>
            <color theme="1"/>
            <rFont val="Aptos Narrow"/>
            <family val="2"/>
            <scheme val="minor"/>
          </rPr>
          <t>Kendi logonuzu bu alana yerleştirebilirsiniz.</t>
        </r>
      </text>
    </comment>
    <comment ref="A37" authorId="0" shapeId="0" xr:uid="{051C9CD2-2AB8-487B-A08F-3C24F7B6E8FB}">
      <text>
        <r>
          <rPr>
            <sz val="11"/>
            <color theme="1"/>
            <rFont val="Aptos Narrow"/>
            <family val="2"/>
            <scheme val="minor"/>
          </rPr>
          <t>Firma adı ve iletişim bilgilerini kurumsal kimliğinize göre güncelleyin.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888ED9AA-3943-45EC-8C4E-B73DFD32F5C3}">
      <text>
        <r>
          <rPr>
            <sz val="11"/>
            <color theme="1"/>
            <rFont val="Aptos Narrow"/>
            <family val="2"/>
            <scheme val="minor"/>
          </rPr>
          <t>Kendi logonuzu bu alana yerleştirebilirsiniz.</t>
        </r>
      </text>
    </comment>
    <comment ref="A37" authorId="0" shapeId="0" xr:uid="{6948C518-57AB-41B1-91BA-31FB699CFF47}">
      <text>
        <r>
          <rPr>
            <sz val="11"/>
            <color theme="1"/>
            <rFont val="Aptos Narrow"/>
            <family val="2"/>
            <scheme val="minor"/>
          </rPr>
          <t>Firma adı ve iletişim bilgilerini kurumsal kimliğinize göre güncelleyin.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DC24D398-3B04-4E40-9BDD-EBAA5A96C46D}">
      <text>
        <r>
          <rPr>
            <sz val="11"/>
            <color theme="1"/>
            <rFont val="Aptos Narrow"/>
            <family val="2"/>
            <scheme val="minor"/>
          </rPr>
          <t>Kendi logonuzu bu alana yerleştirebilirsiniz.</t>
        </r>
      </text>
    </comment>
    <comment ref="A37" authorId="0" shapeId="0" xr:uid="{C9581BC2-3B0B-46AC-A7DF-919527F70189}">
      <text>
        <r>
          <rPr>
            <sz val="11"/>
            <color theme="1"/>
            <rFont val="Aptos Narrow"/>
            <family val="2"/>
            <scheme val="minor"/>
          </rPr>
          <t>Firma adı ve iletişim bilgilerini kurumsal kimliğinize göre güncelleyin.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<sst xmlns="http://schemas.openxmlformats.org/spreadsheetml/2006/main" count="1029" uniqueCount="162">
  <si>
    <t>2613H40044</t>
  </si>
  <si>
    <t>2613H30074</t>
  </si>
  <si>
    <t>2611H30298</t>
  </si>
  <si>
    <t>2613H30100</t>
  </si>
  <si>
    <t>2613H30101</t>
  </si>
  <si>
    <t>2613H30106</t>
  </si>
  <si>
    <t>2613H30028</t>
  </si>
  <si>
    <t>2611H30324</t>
  </si>
  <si>
    <t>2613H30108</t>
  </si>
  <si>
    <t>2613H30109</t>
  </si>
  <si>
    <t>2613H30110</t>
  </si>
  <si>
    <t>2611H30237</t>
  </si>
  <si>
    <t>2611H30256</t>
  </si>
  <si>
    <t>2611H30261</t>
  </si>
  <si>
    <t>2611H30267</t>
  </si>
  <si>
    <t>2611H30268</t>
  </si>
  <si>
    <t>2613H40010</t>
  </si>
  <si>
    <t>2611H30271</t>
  </si>
  <si>
    <t>2611H30312</t>
  </si>
  <si>
    <t>2611H30321</t>
  </si>
  <si>
    <t>2611H30322</t>
  </si>
  <si>
    <t>2612H30044</t>
  </si>
  <si>
    <t>2611H30273</t>
  </si>
  <si>
    <t>2611H30296</t>
  </si>
  <si>
    <t>2611H30299</t>
  </si>
  <si>
    <t>2611H30319</t>
  </si>
  <si>
    <t>2613H40009</t>
  </si>
  <si>
    <t>2611H30263</t>
  </si>
  <si>
    <t>2611H30264</t>
  </si>
  <si>
    <t>2611H30269</t>
  </si>
  <si>
    <t>2611H30325</t>
  </si>
  <si>
    <t>2613H40042</t>
  </si>
  <si>
    <t>2613H40045</t>
  </si>
  <si>
    <t>2611H30241</t>
  </si>
  <si>
    <t>2611H30246</t>
  </si>
  <si>
    <t>2613H30104</t>
  </si>
  <si>
    <t>2613H40043</t>
  </si>
  <si>
    <t>2611H30248</t>
  </si>
  <si>
    <t>2611H30262</t>
  </si>
  <si>
    <t>2611H30265</t>
  </si>
  <si>
    <t>2611H30294</t>
  </si>
  <si>
    <t>2613H40002</t>
  </si>
  <si>
    <t>2611H30252</t>
  </si>
  <si>
    <t>2611H30315</t>
  </si>
  <si>
    <t>2611H30323</t>
  </si>
  <si>
    <t>2613H30102</t>
  </si>
  <si>
    <t>2611H30243</t>
  </si>
  <si>
    <t>2611H30257</t>
  </si>
  <si>
    <t>2611H30270</t>
  </si>
  <si>
    <t>2611H30314</t>
  </si>
  <si>
    <t>2611H30318</t>
  </si>
  <si>
    <t>PACKING LIST
ÇEKİ LİSTESİ</t>
  </si>
  <si>
    <t>Yayın Tarihi</t>
  </si>
  <si>
    <t>Doküman No</t>
  </si>
  <si>
    <t>P07-F07</t>
  </si>
  <si>
    <t>Revizyon Tarihi</t>
  </si>
  <si>
    <t>-</t>
  </si>
  <si>
    <t>Revizyon No</t>
  </si>
  <si>
    <t>00</t>
  </si>
  <si>
    <t>DOCUMENT &amp; SHIPMENT INFORMATION / BELGE VE SEVKİYAT BİLGİLERİ</t>
  </si>
  <si>
    <t>Order No. / Sipariş No</t>
  </si>
  <si>
    <t>Date / Tarih</t>
  </si>
  <si>
    <t>Invoice No. / Fatura No</t>
  </si>
  <si>
    <t>Incoterm</t>
  </si>
  <si>
    <t>Shipper / Gönderici</t>
  </si>
  <si>
    <t>Consignee / Alıcı</t>
  </si>
  <si>
    <t>Notify Party / İhbar</t>
  </si>
  <si>
    <t>Country of Origin</t>
  </si>
  <si>
    <t>Final Destination</t>
  </si>
  <si>
    <t>Port of Loading</t>
  </si>
  <si>
    <t>Port of Discharge</t>
  </si>
  <si>
    <t>Vessel / Flight</t>
  </si>
  <si>
    <t>ETD / ETA</t>
  </si>
  <si>
    <t>Container / Vehicle No.</t>
  </si>
  <si>
    <t>B/L - AWB No.</t>
  </si>
  <si>
    <t>PO / Contract No.</t>
  </si>
  <si>
    <t>Currency</t>
  </si>
  <si>
    <t>Item
No</t>
  </si>
  <si>
    <t>Case / Crate
No</t>
  </si>
  <si>
    <t>Part No. /
Model</t>
  </si>
  <si>
    <t>Description of Goods</t>
  </si>
  <si>
    <t>HS Code</t>
  </si>
  <si>
    <t>COO</t>
  </si>
  <si>
    <t>Qty</t>
  </si>
  <si>
    <t>UOM</t>
  </si>
  <si>
    <t>Package Type</t>
  </si>
  <si>
    <t>L
(cm)</t>
  </si>
  <si>
    <t>W
(cm)</t>
  </si>
  <si>
    <t>H
(cm)</t>
  </si>
  <si>
    <t>Net Wt
(kg)</t>
  </si>
  <si>
    <t>Gross Wt
(kg)</t>
  </si>
  <si>
    <t>Volume
(m³)</t>
  </si>
  <si>
    <t>TOTAL / TOPLAM</t>
  </si>
  <si>
    <t>Total Packages</t>
  </si>
  <si>
    <t>Total Qty</t>
  </si>
  <si>
    <t>Total Net Wt (kg)</t>
  </si>
  <si>
    <t>Total Gross Wt (kg)</t>
  </si>
  <si>
    <t>Total Volume (m³)</t>
  </si>
  <si>
    <t>PACKAGING DECLARATION / AMBALAJ BEYANI</t>
  </si>
  <si>
    <t>All goods are packed suitably for export shipment, loading/unloading and inland transportation unless otherwise stated above.
Yukarıda aksi belirtilmedikçe tüm mallar ihracat sevkiyatına, yükleme/boşaltmaya ve iç nakliyeye uygun şekilde ambalajlanmıştır.</t>
  </si>
  <si>
    <t>APPROVAL / ONAY</t>
  </si>
  <si>
    <t>Prepared By</t>
  </si>
  <si>
    <t>Date</t>
  </si>
  <si>
    <t>Checked By</t>
  </si>
  <si>
    <t>Approved By</t>
  </si>
  <si>
    <t>Receiver / Carrier</t>
  </si>
  <si>
    <t>Vimpo Makine A.Ş.</t>
  </si>
  <si>
    <t>Adres / Address : Malıköy Anadolu OSB Mahallesi 12. Cadde No:8 06909 Sincan/Ankara/Türkiye
Telefon / Phone : +90 312 354 8509   •   E-posta / E-mail : ugur.cicekverdi@vimpo.com   •   Web : www.vimpo.com.tr</t>
  </si>
  <si>
    <t>TRIU052057-7</t>
  </si>
  <si>
    <t>TCLU714897-6</t>
  </si>
  <si>
    <t>TEXU158527-0</t>
  </si>
  <si>
    <t xml:space="preserve">Africa Road for Asphalt and Petroleum Insulation Industries </t>
  </si>
  <si>
    <t>CIF</t>
  </si>
  <si>
    <t>Limak Port İskenderun</t>
  </si>
  <si>
    <t>Bingazi Port</t>
  </si>
  <si>
    <t>Türkiye</t>
  </si>
  <si>
    <t>CMA CGM NANSHA / 0NVLPN1MA</t>
  </si>
  <si>
    <t>EUR</t>
  </si>
  <si>
    <t>Pcs</t>
  </si>
  <si>
    <t>Bundle</t>
  </si>
  <si>
    <t>St37 Steel Sheet 6x1500x6900 mm</t>
  </si>
  <si>
    <t>St37 Steel Sheet 12x1500x8000  mm</t>
  </si>
  <si>
    <t>St37 Steel Sheet 12x1500x6900  mm</t>
  </si>
  <si>
    <t>St37 Steel Sheet 8x1500x6900 mm</t>
  </si>
  <si>
    <t>St37 Steel Sheet 10x1500x6900 mm</t>
  </si>
  <si>
    <t>St37 Steel Sheet 4x1500x8000 mm</t>
  </si>
  <si>
    <t>St37 Steel Sheet 12x1500x8000 mm</t>
  </si>
  <si>
    <t>St37 Steel Sheet 12x1500x6900 mm</t>
  </si>
  <si>
    <t>St37 Steel Sheet 6x1500x6000 mm</t>
  </si>
  <si>
    <t>St37 Steel Sheet 3x1500x8000 mm</t>
  </si>
  <si>
    <t xml:space="preserve">TEXU157632-4 </t>
  </si>
  <si>
    <t xml:space="preserve"> (ASM2026000000542)</t>
  </si>
  <si>
    <t xml:space="preserve">TCLU706964-5 </t>
  </si>
  <si>
    <t>(ASM2026000000546)</t>
  </si>
  <si>
    <t xml:space="preserve">TCLU715830-0 </t>
  </si>
  <si>
    <t>(ASM2026000000545)</t>
  </si>
  <si>
    <t xml:space="preserve">TRIU053641-8 </t>
  </si>
  <si>
    <t>(ASM2026000000548)</t>
  </si>
  <si>
    <t xml:space="preserve"> (ASM2026000000543)</t>
  </si>
  <si>
    <t xml:space="preserve">TRIU056682-9 </t>
  </si>
  <si>
    <t>(ASM2026000000549)</t>
  </si>
  <si>
    <t xml:space="preserve">TCLU716779-1 </t>
  </si>
  <si>
    <t>(ASM2026000000547)</t>
  </si>
  <si>
    <t xml:space="preserve">TRIU056653-6 </t>
  </si>
  <si>
    <t>(ASM2026000000550)</t>
  </si>
  <si>
    <t>7208.51.20.90.19</t>
  </si>
  <si>
    <t>7208.40.00.10.19</t>
  </si>
  <si>
    <t>ASM2026000000541</t>
  </si>
  <si>
    <t>Container</t>
  </si>
  <si>
    <t>kg</t>
  </si>
  <si>
    <t>pcs</t>
  </si>
  <si>
    <t>TEXU157632-4</t>
  </si>
  <si>
    <t>TCLU706964-5</t>
  </si>
  <si>
    <t>TCLU715830-0</t>
  </si>
  <si>
    <t>TRIU053641-8</t>
  </si>
  <si>
    <t>TRIU056682-9</t>
  </si>
  <si>
    <t>TCLU716779-1</t>
  </si>
  <si>
    <t>TRIU056653-6</t>
  </si>
  <si>
    <t>ASM2026000000538</t>
  </si>
  <si>
    <t>IHR2026000000026</t>
  </si>
  <si>
    <t>VMP-S01064-B1</t>
  </si>
  <si>
    <t xml:space="preserve">  vvvvvvvvvvvv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</si>
</sst>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yyyy\-mm\-dd"/>
  </numFmts>
  <fonts count="19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  <charset val="162"/>
    </font>
    <font>
      <sz val="11"/>
      <color theme="1"/>
      <name val="Aptos Narrow"/>
      <family val="2"/>
      <scheme val="minor"/>
    </font>
    <font>
      <b/>
      <sz val="14"/>
      <color rgb="FF666666"/>
      <name val="Calibri"/>
      <family val="2"/>
      <charset val="162"/>
    </font>
    <font>
      <b/>
      <sz val="18"/>
      <color rgb="FF1F4E78"/>
      <name val="Calibri"/>
      <family val="2"/>
      <charset val="162"/>
    </font>
    <font>
      <b/>
      <sz val="10"/>
      <name val="Calibri"/>
      <family val="2"/>
      <charset val="162"/>
    </font>
    <font>
      <b/>
      <sz val="10"/>
      <color rgb="FFFFFFFF"/>
      <name val="Calibri"/>
      <family val="2"/>
      <charset val="162"/>
    </font>
    <font>
      <b/>
      <sz val="10"/>
      <color rgb="FF1F4E78"/>
      <name val="Calibri"/>
      <family val="2"/>
      <charset val="162"/>
    </font>
    <font>
      <sz val="10"/>
      <color rgb="FF0000FF"/>
      <name val="Calibri"/>
      <family val="2"/>
      <charset val="162"/>
    </font>
    <font>
      <sz val="10"/>
      <color rgb="FF000000"/>
      <name val="Calibri"/>
      <family val="2"/>
      <charset val="162"/>
    </font>
    <font>
      <b/>
      <sz val="10"/>
      <color rgb="FF000000"/>
      <name val="Calibri"/>
      <family val="2"/>
      <charset val="162"/>
    </font>
    <font>
      <sz val="10"/>
      <color rgb="FF666666"/>
      <name val="Calibri"/>
      <family val="2"/>
      <charset val="162"/>
    </font>
    <font>
      <i/>
      <sz val="9"/>
      <color rgb="FF666666"/>
      <name val="Calibri"/>
      <family val="2"/>
      <charset val="162"/>
    </font>
    <font>
      <b/>
      <sz val="14"/>
      <color rgb="FF1F4E78"/>
      <name val="Calibri"/>
      <family val="2"/>
      <charset val="162"/>
    </font>
    <font>
      <sz val="10"/>
      <color theme="1"/>
      <name val="Aptos Narrow"/>
      <family val="2"/>
      <charset val="162"/>
      <scheme val="minor"/>
    </font>
    <font>
      <sz val="10"/>
      <color rgb="FF0000FF"/>
      <name val="Calibri"/>
      <family val="2"/>
      <charset val="162"/>
    </font>
    <font>
      <b/>
      <sz val="10"/>
      <color rgb="FF0000FF"/>
      <name val="Calibri"/>
      <family val="2"/>
      <charset val="162"/>
    </font>
    <font>
      <sz val="8"/>
      <name val="Aptos Narrow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rgb="FFEAF3FB"/>
      </patternFill>
    </fill>
    <fill>
      <patternFill patternType="solid">
        <fgColor rgb="FFFFF7CC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FFF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rgb="FFA6A6A6"/>
      </bottom>
      <diagonal/>
    </border>
    <border>
      <left/>
      <right style="thin">
        <color rgb="FFA6A6A6"/>
      </right>
      <top style="medium">
        <color indexed="64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medium">
        <color indexed="64"/>
      </top>
      <bottom style="thin">
        <color rgb="FFA6A6A6"/>
      </bottom>
      <diagonal/>
    </border>
    <border>
      <left style="thin">
        <color rgb="FFA6A6A6"/>
      </left>
      <right style="medium">
        <color indexed="64"/>
      </right>
      <top style="medium">
        <color indexed="64"/>
      </top>
      <bottom style="thin">
        <color rgb="FFA6A6A6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medium">
        <color indexed="64"/>
      </right>
      <top style="thin">
        <color rgb="FFA6A6A6"/>
      </top>
      <bottom style="thin">
        <color rgb="FFA6A6A6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rgb="FFA6A6A6"/>
      </top>
      <bottom style="medium">
        <color indexed="64"/>
      </bottom>
      <diagonal/>
    </border>
    <border>
      <left/>
      <right style="thin">
        <color rgb="FFA6A6A6"/>
      </right>
      <top style="thin">
        <color rgb="FFA6A6A6"/>
      </top>
      <bottom style="medium">
        <color indexed="64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indexed="64"/>
      </bottom>
      <diagonal/>
    </border>
    <border>
      <left style="thin">
        <color rgb="FFA6A6A6"/>
      </left>
      <right style="medium">
        <color indexed="64"/>
      </right>
      <top style="thin">
        <color rgb="FFA6A6A6"/>
      </top>
      <bottom style="medium">
        <color indexed="64"/>
      </bottom>
      <diagonal/>
    </border>
    <border>
      <left style="medium">
        <color indexed="64"/>
      </left>
      <right style="medium">
        <color rgb="FF1F4E78"/>
      </right>
      <top/>
      <bottom style="medium">
        <color rgb="FF1F4E78"/>
      </bottom>
      <diagonal/>
    </border>
    <border>
      <left style="medium">
        <color rgb="FF1F4E78"/>
      </left>
      <right style="medium">
        <color rgb="FF1F4E78"/>
      </right>
      <top/>
      <bottom style="medium">
        <color rgb="FF1F4E78"/>
      </bottom>
      <diagonal/>
    </border>
    <border>
      <left style="medium">
        <color rgb="FF1F4E78"/>
      </left>
      <right style="medium">
        <color indexed="64"/>
      </right>
      <top/>
      <bottom style="medium">
        <color rgb="FF1F4E78"/>
      </bottom>
      <diagonal/>
    </border>
    <border>
      <left style="medium">
        <color indexed="64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indexed="64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  <border>
      <left style="medium">
        <color rgb="FF1F4E78"/>
      </left>
      <right style="medium">
        <color indexed="64"/>
      </right>
      <top style="medium">
        <color rgb="FF1F4E78"/>
      </top>
      <bottom style="medium">
        <color rgb="FF1F4E78"/>
      </bottom>
      <diagonal/>
    </border>
    <border>
      <left style="medium">
        <color indexed="64"/>
      </left>
      <right/>
      <top/>
      <bottom style="medium">
        <color rgb="FF1F4E78"/>
      </bottom>
      <diagonal/>
    </border>
    <border>
      <left/>
      <right/>
      <top/>
      <bottom style="medium">
        <color rgb="FF1F4E78"/>
      </bottom>
      <diagonal/>
    </border>
    <border>
      <left/>
      <right style="medium">
        <color indexed="64"/>
      </right>
      <top/>
      <bottom style="medium">
        <color rgb="FF1F4E78"/>
      </bottom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rgb="FFA6A6A6"/>
      </top>
      <bottom style="thin">
        <color rgb="FFA6A6A6"/>
      </bottom>
      <diagonal/>
    </border>
    <border>
      <left style="medium">
        <color rgb="FF1F4E78"/>
      </left>
      <right style="medium">
        <color indexed="64"/>
      </right>
      <top style="medium">
        <color rgb="FF1F4E78"/>
      </top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99">
    <xf numFmtId="0" fontId="0" fillId="0" borderId="0" xfId="0"/>
    <xf numFmtId="0" fontId="3" fillId="0" borderId="0" xfId="2"/>
    <xf numFmtId="165" fontId="9" fillId="5" borderId="19" xfId="2" applyNumberFormat="1" applyFont="1" applyFill="1" applyBorder="1" applyAlignment="1">
      <alignment horizontal="left" vertical="center" wrapText="1"/>
    </xf>
    <xf numFmtId="0" fontId="3" fillId="0" borderId="5" xfId="2" applyBorder="1"/>
    <xf numFmtId="0" fontId="3" fillId="0" borderId="6" xfId="2" applyBorder="1"/>
    <xf numFmtId="0" fontId="7" fillId="6" borderId="29" xfId="2" applyFont="1" applyFill="1" applyBorder="1" applyAlignment="1">
      <alignment horizontal="center" vertical="center" wrapText="1"/>
    </xf>
    <xf numFmtId="0" fontId="11" fillId="3" borderId="18" xfId="2" applyFont="1" applyFill="1" applyBorder="1" applyAlignment="1">
      <alignment horizontal="right" vertical="center"/>
    </xf>
    <xf numFmtId="4" fontId="11" fillId="3" borderId="18" xfId="2" applyNumberFormat="1" applyFont="1" applyFill="1" applyBorder="1" applyAlignment="1">
      <alignment horizontal="right" vertical="center"/>
    </xf>
    <xf numFmtId="164" fontId="11" fillId="3" borderId="19" xfId="2" applyNumberFormat="1" applyFont="1" applyFill="1" applyBorder="1" applyAlignment="1">
      <alignment horizontal="right" vertical="center"/>
    </xf>
    <xf numFmtId="0" fontId="13" fillId="3" borderId="5" xfId="2" applyFont="1" applyFill="1" applyBorder="1" applyAlignment="1">
      <alignment horizontal="center" vertical="center"/>
    </xf>
    <xf numFmtId="0" fontId="12" fillId="3" borderId="0" xfId="2" applyFont="1" applyFill="1" applyAlignment="1">
      <alignment horizontal="left" vertical="center" wrapText="1"/>
    </xf>
    <xf numFmtId="0" fontId="13" fillId="3" borderId="0" xfId="2" applyFont="1" applyFill="1" applyAlignment="1">
      <alignment horizontal="center" vertical="center"/>
    </xf>
    <xf numFmtId="0" fontId="12" fillId="3" borderId="6" xfId="2" applyFont="1" applyFill="1" applyBorder="1" applyAlignment="1">
      <alignment horizontal="left" vertical="center" wrapText="1"/>
    </xf>
    <xf numFmtId="0" fontId="16" fillId="5" borderId="19" xfId="2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7" fillId="6" borderId="35" xfId="2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9" fillId="4" borderId="37" xfId="2" applyFont="1" applyFill="1" applyBorder="1" applyAlignment="1">
      <alignment horizontal="center" vertical="center"/>
    </xf>
    <xf numFmtId="0" fontId="7" fillId="6" borderId="38" xfId="2" applyFont="1" applyFill="1" applyBorder="1" applyAlignment="1">
      <alignment horizontal="center" vertical="center" wrapText="1"/>
    </xf>
    <xf numFmtId="4" fontId="11" fillId="3" borderId="26" xfId="2" applyNumberFormat="1" applyFont="1" applyFill="1" applyBorder="1" applyAlignment="1">
      <alignment horizontal="right" vertical="center"/>
    </xf>
    <xf numFmtId="0" fontId="11" fillId="3" borderId="26" xfId="2" applyFont="1" applyFill="1" applyBorder="1" applyAlignment="1">
      <alignment horizontal="right" vertical="center"/>
    </xf>
    <xf numFmtId="164" fontId="11" fillId="3" borderId="27" xfId="2" applyNumberFormat="1" applyFont="1" applyFill="1" applyBorder="1" applyAlignment="1">
      <alignment horizontal="right" vertical="center"/>
    </xf>
    <xf numFmtId="4" fontId="9" fillId="2" borderId="1" xfId="2" applyNumberFormat="1" applyFont="1" applyFill="1" applyBorder="1" applyAlignment="1">
      <alignment horizontal="center" vertical="center"/>
    </xf>
    <xf numFmtId="164" fontId="10" fillId="2" borderId="1" xfId="2" applyNumberFormat="1" applyFont="1" applyFill="1" applyBorder="1" applyAlignment="1">
      <alignment horizontal="center" vertical="center"/>
    </xf>
    <xf numFmtId="0" fontId="9" fillId="2" borderId="1" xfId="2" applyFont="1" applyFill="1" applyBorder="1" applyAlignment="1">
      <alignment horizontal="left" vertical="center" wrapText="1"/>
    </xf>
    <xf numFmtId="4" fontId="9" fillId="2" borderId="1" xfId="2" applyNumberFormat="1" applyFont="1" applyFill="1" applyBorder="1" applyAlignment="1">
      <alignment horizontal="right" vertical="center"/>
    </xf>
    <xf numFmtId="3" fontId="9" fillId="2" borderId="1" xfId="2" applyNumberFormat="1" applyFont="1" applyFill="1" applyBorder="1" applyAlignment="1">
      <alignment horizontal="right" vertical="center"/>
    </xf>
    <xf numFmtId="3" fontId="17" fillId="2" borderId="1" xfId="2" applyNumberFormat="1" applyFont="1" applyFill="1" applyBorder="1" applyAlignment="1">
      <alignment horizontal="center" vertical="center"/>
    </xf>
    <xf numFmtId="164" fontId="10" fillId="2" borderId="1" xfId="2" applyNumberFormat="1" applyFont="1" applyFill="1" applyBorder="1" applyAlignment="1">
      <alignment horizontal="right" vertical="center"/>
    </xf>
    <xf numFmtId="0" fontId="1" fillId="0" borderId="36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3" borderId="2" xfId="2" applyFont="1" applyFill="1" applyBorder="1" applyAlignment="1">
      <alignment horizontal="center" vertical="center" wrapText="1"/>
    </xf>
    <xf numFmtId="0" fontId="4" fillId="3" borderId="3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0" xfId="2" applyFont="1" applyFill="1" applyAlignment="1">
      <alignment horizontal="center" vertical="center" wrapText="1"/>
    </xf>
    <xf numFmtId="0" fontId="4" fillId="3" borderId="6" xfId="2" applyFont="1" applyFill="1" applyBorder="1" applyAlignment="1">
      <alignment horizontal="center" vertical="center" wrapText="1"/>
    </xf>
    <xf numFmtId="0" fontId="4" fillId="3" borderId="7" xfId="2" applyFont="1" applyFill="1" applyBorder="1" applyAlignment="1">
      <alignment horizontal="center" vertical="center" wrapText="1"/>
    </xf>
    <xf numFmtId="0" fontId="4" fillId="3" borderId="8" xfId="2" applyFont="1" applyFill="1" applyBorder="1" applyAlignment="1">
      <alignment horizontal="center" vertical="center" wrapText="1"/>
    </xf>
    <xf numFmtId="0" fontId="4" fillId="3" borderId="9" xfId="2" applyFont="1" applyFill="1" applyBorder="1" applyAlignment="1">
      <alignment horizontal="center" vertical="center" wrapText="1"/>
    </xf>
    <xf numFmtId="0" fontId="5" fillId="4" borderId="2" xfId="2" applyFont="1" applyFill="1" applyBorder="1" applyAlignment="1">
      <alignment horizontal="center" vertical="center" wrapText="1"/>
    </xf>
    <xf numFmtId="0" fontId="5" fillId="4" borderId="3" xfId="2" applyFont="1" applyFill="1" applyBorder="1" applyAlignment="1">
      <alignment horizontal="center" vertical="center" wrapText="1"/>
    </xf>
    <xf numFmtId="0" fontId="5" fillId="4" borderId="10" xfId="2" applyFont="1" applyFill="1" applyBorder="1" applyAlignment="1">
      <alignment horizontal="center" vertical="center" wrapText="1"/>
    </xf>
    <xf numFmtId="0" fontId="5" fillId="4" borderId="5" xfId="2" applyFont="1" applyFill="1" applyBorder="1" applyAlignment="1">
      <alignment horizontal="center" vertical="center" wrapText="1"/>
    </xf>
    <xf numFmtId="0" fontId="5" fillId="4" borderId="0" xfId="2" applyFont="1" applyFill="1" applyAlignment="1">
      <alignment horizontal="center" vertical="center" wrapText="1"/>
    </xf>
    <xf numFmtId="0" fontId="5" fillId="4" borderId="15" xfId="2" applyFont="1" applyFill="1" applyBorder="1" applyAlignment="1">
      <alignment horizontal="center" vertical="center" wrapText="1"/>
    </xf>
    <xf numFmtId="0" fontId="5" fillId="4" borderId="7" xfId="2" applyFont="1" applyFill="1" applyBorder="1" applyAlignment="1">
      <alignment horizontal="center" vertical="center" wrapText="1"/>
    </xf>
    <xf numFmtId="0" fontId="5" fillId="4" borderId="8" xfId="2" applyFont="1" applyFill="1" applyBorder="1" applyAlignment="1">
      <alignment horizontal="center" vertical="center" wrapText="1"/>
    </xf>
    <xf numFmtId="0" fontId="5" fillId="4" borderId="20" xfId="2" applyFont="1" applyFill="1" applyBorder="1" applyAlignment="1">
      <alignment horizontal="center" vertical="center" wrapText="1"/>
    </xf>
    <xf numFmtId="3" fontId="6" fillId="5" borderId="11" xfId="2" applyNumberFormat="1" applyFont="1" applyFill="1" applyBorder="1" applyAlignment="1">
      <alignment horizontal="left" vertical="center"/>
    </xf>
    <xf numFmtId="3" fontId="6" fillId="5" borderId="12" xfId="2" applyNumberFormat="1" applyFont="1" applyFill="1" applyBorder="1" applyAlignment="1">
      <alignment horizontal="left" vertical="center"/>
    </xf>
    <xf numFmtId="14" fontId="6" fillId="5" borderId="13" xfId="2" applyNumberFormat="1" applyFont="1" applyFill="1" applyBorder="1" applyAlignment="1">
      <alignment horizontal="left" vertical="center" wrapText="1"/>
    </xf>
    <xf numFmtId="14" fontId="6" fillId="5" borderId="14" xfId="2" applyNumberFormat="1" applyFont="1" applyFill="1" applyBorder="1" applyAlignment="1">
      <alignment horizontal="left" vertical="center" wrapText="1"/>
    </xf>
    <xf numFmtId="3" fontId="6" fillId="5" borderId="16" xfId="2" applyNumberFormat="1" applyFont="1" applyFill="1" applyBorder="1" applyAlignment="1">
      <alignment horizontal="left" vertical="center"/>
    </xf>
    <xf numFmtId="3" fontId="6" fillId="5" borderId="17" xfId="2" applyNumberFormat="1" applyFont="1" applyFill="1" applyBorder="1" applyAlignment="1">
      <alignment horizontal="left" vertical="center"/>
    </xf>
    <xf numFmtId="165" fontId="6" fillId="5" borderId="18" xfId="2" applyNumberFormat="1" applyFont="1" applyFill="1" applyBorder="1" applyAlignment="1">
      <alignment horizontal="left" vertical="center" wrapText="1"/>
    </xf>
    <xf numFmtId="0" fontId="6" fillId="5" borderId="19" xfId="2" applyFont="1" applyFill="1" applyBorder="1" applyAlignment="1">
      <alignment horizontal="left" vertical="center" wrapText="1"/>
    </xf>
    <xf numFmtId="3" fontId="6" fillId="5" borderId="21" xfId="2" applyNumberFormat="1" applyFont="1" applyFill="1" applyBorder="1" applyAlignment="1">
      <alignment horizontal="left" vertical="center"/>
    </xf>
    <xf numFmtId="3" fontId="6" fillId="5" borderId="22" xfId="2" applyNumberFormat="1" applyFont="1" applyFill="1" applyBorder="1" applyAlignment="1">
      <alignment horizontal="left" vertical="center"/>
    </xf>
    <xf numFmtId="49" fontId="6" fillId="5" borderId="23" xfId="2" applyNumberFormat="1" applyFont="1" applyFill="1" applyBorder="1" applyAlignment="1">
      <alignment horizontal="left" vertical="center" wrapText="1"/>
    </xf>
    <xf numFmtId="49" fontId="6" fillId="5" borderId="24" xfId="2" applyNumberFormat="1" applyFont="1" applyFill="1" applyBorder="1" applyAlignment="1">
      <alignment horizontal="left" vertical="center" wrapText="1"/>
    </xf>
    <xf numFmtId="0" fontId="7" fillId="6" borderId="25" xfId="2" applyFont="1" applyFill="1" applyBorder="1" applyAlignment="1">
      <alignment horizontal="left" vertical="center"/>
    </xf>
    <xf numFmtId="0" fontId="3" fillId="0" borderId="26" xfId="2" applyBorder="1"/>
    <xf numFmtId="0" fontId="3" fillId="0" borderId="27" xfId="2" applyBorder="1"/>
    <xf numFmtId="0" fontId="8" fillId="7" borderId="28" xfId="2" applyFont="1" applyFill="1" applyBorder="1" applyAlignment="1">
      <alignment horizontal="left" vertical="center" wrapText="1"/>
    </xf>
    <xf numFmtId="0" fontId="8" fillId="7" borderId="18" xfId="2" applyFont="1" applyFill="1" applyBorder="1" applyAlignment="1">
      <alignment horizontal="left" vertical="center" wrapText="1"/>
    </xf>
    <xf numFmtId="0" fontId="9" fillId="5" borderId="18" xfId="2" applyFont="1" applyFill="1" applyBorder="1" applyAlignment="1">
      <alignment horizontal="left" vertical="center" wrapText="1"/>
    </xf>
    <xf numFmtId="165" fontId="9" fillId="5" borderId="18" xfId="2" applyNumberFormat="1" applyFont="1" applyFill="1" applyBorder="1" applyAlignment="1">
      <alignment horizontal="left" vertical="center" wrapText="1"/>
    </xf>
    <xf numFmtId="0" fontId="8" fillId="3" borderId="29" xfId="2" applyFont="1" applyFill="1" applyBorder="1" applyAlignment="1">
      <alignment horizontal="right" vertical="center"/>
    </xf>
    <xf numFmtId="0" fontId="16" fillId="5" borderId="18" xfId="2" applyFont="1" applyFill="1" applyBorder="1" applyAlignment="1">
      <alignment horizontal="left" vertical="center" wrapText="1"/>
    </xf>
    <xf numFmtId="0" fontId="9" fillId="5" borderId="19" xfId="2" applyFont="1" applyFill="1" applyBorder="1" applyAlignment="1">
      <alignment horizontal="left" vertical="center" wrapText="1"/>
    </xf>
    <xf numFmtId="0" fontId="17" fillId="5" borderId="18" xfId="2" applyFont="1" applyFill="1" applyBorder="1" applyAlignment="1">
      <alignment horizontal="left" vertical="center" wrapText="1"/>
    </xf>
    <xf numFmtId="0" fontId="7" fillId="6" borderId="29" xfId="2" applyFont="1" applyFill="1" applyBorder="1" applyAlignment="1">
      <alignment horizontal="left" vertical="center"/>
    </xf>
    <xf numFmtId="0" fontId="3" fillId="0" borderId="30" xfId="2" applyBorder="1"/>
    <xf numFmtId="0" fontId="3" fillId="0" borderId="31" xfId="2" applyBorder="1"/>
    <xf numFmtId="0" fontId="12" fillId="8" borderId="29" xfId="2" applyFont="1" applyFill="1" applyBorder="1" applyAlignment="1">
      <alignment horizontal="left" vertical="center" wrapText="1"/>
    </xf>
    <xf numFmtId="0" fontId="3" fillId="0" borderId="29" xfId="2" applyBorder="1"/>
    <xf numFmtId="0" fontId="9" fillId="5" borderId="32" xfId="2" applyFont="1" applyFill="1" applyBorder="1" applyAlignment="1">
      <alignment horizontal="left" vertical="center" wrapText="1"/>
    </xf>
    <xf numFmtId="0" fontId="9" fillId="5" borderId="33" xfId="2" applyFont="1" applyFill="1" applyBorder="1" applyAlignment="1">
      <alignment horizontal="left" vertical="center" wrapText="1"/>
    </xf>
    <xf numFmtId="0" fontId="9" fillId="5" borderId="34" xfId="2" applyFont="1" applyFill="1" applyBorder="1" applyAlignment="1">
      <alignment horizontal="left" vertical="center" wrapText="1"/>
    </xf>
    <xf numFmtId="0" fontId="12" fillId="0" borderId="5" xfId="2" applyFont="1" applyBorder="1" applyAlignment="1">
      <alignment horizontal="center" vertical="center" wrapText="1"/>
    </xf>
    <xf numFmtId="0" fontId="12" fillId="0" borderId="0" xfId="2" applyFont="1" applyAlignment="1">
      <alignment horizontal="center" vertical="center" wrapText="1"/>
    </xf>
    <xf numFmtId="0" fontId="12" fillId="0" borderId="6" xfId="2" applyFont="1" applyBorder="1" applyAlignment="1">
      <alignment horizontal="center" vertical="center" wrapText="1"/>
    </xf>
    <xf numFmtId="0" fontId="12" fillId="0" borderId="7" xfId="2" applyFont="1" applyBorder="1" applyAlignment="1">
      <alignment horizontal="center" vertical="center" wrapText="1"/>
    </xf>
    <xf numFmtId="0" fontId="12" fillId="0" borderId="8" xfId="2" applyFont="1" applyBorder="1" applyAlignment="1">
      <alignment horizontal="center" vertical="center" wrapText="1"/>
    </xf>
    <xf numFmtId="0" fontId="12" fillId="0" borderId="9" xfId="2" applyFont="1" applyBorder="1" applyAlignment="1">
      <alignment horizontal="center" vertical="center" wrapText="1"/>
    </xf>
    <xf numFmtId="0" fontId="13" fillId="3" borderId="28" xfId="2" applyFont="1" applyFill="1" applyBorder="1" applyAlignment="1">
      <alignment horizontal="center" vertical="center"/>
    </xf>
    <xf numFmtId="0" fontId="12" fillId="3" borderId="18" xfId="2" applyFont="1" applyFill="1" applyBorder="1" applyAlignment="1">
      <alignment horizontal="left" vertical="center" wrapText="1"/>
    </xf>
    <xf numFmtId="0" fontId="13" fillId="3" borderId="18" xfId="2" applyFont="1" applyFill="1" applyBorder="1" applyAlignment="1">
      <alignment horizontal="center" vertical="center"/>
    </xf>
    <xf numFmtId="0" fontId="12" fillId="3" borderId="19" xfId="2" applyFont="1" applyFill="1" applyBorder="1" applyAlignment="1">
      <alignment horizontal="left" vertical="center" wrapText="1"/>
    </xf>
    <xf numFmtId="0" fontId="14" fillId="0" borderId="2" xfId="2" applyFont="1" applyBorder="1" applyAlignment="1">
      <alignment horizontal="center" vertical="center"/>
    </xf>
    <xf numFmtId="0" fontId="14" fillId="0" borderId="3" xfId="2" applyFont="1" applyBorder="1" applyAlignment="1">
      <alignment horizontal="center" vertical="center"/>
    </xf>
    <xf numFmtId="0" fontId="14" fillId="0" borderId="4" xfId="2" applyFont="1" applyBorder="1" applyAlignment="1">
      <alignment horizontal="center" vertical="center"/>
    </xf>
  </cellXfs>
  <cellStyles count="3">
    <cellStyle name="Normal" xfId="0" builtinId="0"/>
    <cellStyle name="Normal 2" xfId="1" xr:uid="{F51A282D-1B73-4674-AE56-3C69BA388E8C}"/>
    <cellStyle name="Normal 3" xfId="2" xr:uid="{EC8BA616-7E8E-46E8-B048-9DACA0D3C9E5}"/>
  </cellStyles>
  <dxfs count="0"/>
  <tableStyles count="0" defaultTableStyle="TableStyleMedium2" defaultPivotStyle="PivotStyleLight16"/>
  <colors>
    <mruColors>
      <color rgb="FFA5739A"/>
      <color rgb="FFAA785A"/>
      <color rgb="FFABD1B1"/>
      <color rgb="FF6F9FB5"/>
      <color rgb="FFF17F9D"/>
      <color rgb="FFA7A7A7"/>
      <color rgb="FFE6EEB4"/>
      <color rgb="FFDBA86F"/>
      <color rgb="FFD49CC7"/>
      <color rgb="FFD8D8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microsoft.com/office/2022/10/relationships/richValueRel" Target="richData/richValueRel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02A873A9-78D6-4412-B1D7-71FE6AEBA4A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8251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22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B6E2F042-D506-43EC-A402-A74CC8E5E5C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578725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25398ED3-A11C-4F0F-9889-F6F98E4179A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A7684524-FB64-4F90-A7EF-2377D18AE68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9703AD4E-36A4-4729-BC94-55FC7EC27BA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750810" cy="74422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22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8B331B3A-F428-4403-9A66-36848A0EAF7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947025" cy="7394575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4BE0DE92-1EE6-45EC-9FA6-7C3B5FBB5AB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391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451DD094-A0E6-4293-A688-04AA6EBF2BB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3914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731DC142-B07F-439A-8DC7-69C4E56A699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8251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22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D8F63C49-9573-460E-93C4-C8E0B14A9CF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578725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5EC389F5-F5D9-4923-9056-4F86D82D628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40245C0B-F32D-4EC3-A224-26AACC9BB21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024ADEC0-6BE6-44B2-A224-69B37C5F250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8251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22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7AA30B4A-AC23-4015-9AD3-AA4A27B2B60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578725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E4666B8C-14A6-46C1-A4FF-32824A724EB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DD02A018-DB25-46BC-9438-53498805B23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95F10012-A913-483B-85E1-82931777E4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8251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22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DCD45605-6E7A-4812-B922-DB72ECEF4E0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578725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DBCF6291-03C4-4A26-98CD-386895F64DC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CD5DBE06-FE07-4EF8-B517-5C8F183945F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8DC03C21-D77A-4DD4-B17B-AE7F5E19070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8251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22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DA33A384-924B-4297-8C70-BB7635B2B39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578725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22A82D63-54F6-425E-8FB4-4C59F034B57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B474708B-3D78-414C-B78E-1CFA089896B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B19C888B-DD9D-428F-B9EF-CD283759F38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8251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22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15917275-F98B-4523-868B-529049507A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578725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363561AE-7E6C-4155-858E-855533CCF06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9D7CE978-713F-4462-80AC-5EEA597B547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811F33C9-1FF3-4DD8-ABC4-35F677A2C29C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8251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22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FEC0CBAB-A5FD-4CFB-8633-2B27F615426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578725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2A7EF80B-D444-4A2D-8E9C-A1C4C4E9B75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A068EF9B-E5A6-4C8B-A214-EFB1F145004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C57B4647-3EEF-4BF1-A100-1B274371381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8251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22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35410EDD-9804-4493-8F89-01B70054B33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578725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47F1EA29-2EEC-4934-956C-3190CF84B4C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B658E58B-3576-44F5-83BF-5C37748FC7D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556260</xdr:colOff>
      <xdr:row>22</xdr:row>
      <xdr:rowOff>0</xdr:rowOff>
    </xdr:to>
    <xdr:sp macro="" textlink="">
      <xdr:nvSpPr>
        <xdr:cNvPr id="2" name="AutoShape 5">
          <a:extLst>
            <a:ext uri="{FF2B5EF4-FFF2-40B4-BE49-F238E27FC236}">
              <a16:creationId xmlns:a16="http://schemas.microsoft.com/office/drawing/2014/main" id="{1028D951-5042-4576-B121-2794C8E64E7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38251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752475</xdr:colOff>
      <xdr:row>22</xdr:row>
      <xdr:rowOff>0</xdr:rowOff>
    </xdr:to>
    <xdr:sp macro="" textlink="">
      <xdr:nvSpPr>
        <xdr:cNvPr id="3" name="AutoShape 5">
          <a:extLst>
            <a:ext uri="{FF2B5EF4-FFF2-40B4-BE49-F238E27FC236}">
              <a16:creationId xmlns:a16="http://schemas.microsoft.com/office/drawing/2014/main" id="{D1803901-E26B-4535-952B-5F7B85E939E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578725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4" name="AutoShape 5">
          <a:extLst>
            <a:ext uri="{FF2B5EF4-FFF2-40B4-BE49-F238E27FC236}">
              <a16:creationId xmlns:a16="http://schemas.microsoft.com/office/drawing/2014/main" id="{6827664D-D9F8-4D3B-A38C-88478029A3C2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425450</xdr:colOff>
      <xdr:row>22</xdr:row>
      <xdr:rowOff>0</xdr:rowOff>
    </xdr:to>
    <xdr:sp macro="" textlink="">
      <xdr:nvSpPr>
        <xdr:cNvPr id="5" name="AutoShape 5">
          <a:extLst>
            <a:ext uri="{FF2B5EF4-FFF2-40B4-BE49-F238E27FC236}">
              <a16:creationId xmlns:a16="http://schemas.microsoft.com/office/drawing/2014/main" id="{473DF464-5CEF-43AC-AB3C-412C61DC80D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251700" cy="57848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BEC08-2411-4730-9C62-C8D5D75C607B}">
  <sheetPr>
    <tabColor rgb="FF7030A0"/>
  </sheetPr>
  <dimension ref="A1:C12"/>
  <sheetViews>
    <sheetView view="pageBreakPreview" zoomScaleNormal="100" zoomScaleSheetLayoutView="100" workbookViewId="0">
      <selection activeCell="G10" sqref="G10"/>
    </sheetView>
  </sheetViews>
  <sheetFormatPr defaultRowHeight="14.5" x14ac:dyDescent="0.35"/>
  <cols>
    <col min="1" max="1" width="15.453125" customWidth="1"/>
    <col min="2" max="2" width="9.90625" style="36" bestFit="1" customWidth="1"/>
    <col min="3" max="3" width="8.7265625" style="36"/>
  </cols>
  <sheetData>
    <row r="1" spans="1:3" x14ac:dyDescent="0.35">
      <c r="A1" s="34" t="s">
        <v>148</v>
      </c>
      <c r="B1" s="34" t="s">
        <v>149</v>
      </c>
      <c r="C1" s="34" t="s">
        <v>150</v>
      </c>
    </row>
    <row r="2" spans="1:3" x14ac:dyDescent="0.35">
      <c r="A2" t="s">
        <v>151</v>
      </c>
      <c r="B2" s="35">
        <f>'TEXU157632-4'!I25</f>
        <v>25180</v>
      </c>
      <c r="C2" s="35">
        <f>'TEXU157632-4'!F25</f>
        <v>32</v>
      </c>
    </row>
    <row r="3" spans="1:3" x14ac:dyDescent="0.35">
      <c r="A3" t="s">
        <v>108</v>
      </c>
      <c r="B3" s="35">
        <f>'TRIU052057-7'!I25</f>
        <v>25210</v>
      </c>
      <c r="C3" s="35">
        <f>'TRIU052057-7'!F25</f>
        <v>29</v>
      </c>
    </row>
    <row r="4" spans="1:3" x14ac:dyDescent="0.35">
      <c r="A4" t="s">
        <v>109</v>
      </c>
      <c r="B4" s="35">
        <f>'TCLU714897-6'!I25</f>
        <v>25080</v>
      </c>
      <c r="C4" s="35">
        <f>'TCLU714897-6'!F25</f>
        <v>34</v>
      </c>
    </row>
    <row r="5" spans="1:3" x14ac:dyDescent="0.35">
      <c r="A5" t="s">
        <v>152</v>
      </c>
      <c r="B5" s="35">
        <f>'TCLU706964-5'!I25</f>
        <v>25080</v>
      </c>
      <c r="C5" s="35">
        <f>'TCLU706964-5'!F25</f>
        <v>37</v>
      </c>
    </row>
    <row r="6" spans="1:3" x14ac:dyDescent="0.35">
      <c r="A6" t="s">
        <v>153</v>
      </c>
      <c r="B6" s="35">
        <f>'TCLU715830-0'!I25</f>
        <v>25160</v>
      </c>
      <c r="C6" s="35">
        <f>'TCLU715830-0'!F25</f>
        <v>32</v>
      </c>
    </row>
    <row r="7" spans="1:3" x14ac:dyDescent="0.35">
      <c r="A7" t="s">
        <v>154</v>
      </c>
      <c r="B7" s="35">
        <f>'TRIU053641-8'!I25</f>
        <v>25130</v>
      </c>
      <c r="C7" s="35">
        <f>'TRIU053641-8'!F25</f>
        <v>40</v>
      </c>
    </row>
    <row r="8" spans="1:3" x14ac:dyDescent="0.35">
      <c r="A8" t="s">
        <v>110</v>
      </c>
      <c r="B8" s="35">
        <f>'TEXU158527-0'!I25</f>
        <v>25230</v>
      </c>
      <c r="C8" s="35">
        <f>'TEXU158527-0'!F25</f>
        <v>47</v>
      </c>
    </row>
    <row r="9" spans="1:3" x14ac:dyDescent="0.35">
      <c r="A9" t="s">
        <v>155</v>
      </c>
      <c r="B9" s="35">
        <f>'TRIU056682-9'!I25</f>
        <v>25130</v>
      </c>
      <c r="C9" s="35">
        <f>'TRIU056682-9'!F25</f>
        <v>38</v>
      </c>
    </row>
    <row r="10" spans="1:3" x14ac:dyDescent="0.35">
      <c r="A10" t="s">
        <v>156</v>
      </c>
      <c r="B10" s="35">
        <f>'TCLU716779-1'!I25</f>
        <v>25130</v>
      </c>
      <c r="C10" s="35">
        <f>'TCLU716779-1'!F25</f>
        <v>39</v>
      </c>
    </row>
    <row r="11" spans="1:3" x14ac:dyDescent="0.35">
      <c r="A11" t="s">
        <v>157</v>
      </c>
      <c r="B11" s="35">
        <f>'TRIU056653-6'!I25</f>
        <v>25050</v>
      </c>
      <c r="C11" s="35">
        <f>'TRIU056653-6'!F25</f>
        <v>32</v>
      </c>
    </row>
    <row r="12" spans="1:3" x14ac:dyDescent="0.35">
      <c r="B12" s="35">
        <f>SUM(B2:B11)</f>
        <v>251380</v>
      </c>
      <c r="C12" s="35">
        <f>SUM(C2:C11)</f>
        <v>360</v>
      </c>
    </row>
  </sheetData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D6FE6-24F1-4D41-9937-004ACEDF3906}">
  <sheetPr>
    <tabColor theme="9" tint="0.79998168889431442"/>
  </sheetPr>
  <dimension ref="A1:O39"/>
  <sheetViews>
    <sheetView showGridLines="0" tabSelected="1" view="pageBreakPreview" zoomScale="60" zoomScaleNormal="70" workbookViewId="0">
      <selection activeCell="E13" sqref="E13"/>
    </sheetView>
  </sheetViews>
  <sheetFormatPr defaultRowHeight="14.5" x14ac:dyDescent="0.35"/>
  <cols>
    <col min="1" max="1" width="8" style="1" customWidth="1"/>
    <col min="2" max="2" width="13" style="1" customWidth="1"/>
    <col min="3" max="3" width="11.7265625" style="1" bestFit="1" customWidth="1"/>
    <col min="4" max="4" width="30.26953125" style="1" bestFit="1" customWidth="1"/>
    <col min="5" max="5" width="15.08984375" style="1" bestFit="1" customWidth="1"/>
    <col min="6" max="6" width="6.54296875" style="1" bestFit="1" customWidth="1"/>
    <col min="7" max="8" width="8" style="1" customWidth="1"/>
    <col min="9" max="9" width="11.26953125" style="1" bestFit="1" customWidth="1"/>
    <col min="10" max="10" width="7.90625" style="1" customWidth="1"/>
    <col min="11" max="11" width="8.26953125" style="1" customWidth="1"/>
    <col min="12" max="12" width="8.36328125" style="1" customWidth="1"/>
    <col min="13" max="13" width="12" style="1" customWidth="1"/>
    <col min="14" max="14" width="13" style="1" customWidth="1"/>
    <col min="15" max="15" width="12" style="1" customWidth="1"/>
    <col min="16" max="16384" width="8.7265625" style="1"/>
  </cols>
  <sheetData>
    <row r="1" spans="1:15" ht="17.25" customHeight="1" x14ac:dyDescent="0.35">
      <c r="A1" s="37" t="e" vm="1">
        <v>#VALUE!</v>
      </c>
      <c r="B1" s="38"/>
      <c r="C1" s="39"/>
      <c r="D1" s="46" t="s">
        <v>51</v>
      </c>
      <c r="E1" s="47"/>
      <c r="F1" s="47"/>
      <c r="G1" s="47"/>
      <c r="H1" s="47"/>
      <c r="I1" s="47"/>
      <c r="J1" s="47"/>
      <c r="K1" s="48"/>
      <c r="L1" s="55" t="s">
        <v>52</v>
      </c>
      <c r="M1" s="56"/>
      <c r="N1" s="57">
        <v>46098</v>
      </c>
      <c r="O1" s="58"/>
    </row>
    <row r="2" spans="1:15" ht="18" customHeight="1" x14ac:dyDescent="0.35">
      <c r="A2" s="40"/>
      <c r="B2" s="41"/>
      <c r="C2" s="42"/>
      <c r="D2" s="49"/>
      <c r="E2" s="50"/>
      <c r="F2" s="50"/>
      <c r="G2" s="50"/>
      <c r="H2" s="50"/>
      <c r="I2" s="50"/>
      <c r="J2" s="50"/>
      <c r="K2" s="51"/>
      <c r="L2" s="59" t="s">
        <v>53</v>
      </c>
      <c r="M2" s="60"/>
      <c r="N2" s="61" t="s">
        <v>54</v>
      </c>
      <c r="O2" s="62"/>
    </row>
    <row r="3" spans="1:15" ht="16.5" customHeight="1" x14ac:dyDescent="0.35">
      <c r="A3" s="40"/>
      <c r="B3" s="41"/>
      <c r="C3" s="42"/>
      <c r="D3" s="49"/>
      <c r="E3" s="50"/>
      <c r="F3" s="50"/>
      <c r="G3" s="50"/>
      <c r="H3" s="50"/>
      <c r="I3" s="50"/>
      <c r="J3" s="50"/>
      <c r="K3" s="51"/>
      <c r="L3" s="59" t="s">
        <v>55</v>
      </c>
      <c r="M3" s="60"/>
      <c r="N3" s="61" t="s">
        <v>56</v>
      </c>
      <c r="O3" s="62"/>
    </row>
    <row r="4" spans="1:15" ht="15.75" customHeight="1" thickBot="1" x14ac:dyDescent="0.4">
      <c r="A4" s="43"/>
      <c r="B4" s="44"/>
      <c r="C4" s="45"/>
      <c r="D4" s="52"/>
      <c r="E4" s="53"/>
      <c r="F4" s="53"/>
      <c r="G4" s="53"/>
      <c r="H4" s="53"/>
      <c r="I4" s="53"/>
      <c r="J4" s="53"/>
      <c r="K4" s="54"/>
      <c r="L4" s="63" t="s">
        <v>57</v>
      </c>
      <c r="M4" s="64"/>
      <c r="N4" s="65" t="s">
        <v>58</v>
      </c>
      <c r="O4" s="66"/>
    </row>
    <row r="5" spans="1:15" ht="19.899999999999999" customHeight="1" thickBot="1" x14ac:dyDescent="0.4">
      <c r="A5" s="67" t="s">
        <v>59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9"/>
    </row>
    <row r="6" spans="1:15" ht="22.15" customHeight="1" x14ac:dyDescent="0.35">
      <c r="A6" s="70" t="s">
        <v>60</v>
      </c>
      <c r="B6" s="71"/>
      <c r="C6" s="72" t="s">
        <v>160</v>
      </c>
      <c r="D6" s="72"/>
      <c r="E6" s="71" t="s">
        <v>61</v>
      </c>
      <c r="F6" s="71"/>
      <c r="G6" s="73">
        <v>46118</v>
      </c>
      <c r="H6" s="72"/>
      <c r="I6" s="71" t="s">
        <v>62</v>
      </c>
      <c r="J6" s="71"/>
      <c r="K6" s="72" t="s">
        <v>159</v>
      </c>
      <c r="L6" s="72"/>
      <c r="M6" s="71" t="s">
        <v>63</v>
      </c>
      <c r="N6" s="71"/>
      <c r="O6" s="13" t="s">
        <v>112</v>
      </c>
    </row>
    <row r="7" spans="1:15" ht="22.15" customHeight="1" x14ac:dyDescent="0.35">
      <c r="A7" s="70" t="s">
        <v>64</v>
      </c>
      <c r="B7" s="71"/>
      <c r="C7" s="72" t="s">
        <v>161</v>
      </c>
      <c r="D7" s="72"/>
      <c r="E7" s="72"/>
      <c r="F7" s="72"/>
      <c r="G7" s="72"/>
      <c r="H7" s="72"/>
      <c r="I7" s="71" t="s">
        <v>65</v>
      </c>
      <c r="J7" s="71"/>
      <c r="K7" s="75" t="s">
        <v>111</v>
      </c>
      <c r="L7" s="72"/>
      <c r="M7" s="72"/>
      <c r="N7" s="72"/>
      <c r="O7" s="76"/>
    </row>
    <row r="8" spans="1:15" ht="22.15" customHeight="1" x14ac:dyDescent="0.35">
      <c r="A8" s="70" t="s">
        <v>66</v>
      </c>
      <c r="B8" s="71"/>
      <c r="C8" s="75" t="s">
        <v>111</v>
      </c>
      <c r="D8" s="72"/>
      <c r="E8" s="72"/>
      <c r="F8" s="72"/>
      <c r="G8" s="72"/>
      <c r="H8" s="72"/>
      <c r="I8" s="71" t="s">
        <v>67</v>
      </c>
      <c r="J8" s="71"/>
      <c r="K8" s="75" t="s">
        <v>115</v>
      </c>
      <c r="L8" s="72"/>
      <c r="M8" s="71" t="s">
        <v>68</v>
      </c>
      <c r="N8" s="71"/>
      <c r="O8" s="13" t="s">
        <v>114</v>
      </c>
    </row>
    <row r="9" spans="1:15" ht="22.15" customHeight="1" x14ac:dyDescent="0.35">
      <c r="A9" s="70" t="s">
        <v>69</v>
      </c>
      <c r="B9" s="71"/>
      <c r="C9" s="75" t="s">
        <v>113</v>
      </c>
      <c r="D9" s="72"/>
      <c r="E9" s="71" t="s">
        <v>70</v>
      </c>
      <c r="F9" s="71"/>
      <c r="G9" s="75" t="s">
        <v>114</v>
      </c>
      <c r="H9" s="72"/>
      <c r="I9" s="71" t="s">
        <v>71</v>
      </c>
      <c r="J9" s="71"/>
      <c r="K9" s="75" t="s">
        <v>116</v>
      </c>
      <c r="L9" s="72"/>
      <c r="M9" s="71" t="s">
        <v>72</v>
      </c>
      <c r="N9" s="71"/>
      <c r="O9" s="2">
        <v>46153</v>
      </c>
    </row>
    <row r="10" spans="1:15" ht="22.15" customHeight="1" x14ac:dyDescent="0.35">
      <c r="A10" s="70" t="s">
        <v>73</v>
      </c>
      <c r="B10" s="71"/>
      <c r="C10" s="77" t="s">
        <v>130</v>
      </c>
      <c r="D10" s="72"/>
      <c r="E10" s="71" t="s">
        <v>74</v>
      </c>
      <c r="F10" s="71"/>
      <c r="G10" s="72"/>
      <c r="H10" s="72"/>
      <c r="I10" s="71" t="s">
        <v>75</v>
      </c>
      <c r="J10" s="71"/>
      <c r="K10" s="72"/>
      <c r="L10" s="72"/>
      <c r="M10" s="71" t="s">
        <v>76</v>
      </c>
      <c r="N10" s="71"/>
      <c r="O10" s="13" t="s">
        <v>117</v>
      </c>
    </row>
    <row r="11" spans="1:15" ht="15" thickBot="1" x14ac:dyDescent="0.4">
      <c r="A11" s="3" t="s">
        <v>147</v>
      </c>
      <c r="O11" s="4"/>
    </row>
    <row r="12" spans="1:15" ht="34.15" customHeight="1" thickBot="1" x14ac:dyDescent="0.4">
      <c r="A12" s="5" t="s">
        <v>77</v>
      </c>
      <c r="B12" s="15" t="s">
        <v>78</v>
      </c>
      <c r="C12" s="15" t="s">
        <v>79</v>
      </c>
      <c r="D12" s="15" t="s">
        <v>80</v>
      </c>
      <c r="E12" s="15" t="s">
        <v>81</v>
      </c>
      <c r="F12" s="15" t="s">
        <v>82</v>
      </c>
      <c r="G12" s="15" t="s">
        <v>83</v>
      </c>
      <c r="H12" s="15" t="s">
        <v>84</v>
      </c>
      <c r="I12" s="15" t="s">
        <v>85</v>
      </c>
      <c r="J12" s="15" t="s">
        <v>86</v>
      </c>
      <c r="K12" s="15" t="s">
        <v>87</v>
      </c>
      <c r="L12" s="15" t="s">
        <v>88</v>
      </c>
      <c r="M12" s="15" t="s">
        <v>89</v>
      </c>
      <c r="N12" s="15" t="s">
        <v>90</v>
      </c>
      <c r="O12" s="22" t="s">
        <v>91</v>
      </c>
    </row>
    <row r="13" spans="1:15" ht="21" customHeight="1" x14ac:dyDescent="0.35">
      <c r="A13" s="21">
        <v>1</v>
      </c>
      <c r="B13" s="18"/>
      <c r="C13" s="33" t="s">
        <v>0</v>
      </c>
      <c r="D13" s="16" t="s">
        <v>125</v>
      </c>
      <c r="E13" s="16" t="s">
        <v>146</v>
      </c>
      <c r="F13" s="16" t="s">
        <v>115</v>
      </c>
      <c r="G13" s="16">
        <v>14</v>
      </c>
      <c r="H13" s="16" t="s">
        <v>118</v>
      </c>
      <c r="I13" s="16" t="s">
        <v>119</v>
      </c>
      <c r="J13" s="16">
        <v>8000</v>
      </c>
      <c r="K13" s="16">
        <v>1500</v>
      </c>
      <c r="L13" s="16">
        <v>4</v>
      </c>
      <c r="M13" s="16">
        <v>5294</v>
      </c>
      <c r="N13" s="26"/>
      <c r="O13" s="27">
        <f t="shared" ref="O13:O22" si="0">IF(COUNTA(J13:L13)=3,J13*K13*L13/1000000,"")</f>
        <v>48</v>
      </c>
    </row>
    <row r="14" spans="1:15" ht="21" customHeight="1" x14ac:dyDescent="0.35">
      <c r="A14" s="21">
        <v>2</v>
      </c>
      <c r="B14" s="18"/>
      <c r="C14" s="17" t="s">
        <v>1</v>
      </c>
      <c r="D14" s="14" t="s">
        <v>124</v>
      </c>
      <c r="E14" s="14" t="s">
        <v>146</v>
      </c>
      <c r="F14" s="14" t="s">
        <v>115</v>
      </c>
      <c r="G14" s="14">
        <v>2</v>
      </c>
      <c r="H14" s="14" t="s">
        <v>118</v>
      </c>
      <c r="I14" s="14" t="s">
        <v>119</v>
      </c>
      <c r="J14" s="14">
        <v>6900</v>
      </c>
      <c r="K14" s="14">
        <v>1500</v>
      </c>
      <c r="L14" s="14">
        <v>10</v>
      </c>
      <c r="M14" s="14">
        <v>1646</v>
      </c>
      <c r="N14" s="26"/>
      <c r="O14" s="27">
        <f t="shared" si="0"/>
        <v>103.5</v>
      </c>
    </row>
    <row r="15" spans="1:15" ht="21" customHeight="1" x14ac:dyDescent="0.35">
      <c r="A15" s="21">
        <v>3</v>
      </c>
      <c r="B15" s="18"/>
      <c r="C15" s="17" t="s">
        <v>2</v>
      </c>
      <c r="D15" s="14" t="s">
        <v>126</v>
      </c>
      <c r="E15" s="14" t="s">
        <v>145</v>
      </c>
      <c r="F15" s="14" t="s">
        <v>115</v>
      </c>
      <c r="G15" s="14">
        <v>4</v>
      </c>
      <c r="H15" s="14" t="s">
        <v>118</v>
      </c>
      <c r="I15" s="14" t="s">
        <v>119</v>
      </c>
      <c r="J15" s="14">
        <v>8000</v>
      </c>
      <c r="K15" s="14">
        <v>1500</v>
      </c>
      <c r="L15" s="14">
        <v>12</v>
      </c>
      <c r="M15" s="14">
        <v>4560</v>
      </c>
      <c r="N15" s="26"/>
      <c r="O15" s="27">
        <f t="shared" si="0"/>
        <v>144</v>
      </c>
    </row>
    <row r="16" spans="1:15" ht="21" customHeight="1" x14ac:dyDescent="0.35">
      <c r="A16" s="21">
        <v>4</v>
      </c>
      <c r="B16" s="18"/>
      <c r="C16" s="17" t="s">
        <v>3</v>
      </c>
      <c r="D16" s="14" t="s">
        <v>126</v>
      </c>
      <c r="E16" s="14" t="s">
        <v>145</v>
      </c>
      <c r="F16" s="14" t="s">
        <v>115</v>
      </c>
      <c r="G16" s="14">
        <v>4</v>
      </c>
      <c r="H16" s="14" t="s">
        <v>118</v>
      </c>
      <c r="I16" s="14" t="s">
        <v>119</v>
      </c>
      <c r="J16" s="14">
        <v>8000</v>
      </c>
      <c r="K16" s="14">
        <v>1500</v>
      </c>
      <c r="L16" s="14">
        <v>12</v>
      </c>
      <c r="M16" s="14">
        <v>4560</v>
      </c>
      <c r="N16" s="26"/>
      <c r="O16" s="27">
        <f t="shared" si="0"/>
        <v>144</v>
      </c>
    </row>
    <row r="17" spans="1:15" ht="21" customHeight="1" x14ac:dyDescent="0.35">
      <c r="A17" s="21">
        <v>5</v>
      </c>
      <c r="B17" s="18"/>
      <c r="C17" s="17" t="s">
        <v>4</v>
      </c>
      <c r="D17" s="14" t="s">
        <v>126</v>
      </c>
      <c r="E17" s="14" t="s">
        <v>145</v>
      </c>
      <c r="F17" s="14" t="s">
        <v>115</v>
      </c>
      <c r="G17" s="14">
        <v>4</v>
      </c>
      <c r="H17" s="14" t="s">
        <v>118</v>
      </c>
      <c r="I17" s="14" t="s">
        <v>119</v>
      </c>
      <c r="J17" s="14">
        <v>8000</v>
      </c>
      <c r="K17" s="14">
        <v>1500</v>
      </c>
      <c r="L17" s="14">
        <v>12</v>
      </c>
      <c r="M17" s="14">
        <v>4560</v>
      </c>
      <c r="N17" s="26"/>
      <c r="O17" s="27">
        <f t="shared" si="0"/>
        <v>144</v>
      </c>
    </row>
    <row r="18" spans="1:15" ht="21" customHeight="1" x14ac:dyDescent="0.35">
      <c r="A18" s="21">
        <v>6</v>
      </c>
      <c r="B18" s="28"/>
      <c r="C18" s="17" t="s">
        <v>5</v>
      </c>
      <c r="D18" s="14" t="s">
        <v>126</v>
      </c>
      <c r="E18" s="14" t="s">
        <v>145</v>
      </c>
      <c r="F18" s="14" t="s">
        <v>115</v>
      </c>
      <c r="G18" s="14">
        <v>4</v>
      </c>
      <c r="H18" s="14" t="s">
        <v>118</v>
      </c>
      <c r="I18" s="14" t="s">
        <v>119</v>
      </c>
      <c r="J18" s="14">
        <v>8000</v>
      </c>
      <c r="K18" s="14">
        <v>1500</v>
      </c>
      <c r="L18" s="14">
        <v>12</v>
      </c>
      <c r="M18" s="14">
        <v>4560</v>
      </c>
      <c r="N18" s="29"/>
      <c r="O18" s="27">
        <f t="shared" si="0"/>
        <v>144</v>
      </c>
    </row>
    <row r="19" spans="1:15" ht="21" customHeight="1" x14ac:dyDescent="0.35">
      <c r="A19" s="21">
        <v>7</v>
      </c>
      <c r="B19" s="28"/>
      <c r="C19" s="28"/>
      <c r="D19" s="28"/>
      <c r="E19" s="28"/>
      <c r="F19" s="28"/>
      <c r="G19" s="29"/>
      <c r="H19" s="28"/>
      <c r="I19" s="28"/>
      <c r="J19" s="30"/>
      <c r="K19" s="30"/>
      <c r="L19" s="30"/>
      <c r="M19" s="29"/>
      <c r="N19" s="29"/>
      <c r="O19" s="32" t="str">
        <f t="shared" si="0"/>
        <v/>
      </c>
    </row>
    <row r="20" spans="1:15" ht="21" customHeight="1" x14ac:dyDescent="0.35">
      <c r="A20" s="21">
        <v>8</v>
      </c>
      <c r="B20" s="28"/>
      <c r="C20" s="28"/>
      <c r="D20" s="28"/>
      <c r="E20" s="28"/>
      <c r="F20" s="28"/>
      <c r="G20" s="29"/>
      <c r="H20" s="28"/>
      <c r="I20" s="28"/>
      <c r="J20" s="30"/>
      <c r="K20" s="30"/>
      <c r="L20" s="30"/>
      <c r="M20" s="29"/>
      <c r="N20" s="29"/>
      <c r="O20" s="32" t="str">
        <f t="shared" si="0"/>
        <v/>
      </c>
    </row>
    <row r="21" spans="1:15" ht="21" customHeight="1" x14ac:dyDescent="0.35">
      <c r="A21" s="21">
        <v>9</v>
      </c>
      <c r="B21" s="28"/>
      <c r="C21" s="28"/>
      <c r="D21" s="28"/>
      <c r="E21" s="28"/>
      <c r="F21" s="28"/>
      <c r="G21" s="29"/>
      <c r="H21" s="28"/>
      <c r="I21" s="28"/>
      <c r="J21" s="30"/>
      <c r="K21" s="30"/>
      <c r="L21" s="30"/>
      <c r="M21" s="29"/>
      <c r="N21" s="29"/>
      <c r="O21" s="32" t="str">
        <f t="shared" si="0"/>
        <v/>
      </c>
    </row>
    <row r="22" spans="1:15" ht="21" customHeight="1" thickBot="1" x14ac:dyDescent="0.4">
      <c r="A22" s="21">
        <v>10</v>
      </c>
      <c r="B22" s="28"/>
      <c r="C22" s="28"/>
      <c r="D22" s="28"/>
      <c r="E22" s="28"/>
      <c r="F22" s="28"/>
      <c r="G22" s="29"/>
      <c r="H22" s="28"/>
      <c r="I22" s="28"/>
      <c r="J22" s="30"/>
      <c r="K22" s="30"/>
      <c r="L22" s="30"/>
      <c r="M22" s="29"/>
      <c r="N22" s="29"/>
      <c r="O22" s="32" t="str">
        <f t="shared" si="0"/>
        <v/>
      </c>
    </row>
    <row r="23" spans="1:15" ht="22.15" customHeight="1" thickBot="1" x14ac:dyDescent="0.4">
      <c r="A23" s="74" t="s">
        <v>92</v>
      </c>
      <c r="B23" s="68"/>
      <c r="C23" s="68"/>
      <c r="D23" s="68"/>
      <c r="E23" s="68"/>
      <c r="F23" s="68"/>
      <c r="G23" s="23">
        <f>SUM(G13:G22)</f>
        <v>32</v>
      </c>
      <c r="H23" s="24"/>
      <c r="I23" s="24"/>
      <c r="J23" s="24"/>
      <c r="K23" s="24"/>
      <c r="L23" s="24"/>
      <c r="M23" s="23">
        <f>SUM(M13:M22)</f>
        <v>25180</v>
      </c>
      <c r="N23" s="23">
        <f>SUM(N13:N22)</f>
        <v>0</v>
      </c>
      <c r="O23" s="25">
        <f>SUM(O13:O22)</f>
        <v>727.5</v>
      </c>
    </row>
    <row r="24" spans="1:15" x14ac:dyDescent="0.35">
      <c r="A24" s="3"/>
      <c r="O24" s="4"/>
    </row>
    <row r="25" spans="1:15" ht="22.15" customHeight="1" x14ac:dyDescent="0.35">
      <c r="A25" s="70" t="s">
        <v>93</v>
      </c>
      <c r="B25" s="71"/>
      <c r="C25" s="6">
        <f>COUNTA(B13:B22)</f>
        <v>0</v>
      </c>
      <c r="D25" s="71" t="s">
        <v>94</v>
      </c>
      <c r="E25" s="71"/>
      <c r="F25" s="7">
        <f>SUM(G13:G22)</f>
        <v>32</v>
      </c>
      <c r="G25" s="71" t="s">
        <v>95</v>
      </c>
      <c r="H25" s="71"/>
      <c r="I25" s="7">
        <f>SUM(M13:M22)</f>
        <v>25180</v>
      </c>
      <c r="J25" s="71" t="s">
        <v>96</v>
      </c>
      <c r="K25" s="71"/>
      <c r="L25" s="7">
        <f>SUM(N13:N22)</f>
        <v>0</v>
      </c>
      <c r="M25" s="71" t="s">
        <v>97</v>
      </c>
      <c r="N25" s="71"/>
      <c r="O25" s="8">
        <f>SUM(O13:O22)</f>
        <v>727.5</v>
      </c>
    </row>
    <row r="26" spans="1:15" ht="15" thickBot="1" x14ac:dyDescent="0.4">
      <c r="A26" s="3"/>
      <c r="O26" s="4"/>
    </row>
    <row r="27" spans="1:15" ht="19.899999999999999" customHeight="1" thickBot="1" x14ac:dyDescent="0.4">
      <c r="A27" s="78" t="s">
        <v>98</v>
      </c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80"/>
    </row>
    <row r="28" spans="1:15" ht="24" customHeight="1" thickBot="1" x14ac:dyDescent="0.4">
      <c r="A28" s="81" t="s">
        <v>99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80"/>
    </row>
    <row r="29" spans="1:15" ht="24" customHeight="1" thickBot="1" x14ac:dyDescent="0.4">
      <c r="A29" s="82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80"/>
    </row>
    <row r="30" spans="1:15" ht="15" thickBot="1" x14ac:dyDescent="0.4">
      <c r="A30" s="3"/>
      <c r="O30" s="4"/>
    </row>
    <row r="31" spans="1:15" ht="19.899999999999999" customHeight="1" thickBot="1" x14ac:dyDescent="0.4">
      <c r="A31" s="78" t="s">
        <v>100</v>
      </c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80"/>
    </row>
    <row r="32" spans="1:15" ht="22.15" customHeight="1" thickBot="1" x14ac:dyDescent="0.4">
      <c r="A32" s="83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5"/>
    </row>
    <row r="33" spans="1:15" ht="19.899999999999999" customHeight="1" x14ac:dyDescent="0.35">
      <c r="A33" s="92" t="s">
        <v>101</v>
      </c>
      <c r="B33" s="93"/>
      <c r="C33" s="93"/>
      <c r="D33" s="94" t="s">
        <v>102</v>
      </c>
      <c r="E33" s="93"/>
      <c r="F33" s="93"/>
      <c r="G33" s="94" t="s">
        <v>103</v>
      </c>
      <c r="H33" s="93"/>
      <c r="I33" s="93"/>
      <c r="J33" s="94" t="s">
        <v>104</v>
      </c>
      <c r="K33" s="93"/>
      <c r="L33" s="93"/>
      <c r="M33" s="94" t="s">
        <v>105</v>
      </c>
      <c r="N33" s="93"/>
      <c r="O33" s="95"/>
    </row>
    <row r="34" spans="1:15" ht="19.899999999999999" customHeight="1" x14ac:dyDescent="0.35">
      <c r="A34" s="9"/>
      <c r="B34" s="10"/>
      <c r="C34" s="10"/>
      <c r="D34" s="11"/>
      <c r="E34" s="10"/>
      <c r="F34" s="10"/>
      <c r="G34" s="11"/>
      <c r="H34" s="10"/>
      <c r="I34" s="10"/>
      <c r="J34" s="11"/>
      <c r="K34" s="10"/>
      <c r="L34" s="10"/>
      <c r="M34" s="11"/>
      <c r="N34" s="10"/>
      <c r="O34" s="12"/>
    </row>
    <row r="35" spans="1:15" ht="19.899999999999999" customHeight="1" x14ac:dyDescent="0.35">
      <c r="A35" s="9"/>
      <c r="B35" s="10"/>
      <c r="C35" s="10"/>
      <c r="D35" s="11"/>
      <c r="E35" s="10"/>
      <c r="F35" s="10"/>
      <c r="G35" s="11"/>
      <c r="H35" s="10"/>
      <c r="I35" s="10"/>
      <c r="J35" s="11"/>
      <c r="K35" s="10"/>
      <c r="L35" s="10"/>
      <c r="M35" s="11"/>
      <c r="N35" s="10"/>
      <c r="O35" s="12"/>
    </row>
    <row r="36" spans="1:15" ht="19.899999999999999" customHeight="1" thickBot="1" x14ac:dyDescent="0.4">
      <c r="A36" s="9"/>
      <c r="B36" s="10"/>
      <c r="C36" s="10"/>
      <c r="D36" s="11"/>
      <c r="E36" s="10"/>
      <c r="F36" s="10"/>
      <c r="G36" s="11"/>
      <c r="H36" s="10"/>
      <c r="I36" s="10"/>
      <c r="J36" s="11"/>
      <c r="K36" s="10"/>
      <c r="L36" s="10"/>
      <c r="M36" s="11"/>
      <c r="N36" s="10"/>
      <c r="O36" s="12"/>
    </row>
    <row r="37" spans="1:15" ht="18.5" x14ac:dyDescent="0.35">
      <c r="A37" s="96" t="s">
        <v>106</v>
      </c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8"/>
    </row>
    <row r="38" spans="1:15" ht="14.5" customHeight="1" x14ac:dyDescent="0.35">
      <c r="A38" s="86" t="s">
        <v>107</v>
      </c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8"/>
    </row>
    <row r="39" spans="1:15" ht="15" thickBot="1" x14ac:dyDescent="0.4">
      <c r="A39" s="89"/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1"/>
    </row>
  </sheetData>
  <mergeCells count="62">
    <mergeCell ref="A38:O39"/>
    <mergeCell ref="A33:C33"/>
    <mergeCell ref="D33:F33"/>
    <mergeCell ref="G33:I33"/>
    <mergeCell ref="J33:L33"/>
    <mergeCell ref="M33:O33"/>
    <mergeCell ref="A37:O37"/>
    <mergeCell ref="A28:O29"/>
    <mergeCell ref="A31:O31"/>
    <mergeCell ref="A32:C32"/>
    <mergeCell ref="D32:F32"/>
    <mergeCell ref="G32:I32"/>
    <mergeCell ref="J32:L32"/>
    <mergeCell ref="M32:O32"/>
    <mergeCell ref="A25:B25"/>
    <mergeCell ref="D25:E25"/>
    <mergeCell ref="G25:H25"/>
    <mergeCell ref="J25:K25"/>
    <mergeCell ref="A27:O27"/>
    <mergeCell ref="M25:N25"/>
    <mergeCell ref="K10:L10"/>
    <mergeCell ref="M10:N10"/>
    <mergeCell ref="A9:B9"/>
    <mergeCell ref="C9:D9"/>
    <mergeCell ref="E9:F9"/>
    <mergeCell ref="G9:H9"/>
    <mergeCell ref="I9:J9"/>
    <mergeCell ref="K9:L9"/>
    <mergeCell ref="A23:F23"/>
    <mergeCell ref="A7:B7"/>
    <mergeCell ref="C7:H7"/>
    <mergeCell ref="I7:J7"/>
    <mergeCell ref="K7:O7"/>
    <mergeCell ref="A8:B8"/>
    <mergeCell ref="C8:H8"/>
    <mergeCell ref="I8:J8"/>
    <mergeCell ref="K8:L8"/>
    <mergeCell ref="M8:N8"/>
    <mergeCell ref="M9:N9"/>
    <mergeCell ref="A10:B10"/>
    <mergeCell ref="C10:D10"/>
    <mergeCell ref="E10:F10"/>
    <mergeCell ref="G10:H10"/>
    <mergeCell ref="I10:J10"/>
    <mergeCell ref="A5:O5"/>
    <mergeCell ref="A6:B6"/>
    <mergeCell ref="C6:D6"/>
    <mergeCell ref="E6:F6"/>
    <mergeCell ref="G6:H6"/>
    <mergeCell ref="I6:J6"/>
    <mergeCell ref="K6:L6"/>
    <mergeCell ref="M6:N6"/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</mergeCells>
  <pageMargins left="0.7" right="0.7" top="0.75" bottom="0.75" header="0.3" footer="0.3"/>
  <pageSetup paperSize="9" scale="48" orientation="portrait" r:id="rId1"/>
  <ignoredErrors>
    <ignoredError sqref="O13:O18" formulaRange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11D25-B87D-4350-B5E2-B8DF4E6FD3EB}">
  <sheetPr>
    <tabColor theme="9" tint="0.79998168889431442"/>
  </sheetPr>
  <dimension ref="A1:O39"/>
  <sheetViews>
    <sheetView showGridLines="0" view="pageBreakPreview" zoomScale="60" zoomScaleNormal="70" workbookViewId="0">
      <selection activeCell="K6" sqref="K6:L6"/>
    </sheetView>
  </sheetViews>
  <sheetFormatPr defaultRowHeight="14.5" x14ac:dyDescent="0.35"/>
  <cols>
    <col min="1" max="1" width="8" style="1" customWidth="1"/>
    <col min="2" max="2" width="13" style="1" customWidth="1"/>
    <col min="3" max="3" width="11.7265625" style="1" bestFit="1" customWidth="1"/>
    <col min="4" max="4" width="30.54296875" style="1" bestFit="1" customWidth="1"/>
    <col min="5" max="5" width="15.08984375" style="1" bestFit="1" customWidth="1"/>
    <col min="6" max="6" width="6.54296875" style="1" bestFit="1" customWidth="1"/>
    <col min="7" max="8" width="8" style="1" customWidth="1"/>
    <col min="9" max="9" width="11.26953125" style="1" bestFit="1" customWidth="1"/>
    <col min="10" max="10" width="7.90625" style="1" customWidth="1"/>
    <col min="11" max="11" width="8.26953125" style="1" customWidth="1"/>
    <col min="12" max="12" width="8.36328125" style="1" customWidth="1"/>
    <col min="13" max="13" width="12" style="1" customWidth="1"/>
    <col min="14" max="14" width="13" style="1" customWidth="1"/>
    <col min="15" max="15" width="12" style="1" customWidth="1"/>
    <col min="16" max="16384" width="8.7265625" style="1"/>
  </cols>
  <sheetData>
    <row r="1" spans="1:15" ht="17.25" customHeight="1" x14ac:dyDescent="0.35">
      <c r="A1" s="37" t="e" vm="1">
        <v>#VALUE!</v>
      </c>
      <c r="B1" s="38"/>
      <c r="C1" s="39"/>
      <c r="D1" s="46" t="s">
        <v>51</v>
      </c>
      <c r="E1" s="47"/>
      <c r="F1" s="47"/>
      <c r="G1" s="47"/>
      <c r="H1" s="47"/>
      <c r="I1" s="47"/>
      <c r="J1" s="47"/>
      <c r="K1" s="48"/>
      <c r="L1" s="55" t="s">
        <v>52</v>
      </c>
      <c r="M1" s="56"/>
      <c r="N1" s="57">
        <v>46098</v>
      </c>
      <c r="O1" s="58"/>
    </row>
    <row r="2" spans="1:15" ht="18" customHeight="1" x14ac:dyDescent="0.35">
      <c r="A2" s="40"/>
      <c r="B2" s="41"/>
      <c r="C2" s="42"/>
      <c r="D2" s="49"/>
      <c r="E2" s="50"/>
      <c r="F2" s="50"/>
      <c r="G2" s="50"/>
      <c r="H2" s="50"/>
      <c r="I2" s="50"/>
      <c r="J2" s="50"/>
      <c r="K2" s="51"/>
      <c r="L2" s="59" t="s">
        <v>53</v>
      </c>
      <c r="M2" s="60"/>
      <c r="N2" s="61" t="s">
        <v>54</v>
      </c>
      <c r="O2" s="62"/>
    </row>
    <row r="3" spans="1:15" ht="16.5" customHeight="1" x14ac:dyDescent="0.35">
      <c r="A3" s="40"/>
      <c r="B3" s="41"/>
      <c r="C3" s="42"/>
      <c r="D3" s="49"/>
      <c r="E3" s="50"/>
      <c r="F3" s="50"/>
      <c r="G3" s="50"/>
      <c r="H3" s="50"/>
      <c r="I3" s="50"/>
      <c r="J3" s="50"/>
      <c r="K3" s="51"/>
      <c r="L3" s="59" t="s">
        <v>55</v>
      </c>
      <c r="M3" s="60"/>
      <c r="N3" s="61" t="s">
        <v>56</v>
      </c>
      <c r="O3" s="62"/>
    </row>
    <row r="4" spans="1:15" ht="15.75" customHeight="1" thickBot="1" x14ac:dyDescent="0.4">
      <c r="A4" s="43"/>
      <c r="B4" s="44"/>
      <c r="C4" s="45"/>
      <c r="D4" s="52"/>
      <c r="E4" s="53"/>
      <c r="F4" s="53"/>
      <c r="G4" s="53"/>
      <c r="H4" s="53"/>
      <c r="I4" s="53"/>
      <c r="J4" s="53"/>
      <c r="K4" s="54"/>
      <c r="L4" s="63" t="s">
        <v>57</v>
      </c>
      <c r="M4" s="64"/>
      <c r="N4" s="65" t="s">
        <v>58</v>
      </c>
      <c r="O4" s="66"/>
    </row>
    <row r="5" spans="1:15" ht="19.899999999999999" customHeight="1" thickBot="1" x14ac:dyDescent="0.4">
      <c r="A5" s="67" t="s">
        <v>59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9"/>
    </row>
    <row r="6" spans="1:15" ht="22.15" customHeight="1" x14ac:dyDescent="0.35">
      <c r="A6" s="70" t="s">
        <v>60</v>
      </c>
      <c r="B6" s="71"/>
      <c r="C6" s="75" t="s">
        <v>160</v>
      </c>
      <c r="D6" s="72"/>
      <c r="E6" s="71" t="s">
        <v>61</v>
      </c>
      <c r="F6" s="71"/>
      <c r="G6" s="73">
        <v>46118</v>
      </c>
      <c r="H6" s="72"/>
      <c r="I6" s="71" t="s">
        <v>62</v>
      </c>
      <c r="J6" s="71"/>
      <c r="K6" s="72" t="s">
        <v>159</v>
      </c>
      <c r="L6" s="72"/>
      <c r="M6" s="71" t="s">
        <v>63</v>
      </c>
      <c r="N6" s="71"/>
      <c r="O6" s="13" t="s">
        <v>112</v>
      </c>
    </row>
    <row r="7" spans="1:15" ht="22.15" customHeight="1" x14ac:dyDescent="0.35">
      <c r="A7" s="70" t="s">
        <v>64</v>
      </c>
      <c r="B7" s="71"/>
      <c r="C7" s="75" t="s">
        <v>106</v>
      </c>
      <c r="D7" s="72"/>
      <c r="E7" s="72"/>
      <c r="F7" s="72"/>
      <c r="G7" s="72"/>
      <c r="H7" s="72"/>
      <c r="I7" s="71" t="s">
        <v>65</v>
      </c>
      <c r="J7" s="71"/>
      <c r="K7" s="75" t="s">
        <v>111</v>
      </c>
      <c r="L7" s="72"/>
      <c r="M7" s="72"/>
      <c r="N7" s="72"/>
      <c r="O7" s="76"/>
    </row>
    <row r="8" spans="1:15" ht="22.15" customHeight="1" x14ac:dyDescent="0.35">
      <c r="A8" s="70" t="s">
        <v>66</v>
      </c>
      <c r="B8" s="71"/>
      <c r="C8" s="75" t="s">
        <v>111</v>
      </c>
      <c r="D8" s="72"/>
      <c r="E8" s="72"/>
      <c r="F8" s="72"/>
      <c r="G8" s="72"/>
      <c r="H8" s="72"/>
      <c r="I8" s="71" t="s">
        <v>67</v>
      </c>
      <c r="J8" s="71"/>
      <c r="K8" s="75" t="s">
        <v>115</v>
      </c>
      <c r="L8" s="72"/>
      <c r="M8" s="71" t="s">
        <v>68</v>
      </c>
      <c r="N8" s="71"/>
      <c r="O8" s="13" t="s">
        <v>114</v>
      </c>
    </row>
    <row r="9" spans="1:15" ht="22.15" customHeight="1" x14ac:dyDescent="0.35">
      <c r="A9" s="70" t="s">
        <v>69</v>
      </c>
      <c r="B9" s="71"/>
      <c r="C9" s="75" t="s">
        <v>113</v>
      </c>
      <c r="D9" s="72"/>
      <c r="E9" s="71" t="s">
        <v>70</v>
      </c>
      <c r="F9" s="71"/>
      <c r="G9" s="75" t="s">
        <v>114</v>
      </c>
      <c r="H9" s="72"/>
      <c r="I9" s="71" t="s">
        <v>71</v>
      </c>
      <c r="J9" s="71"/>
      <c r="K9" s="75" t="s">
        <v>116</v>
      </c>
      <c r="L9" s="72"/>
      <c r="M9" s="71" t="s">
        <v>72</v>
      </c>
      <c r="N9" s="71"/>
      <c r="O9" s="2">
        <v>46153</v>
      </c>
    </row>
    <row r="10" spans="1:15" ht="22.15" customHeight="1" x14ac:dyDescent="0.35">
      <c r="A10" s="70" t="s">
        <v>73</v>
      </c>
      <c r="B10" s="71"/>
      <c r="C10" s="77" t="s">
        <v>108</v>
      </c>
      <c r="D10" s="72"/>
      <c r="E10" s="71" t="s">
        <v>74</v>
      </c>
      <c r="F10" s="71"/>
      <c r="G10" s="72"/>
      <c r="H10" s="72"/>
      <c r="I10" s="71" t="s">
        <v>75</v>
      </c>
      <c r="J10" s="71"/>
      <c r="K10" s="72"/>
      <c r="L10" s="72"/>
      <c r="M10" s="71" t="s">
        <v>76</v>
      </c>
      <c r="N10" s="71"/>
      <c r="O10" s="13" t="s">
        <v>117</v>
      </c>
    </row>
    <row r="11" spans="1:15" ht="15" thickBot="1" x14ac:dyDescent="0.4">
      <c r="A11" s="3" t="s">
        <v>158</v>
      </c>
      <c r="O11" s="4"/>
    </row>
    <row r="12" spans="1:15" ht="34.15" customHeight="1" thickBot="1" x14ac:dyDescent="0.4">
      <c r="A12" s="5" t="s">
        <v>77</v>
      </c>
      <c r="B12" s="15" t="s">
        <v>78</v>
      </c>
      <c r="C12" s="15" t="s">
        <v>79</v>
      </c>
      <c r="D12" s="15" t="s">
        <v>80</v>
      </c>
      <c r="E12" s="15" t="s">
        <v>81</v>
      </c>
      <c r="F12" s="15" t="s">
        <v>82</v>
      </c>
      <c r="G12" s="15" t="s">
        <v>83</v>
      </c>
      <c r="H12" s="15" t="s">
        <v>84</v>
      </c>
      <c r="I12" s="15" t="s">
        <v>85</v>
      </c>
      <c r="J12" s="15" t="s">
        <v>86</v>
      </c>
      <c r="K12" s="15" t="s">
        <v>87</v>
      </c>
      <c r="L12" s="15" t="s">
        <v>88</v>
      </c>
      <c r="M12" s="15" t="s">
        <v>89</v>
      </c>
      <c r="N12" s="15" t="s">
        <v>90</v>
      </c>
      <c r="O12" s="22" t="s">
        <v>91</v>
      </c>
    </row>
    <row r="13" spans="1:15" ht="21" customHeight="1" x14ac:dyDescent="0.35">
      <c r="A13" s="21">
        <v>1</v>
      </c>
      <c r="B13" s="18"/>
      <c r="C13" s="19" t="s">
        <v>6</v>
      </c>
      <c r="D13" s="20" t="s">
        <v>120</v>
      </c>
      <c r="E13" s="20" t="s">
        <v>146</v>
      </c>
      <c r="F13" s="20" t="s">
        <v>115</v>
      </c>
      <c r="G13" s="20">
        <v>11</v>
      </c>
      <c r="H13" s="20" t="s">
        <v>118</v>
      </c>
      <c r="I13" s="20" t="s">
        <v>119</v>
      </c>
      <c r="J13" s="20">
        <v>6900</v>
      </c>
      <c r="K13" s="20">
        <v>1500</v>
      </c>
      <c r="L13" s="20">
        <v>6</v>
      </c>
      <c r="M13" s="20">
        <v>5430</v>
      </c>
      <c r="N13" s="26"/>
      <c r="O13" s="27">
        <f t="shared" ref="O13:O22" si="0">IF(COUNTA(J13:L13)=3,J13*K13*L13/1000000,"")</f>
        <v>62.1</v>
      </c>
    </row>
    <row r="14" spans="1:15" ht="21" customHeight="1" x14ac:dyDescent="0.35">
      <c r="A14" s="21">
        <v>2</v>
      </c>
      <c r="B14" s="18"/>
      <c r="C14" s="19" t="s">
        <v>7</v>
      </c>
      <c r="D14" s="20" t="s">
        <v>121</v>
      </c>
      <c r="E14" s="20" t="s">
        <v>145</v>
      </c>
      <c r="F14" s="20" t="s">
        <v>115</v>
      </c>
      <c r="G14" s="20">
        <v>6</v>
      </c>
      <c r="H14" s="20" t="s">
        <v>118</v>
      </c>
      <c r="I14" s="20" t="s">
        <v>119</v>
      </c>
      <c r="J14" s="20">
        <v>8000</v>
      </c>
      <c r="K14" s="20">
        <v>1500</v>
      </c>
      <c r="L14" s="20">
        <v>12</v>
      </c>
      <c r="M14" s="20">
        <v>6840</v>
      </c>
      <c r="N14" s="26"/>
      <c r="O14" s="27">
        <f t="shared" si="0"/>
        <v>144</v>
      </c>
    </row>
    <row r="15" spans="1:15" ht="21" customHeight="1" x14ac:dyDescent="0.35">
      <c r="A15" s="21">
        <v>3</v>
      </c>
      <c r="B15" s="18"/>
      <c r="C15" s="19" t="s">
        <v>8</v>
      </c>
      <c r="D15" s="20" t="s">
        <v>121</v>
      </c>
      <c r="E15" s="20" t="s">
        <v>145</v>
      </c>
      <c r="F15" s="20" t="s">
        <v>115</v>
      </c>
      <c r="G15" s="20">
        <v>4</v>
      </c>
      <c r="H15" s="20" t="s">
        <v>118</v>
      </c>
      <c r="I15" s="20" t="s">
        <v>119</v>
      </c>
      <c r="J15" s="20">
        <v>8000</v>
      </c>
      <c r="K15" s="20">
        <v>1500</v>
      </c>
      <c r="L15" s="20">
        <v>12</v>
      </c>
      <c r="M15" s="20">
        <v>4570</v>
      </c>
      <c r="N15" s="26"/>
      <c r="O15" s="27">
        <f t="shared" si="0"/>
        <v>144</v>
      </c>
    </row>
    <row r="16" spans="1:15" ht="21" customHeight="1" x14ac:dyDescent="0.35">
      <c r="A16" s="21">
        <v>4</v>
      </c>
      <c r="B16" s="18"/>
      <c r="C16" s="19" t="s">
        <v>9</v>
      </c>
      <c r="D16" s="20" t="s">
        <v>121</v>
      </c>
      <c r="E16" s="20" t="s">
        <v>145</v>
      </c>
      <c r="F16" s="20" t="s">
        <v>115</v>
      </c>
      <c r="G16" s="20">
        <v>3</v>
      </c>
      <c r="H16" s="20" t="s">
        <v>118</v>
      </c>
      <c r="I16" s="20" t="s">
        <v>119</v>
      </c>
      <c r="J16" s="20">
        <v>8000</v>
      </c>
      <c r="K16" s="20">
        <v>1500</v>
      </c>
      <c r="L16" s="20">
        <v>12</v>
      </c>
      <c r="M16" s="20">
        <v>3430</v>
      </c>
      <c r="N16" s="26"/>
      <c r="O16" s="27">
        <f t="shared" si="0"/>
        <v>144</v>
      </c>
    </row>
    <row r="17" spans="1:15" ht="21" customHeight="1" x14ac:dyDescent="0.35">
      <c r="A17" s="21">
        <v>5</v>
      </c>
      <c r="B17" s="18"/>
      <c r="C17" s="19" t="s">
        <v>10</v>
      </c>
      <c r="D17" s="20" t="s">
        <v>122</v>
      </c>
      <c r="E17" s="20" t="s">
        <v>145</v>
      </c>
      <c r="F17" s="20" t="s">
        <v>115</v>
      </c>
      <c r="G17" s="20">
        <v>5</v>
      </c>
      <c r="H17" s="20" t="s">
        <v>118</v>
      </c>
      <c r="I17" s="20" t="s">
        <v>119</v>
      </c>
      <c r="J17" s="20">
        <v>6900</v>
      </c>
      <c r="K17" s="20">
        <v>1500</v>
      </c>
      <c r="L17" s="20">
        <v>12</v>
      </c>
      <c r="M17" s="20">
        <v>4940</v>
      </c>
      <c r="N17" s="26"/>
      <c r="O17" s="27">
        <f t="shared" si="0"/>
        <v>124.2</v>
      </c>
    </row>
    <row r="18" spans="1:15" ht="21" customHeight="1" x14ac:dyDescent="0.35">
      <c r="A18" s="21">
        <v>6</v>
      </c>
      <c r="B18" s="28"/>
      <c r="C18" s="28"/>
      <c r="D18" s="28"/>
      <c r="E18" s="28"/>
      <c r="F18" s="28"/>
      <c r="G18" s="29"/>
      <c r="H18" s="28"/>
      <c r="I18" s="28"/>
      <c r="J18" s="30"/>
      <c r="K18" s="30"/>
      <c r="L18" s="30"/>
      <c r="M18" s="31"/>
      <c r="N18" s="29"/>
      <c r="O18" s="32" t="str">
        <f t="shared" si="0"/>
        <v/>
      </c>
    </row>
    <row r="19" spans="1:15" ht="21" customHeight="1" x14ac:dyDescent="0.35">
      <c r="A19" s="21">
        <v>7</v>
      </c>
      <c r="B19" s="28"/>
      <c r="C19" s="28"/>
      <c r="D19" s="28"/>
      <c r="E19" s="28"/>
      <c r="F19" s="28"/>
      <c r="G19" s="29"/>
      <c r="H19" s="28"/>
      <c r="I19" s="28"/>
      <c r="J19" s="30"/>
      <c r="K19" s="30"/>
      <c r="L19" s="30"/>
      <c r="M19" s="29"/>
      <c r="N19" s="29"/>
      <c r="O19" s="32" t="str">
        <f t="shared" si="0"/>
        <v/>
      </c>
    </row>
    <row r="20" spans="1:15" ht="21" customHeight="1" x14ac:dyDescent="0.35">
      <c r="A20" s="21">
        <v>8</v>
      </c>
      <c r="B20" s="28"/>
      <c r="C20" s="28"/>
      <c r="D20" s="28"/>
      <c r="E20" s="28"/>
      <c r="F20" s="28"/>
      <c r="G20" s="29"/>
      <c r="H20" s="28"/>
      <c r="I20" s="28"/>
      <c r="J20" s="30"/>
      <c r="K20" s="30"/>
      <c r="L20" s="30"/>
      <c r="M20" s="29"/>
      <c r="N20" s="29"/>
      <c r="O20" s="32" t="str">
        <f t="shared" si="0"/>
        <v/>
      </c>
    </row>
    <row r="21" spans="1:15" ht="21" customHeight="1" x14ac:dyDescent="0.35">
      <c r="A21" s="21">
        <v>9</v>
      </c>
      <c r="B21" s="28"/>
      <c r="C21" s="28"/>
      <c r="D21" s="28"/>
      <c r="E21" s="28"/>
      <c r="F21" s="28"/>
      <c r="G21" s="29"/>
      <c r="H21" s="28"/>
      <c r="I21" s="28"/>
      <c r="J21" s="30"/>
      <c r="K21" s="30"/>
      <c r="L21" s="30"/>
      <c r="M21" s="29"/>
      <c r="N21" s="29"/>
      <c r="O21" s="32" t="str">
        <f t="shared" si="0"/>
        <v/>
      </c>
    </row>
    <row r="22" spans="1:15" ht="21" customHeight="1" thickBot="1" x14ac:dyDescent="0.4">
      <c r="A22" s="21">
        <v>10</v>
      </c>
      <c r="B22" s="28"/>
      <c r="C22" s="28"/>
      <c r="D22" s="28"/>
      <c r="E22" s="28"/>
      <c r="F22" s="28"/>
      <c r="G22" s="29"/>
      <c r="H22" s="28"/>
      <c r="I22" s="28"/>
      <c r="J22" s="30"/>
      <c r="K22" s="30"/>
      <c r="L22" s="30"/>
      <c r="M22" s="29"/>
      <c r="N22" s="29"/>
      <c r="O22" s="32" t="str">
        <f t="shared" si="0"/>
        <v/>
      </c>
    </row>
    <row r="23" spans="1:15" ht="22.15" customHeight="1" thickBot="1" x14ac:dyDescent="0.4">
      <c r="A23" s="74" t="s">
        <v>92</v>
      </c>
      <c r="B23" s="68"/>
      <c r="C23" s="68"/>
      <c r="D23" s="68"/>
      <c r="E23" s="68"/>
      <c r="F23" s="68"/>
      <c r="G23" s="23">
        <f>SUM(G13:G22)</f>
        <v>29</v>
      </c>
      <c r="H23" s="24"/>
      <c r="I23" s="24"/>
      <c r="J23" s="24"/>
      <c r="K23" s="24"/>
      <c r="L23" s="24"/>
      <c r="M23" s="23">
        <f>SUM(M13:M22)</f>
        <v>25210</v>
      </c>
      <c r="N23" s="23">
        <f>SUM(N13:N22)</f>
        <v>0</v>
      </c>
      <c r="O23" s="25">
        <f>SUM(O13:O22)</f>
        <v>618.30000000000007</v>
      </c>
    </row>
    <row r="24" spans="1:15" x14ac:dyDescent="0.35">
      <c r="A24" s="3"/>
      <c r="O24" s="4"/>
    </row>
    <row r="25" spans="1:15" ht="22.15" customHeight="1" x14ac:dyDescent="0.35">
      <c r="A25" s="70" t="s">
        <v>93</v>
      </c>
      <c r="B25" s="71"/>
      <c r="C25" s="6">
        <f>COUNTA(B13:B22)</f>
        <v>0</v>
      </c>
      <c r="D25" s="71" t="s">
        <v>94</v>
      </c>
      <c r="E25" s="71"/>
      <c r="F25" s="7">
        <f>SUM(G13:G22)</f>
        <v>29</v>
      </c>
      <c r="G25" s="71" t="s">
        <v>95</v>
      </c>
      <c r="H25" s="71"/>
      <c r="I25" s="7">
        <f>SUM(M13:M22)</f>
        <v>25210</v>
      </c>
      <c r="J25" s="71" t="s">
        <v>96</v>
      </c>
      <c r="K25" s="71"/>
      <c r="L25" s="7">
        <f>SUM(N13:N22)</f>
        <v>0</v>
      </c>
      <c r="M25" s="71" t="s">
        <v>97</v>
      </c>
      <c r="N25" s="71"/>
      <c r="O25" s="8">
        <f>SUM(O13:O22)</f>
        <v>618.30000000000007</v>
      </c>
    </row>
    <row r="26" spans="1:15" ht="15" thickBot="1" x14ac:dyDescent="0.4">
      <c r="A26" s="3"/>
      <c r="O26" s="4"/>
    </row>
    <row r="27" spans="1:15" ht="19.899999999999999" customHeight="1" thickBot="1" x14ac:dyDescent="0.4">
      <c r="A27" s="78" t="s">
        <v>98</v>
      </c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80"/>
    </row>
    <row r="28" spans="1:15" ht="24" customHeight="1" thickBot="1" x14ac:dyDescent="0.4">
      <c r="A28" s="81" t="s">
        <v>99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80"/>
    </row>
    <row r="29" spans="1:15" ht="24" customHeight="1" thickBot="1" x14ac:dyDescent="0.4">
      <c r="A29" s="82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80"/>
    </row>
    <row r="30" spans="1:15" ht="15" thickBot="1" x14ac:dyDescent="0.4">
      <c r="A30" s="3"/>
      <c r="O30" s="4"/>
    </row>
    <row r="31" spans="1:15" ht="19.899999999999999" customHeight="1" thickBot="1" x14ac:dyDescent="0.4">
      <c r="A31" s="78" t="s">
        <v>100</v>
      </c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80"/>
    </row>
    <row r="32" spans="1:15" ht="22.15" customHeight="1" thickBot="1" x14ac:dyDescent="0.4">
      <c r="A32" s="83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5"/>
    </row>
    <row r="33" spans="1:15" ht="19.899999999999999" customHeight="1" x14ac:dyDescent="0.35">
      <c r="A33" s="92" t="s">
        <v>101</v>
      </c>
      <c r="B33" s="93"/>
      <c r="C33" s="93"/>
      <c r="D33" s="94" t="s">
        <v>102</v>
      </c>
      <c r="E33" s="93"/>
      <c r="F33" s="93"/>
      <c r="G33" s="94" t="s">
        <v>103</v>
      </c>
      <c r="H33" s="93"/>
      <c r="I33" s="93"/>
      <c r="J33" s="94" t="s">
        <v>104</v>
      </c>
      <c r="K33" s="93"/>
      <c r="L33" s="93"/>
      <c r="M33" s="94" t="s">
        <v>105</v>
      </c>
      <c r="N33" s="93"/>
      <c r="O33" s="95"/>
    </row>
    <row r="34" spans="1:15" ht="19.899999999999999" customHeight="1" x14ac:dyDescent="0.35">
      <c r="A34" s="9"/>
      <c r="B34" s="10"/>
      <c r="C34" s="10"/>
      <c r="D34" s="11"/>
      <c r="E34" s="10"/>
      <c r="F34" s="10"/>
      <c r="G34" s="11"/>
      <c r="H34" s="10"/>
      <c r="I34" s="10"/>
      <c r="J34" s="11"/>
      <c r="K34" s="10"/>
      <c r="L34" s="10"/>
      <c r="M34" s="11"/>
      <c r="N34" s="10"/>
      <c r="O34" s="12"/>
    </row>
    <row r="35" spans="1:15" ht="19.899999999999999" customHeight="1" x14ac:dyDescent="0.35">
      <c r="A35" s="9"/>
      <c r="B35" s="10"/>
      <c r="C35" s="10"/>
      <c r="D35" s="11"/>
      <c r="E35" s="10"/>
      <c r="F35" s="10"/>
      <c r="G35" s="11"/>
      <c r="H35" s="10"/>
      <c r="I35" s="10"/>
      <c r="J35" s="11"/>
      <c r="K35" s="10"/>
      <c r="L35" s="10"/>
      <c r="M35" s="11"/>
      <c r="N35" s="10"/>
      <c r="O35" s="12"/>
    </row>
    <row r="36" spans="1:15" ht="19.899999999999999" customHeight="1" thickBot="1" x14ac:dyDescent="0.4">
      <c r="A36" s="9"/>
      <c r="B36" s="10"/>
      <c r="C36" s="10"/>
      <c r="D36" s="11"/>
      <c r="E36" s="10"/>
      <c r="F36" s="10"/>
      <c r="G36" s="11"/>
      <c r="H36" s="10"/>
      <c r="I36" s="10"/>
      <c r="J36" s="11"/>
      <c r="K36" s="10"/>
      <c r="L36" s="10"/>
      <c r="M36" s="11"/>
      <c r="N36" s="10"/>
      <c r="O36" s="12"/>
    </row>
    <row r="37" spans="1:15" ht="18.5" x14ac:dyDescent="0.35">
      <c r="A37" s="96" t="s">
        <v>106</v>
      </c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8"/>
    </row>
    <row r="38" spans="1:15" ht="14.5" customHeight="1" x14ac:dyDescent="0.35">
      <c r="A38" s="86" t="s">
        <v>107</v>
      </c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8"/>
    </row>
    <row r="39" spans="1:15" ht="15" thickBot="1" x14ac:dyDescent="0.4">
      <c r="A39" s="89"/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1"/>
    </row>
  </sheetData>
  <mergeCells count="62">
    <mergeCell ref="A38:O39"/>
    <mergeCell ref="A33:C33"/>
    <mergeCell ref="D33:F33"/>
    <mergeCell ref="G33:I33"/>
    <mergeCell ref="J33:L33"/>
    <mergeCell ref="M33:O33"/>
    <mergeCell ref="A37:O37"/>
    <mergeCell ref="A28:O29"/>
    <mergeCell ref="A31:O31"/>
    <mergeCell ref="A32:C32"/>
    <mergeCell ref="D32:F32"/>
    <mergeCell ref="G32:I32"/>
    <mergeCell ref="J32:L32"/>
    <mergeCell ref="M32:O32"/>
    <mergeCell ref="A25:B25"/>
    <mergeCell ref="D25:E25"/>
    <mergeCell ref="G25:H25"/>
    <mergeCell ref="J25:K25"/>
    <mergeCell ref="M25:N25"/>
    <mergeCell ref="A27:O27"/>
    <mergeCell ref="A23:F23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9:L9"/>
    <mergeCell ref="A7:B7"/>
    <mergeCell ref="C7:H7"/>
    <mergeCell ref="I7:J7"/>
    <mergeCell ref="K7:O7"/>
    <mergeCell ref="A8:B8"/>
    <mergeCell ref="C8:H8"/>
    <mergeCell ref="I8:J8"/>
    <mergeCell ref="K8:L8"/>
    <mergeCell ref="M8:N8"/>
    <mergeCell ref="A5:O5"/>
    <mergeCell ref="A6:B6"/>
    <mergeCell ref="C6:D6"/>
    <mergeCell ref="E6:F6"/>
    <mergeCell ref="G6:H6"/>
    <mergeCell ref="I6:J6"/>
    <mergeCell ref="K6:L6"/>
    <mergeCell ref="M6:N6"/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</mergeCells>
  <phoneticPr fontId="18" type="noConversion"/>
  <pageMargins left="0.7" right="0.7" top="0.75" bottom="0.75" header="0.3" footer="0.3"/>
  <pageSetup paperSize="9" scale="48" orientation="portrait" r:id="rId1"/>
  <ignoredErrors>
    <ignoredError sqref="O13:O17" formulaRange="1"/>
  </ignoredError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24C61-0E53-43EB-B986-83B50B0A345B}">
  <sheetPr>
    <tabColor theme="9" tint="0.79998168889431442"/>
  </sheetPr>
  <dimension ref="A1:O39"/>
  <sheetViews>
    <sheetView showGridLines="0" view="pageBreakPreview" zoomScale="60" zoomScaleNormal="70" workbookViewId="0">
      <selection activeCell="K6" sqref="K6:L6"/>
    </sheetView>
  </sheetViews>
  <sheetFormatPr defaultRowHeight="14.5" x14ac:dyDescent="0.35"/>
  <cols>
    <col min="1" max="1" width="8" style="1" customWidth="1"/>
    <col min="2" max="2" width="13" style="1" customWidth="1"/>
    <col min="3" max="3" width="11.7265625" style="1" bestFit="1" customWidth="1"/>
    <col min="4" max="4" width="30.26953125" style="1" bestFit="1" customWidth="1"/>
    <col min="5" max="5" width="15.08984375" style="1" bestFit="1" customWidth="1"/>
    <col min="6" max="6" width="6.54296875" style="1" bestFit="1" customWidth="1"/>
    <col min="7" max="8" width="8" style="1" customWidth="1"/>
    <col min="9" max="9" width="11.26953125" style="1" bestFit="1" customWidth="1"/>
    <col min="10" max="10" width="7.90625" style="1" customWidth="1"/>
    <col min="11" max="11" width="8.26953125" style="1" customWidth="1"/>
    <col min="12" max="12" width="8.36328125" style="1" customWidth="1"/>
    <col min="13" max="13" width="12" style="1" customWidth="1"/>
    <col min="14" max="14" width="13" style="1" customWidth="1"/>
    <col min="15" max="15" width="12" style="1" customWidth="1"/>
    <col min="16" max="16384" width="8.7265625" style="1"/>
  </cols>
  <sheetData>
    <row r="1" spans="1:15" ht="17.25" customHeight="1" x14ac:dyDescent="0.35">
      <c r="A1" s="37" t="e" vm="1">
        <v>#VALUE!</v>
      </c>
      <c r="B1" s="38"/>
      <c r="C1" s="39"/>
      <c r="D1" s="46" t="s">
        <v>51</v>
      </c>
      <c r="E1" s="47"/>
      <c r="F1" s="47"/>
      <c r="G1" s="47"/>
      <c r="H1" s="47"/>
      <c r="I1" s="47"/>
      <c r="J1" s="47"/>
      <c r="K1" s="48"/>
      <c r="L1" s="55" t="s">
        <v>52</v>
      </c>
      <c r="M1" s="56"/>
      <c r="N1" s="57">
        <v>46098</v>
      </c>
      <c r="O1" s="58"/>
    </row>
    <row r="2" spans="1:15" ht="18" customHeight="1" x14ac:dyDescent="0.35">
      <c r="A2" s="40"/>
      <c r="B2" s="41"/>
      <c r="C2" s="42"/>
      <c r="D2" s="49"/>
      <c r="E2" s="50"/>
      <c r="F2" s="50"/>
      <c r="G2" s="50"/>
      <c r="H2" s="50"/>
      <c r="I2" s="50"/>
      <c r="J2" s="50"/>
      <c r="K2" s="51"/>
      <c r="L2" s="59" t="s">
        <v>53</v>
      </c>
      <c r="M2" s="60"/>
      <c r="N2" s="61" t="s">
        <v>54</v>
      </c>
      <c r="O2" s="62"/>
    </row>
    <row r="3" spans="1:15" ht="16.5" customHeight="1" x14ac:dyDescent="0.35">
      <c r="A3" s="40"/>
      <c r="B3" s="41"/>
      <c r="C3" s="42"/>
      <c r="D3" s="49"/>
      <c r="E3" s="50"/>
      <c r="F3" s="50"/>
      <c r="G3" s="50"/>
      <c r="H3" s="50"/>
      <c r="I3" s="50"/>
      <c r="J3" s="50"/>
      <c r="K3" s="51"/>
      <c r="L3" s="59" t="s">
        <v>55</v>
      </c>
      <c r="M3" s="60"/>
      <c r="N3" s="61" t="s">
        <v>56</v>
      </c>
      <c r="O3" s="62"/>
    </row>
    <row r="4" spans="1:15" ht="15.75" customHeight="1" thickBot="1" x14ac:dyDescent="0.4">
      <c r="A4" s="43"/>
      <c r="B4" s="44"/>
      <c r="C4" s="45"/>
      <c r="D4" s="52"/>
      <c r="E4" s="53"/>
      <c r="F4" s="53"/>
      <c r="G4" s="53"/>
      <c r="H4" s="53"/>
      <c r="I4" s="53"/>
      <c r="J4" s="53"/>
      <c r="K4" s="54"/>
      <c r="L4" s="63" t="s">
        <v>57</v>
      </c>
      <c r="M4" s="64"/>
      <c r="N4" s="65" t="s">
        <v>58</v>
      </c>
      <c r="O4" s="66"/>
    </row>
    <row r="5" spans="1:15" ht="19.899999999999999" customHeight="1" thickBot="1" x14ac:dyDescent="0.4">
      <c r="A5" s="67" t="s">
        <v>59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9"/>
    </row>
    <row r="6" spans="1:15" ht="22.15" customHeight="1" x14ac:dyDescent="0.35">
      <c r="A6" s="70" t="s">
        <v>60</v>
      </c>
      <c r="B6" s="71"/>
      <c r="C6" s="75" t="s">
        <v>160</v>
      </c>
      <c r="D6" s="72"/>
      <c r="E6" s="71" t="s">
        <v>61</v>
      </c>
      <c r="F6" s="71"/>
      <c r="G6" s="73">
        <v>46118</v>
      </c>
      <c r="H6" s="72"/>
      <c r="I6" s="71" t="s">
        <v>62</v>
      </c>
      <c r="J6" s="71"/>
      <c r="K6" s="72" t="s">
        <v>159</v>
      </c>
      <c r="L6" s="72"/>
      <c r="M6" s="71" t="s">
        <v>63</v>
      </c>
      <c r="N6" s="71"/>
      <c r="O6" s="13" t="s">
        <v>112</v>
      </c>
    </row>
    <row r="7" spans="1:15" ht="22.15" customHeight="1" x14ac:dyDescent="0.35">
      <c r="A7" s="70" t="s">
        <v>64</v>
      </c>
      <c r="B7" s="71"/>
      <c r="C7" s="75" t="s">
        <v>106</v>
      </c>
      <c r="D7" s="72"/>
      <c r="E7" s="72"/>
      <c r="F7" s="72"/>
      <c r="G7" s="72"/>
      <c r="H7" s="72"/>
      <c r="I7" s="71" t="s">
        <v>65</v>
      </c>
      <c r="J7" s="71"/>
      <c r="K7" s="75" t="s">
        <v>111</v>
      </c>
      <c r="L7" s="72"/>
      <c r="M7" s="72"/>
      <c r="N7" s="72"/>
      <c r="O7" s="76"/>
    </row>
    <row r="8" spans="1:15" ht="22.15" customHeight="1" x14ac:dyDescent="0.35">
      <c r="A8" s="70" t="s">
        <v>66</v>
      </c>
      <c r="B8" s="71"/>
      <c r="C8" s="75" t="s">
        <v>111</v>
      </c>
      <c r="D8" s="72"/>
      <c r="E8" s="72"/>
      <c r="F8" s="72"/>
      <c r="G8" s="72"/>
      <c r="H8" s="72"/>
      <c r="I8" s="71" t="s">
        <v>67</v>
      </c>
      <c r="J8" s="71"/>
      <c r="K8" s="75" t="s">
        <v>115</v>
      </c>
      <c r="L8" s="72"/>
      <c r="M8" s="71" t="s">
        <v>68</v>
      </c>
      <c r="N8" s="71"/>
      <c r="O8" s="13" t="s">
        <v>114</v>
      </c>
    </row>
    <row r="9" spans="1:15" ht="22.15" customHeight="1" x14ac:dyDescent="0.35">
      <c r="A9" s="70" t="s">
        <v>69</v>
      </c>
      <c r="B9" s="71"/>
      <c r="C9" s="75" t="s">
        <v>113</v>
      </c>
      <c r="D9" s="72"/>
      <c r="E9" s="71" t="s">
        <v>70</v>
      </c>
      <c r="F9" s="71"/>
      <c r="G9" s="75" t="s">
        <v>114</v>
      </c>
      <c r="H9" s="72"/>
      <c r="I9" s="71" t="s">
        <v>71</v>
      </c>
      <c r="J9" s="71"/>
      <c r="K9" s="75" t="s">
        <v>116</v>
      </c>
      <c r="L9" s="72"/>
      <c r="M9" s="71" t="s">
        <v>72</v>
      </c>
      <c r="N9" s="71"/>
      <c r="O9" s="2">
        <v>46153</v>
      </c>
    </row>
    <row r="10" spans="1:15" ht="22.15" customHeight="1" x14ac:dyDescent="0.35">
      <c r="A10" s="70" t="s">
        <v>73</v>
      </c>
      <c r="B10" s="71"/>
      <c r="C10" s="77" t="s">
        <v>109</v>
      </c>
      <c r="D10" s="72"/>
      <c r="E10" s="71" t="s">
        <v>74</v>
      </c>
      <c r="F10" s="71"/>
      <c r="G10" s="72"/>
      <c r="H10" s="72"/>
      <c r="I10" s="71" t="s">
        <v>75</v>
      </c>
      <c r="J10" s="71"/>
      <c r="K10" s="72"/>
      <c r="L10" s="72"/>
      <c r="M10" s="71" t="s">
        <v>76</v>
      </c>
      <c r="N10" s="71"/>
      <c r="O10" s="13" t="s">
        <v>117</v>
      </c>
    </row>
    <row r="11" spans="1:15" ht="15" thickBot="1" x14ac:dyDescent="0.4">
      <c r="A11" s="3" t="s">
        <v>131</v>
      </c>
      <c r="O11" s="4"/>
    </row>
    <row r="12" spans="1:15" ht="34.15" customHeight="1" thickBot="1" x14ac:dyDescent="0.4">
      <c r="A12" s="5" t="s">
        <v>77</v>
      </c>
      <c r="B12" s="15" t="s">
        <v>78</v>
      </c>
      <c r="C12" s="15" t="s">
        <v>79</v>
      </c>
      <c r="D12" s="15" t="s">
        <v>80</v>
      </c>
      <c r="E12" s="15" t="s">
        <v>81</v>
      </c>
      <c r="F12" s="15" t="s">
        <v>82</v>
      </c>
      <c r="G12" s="15" t="s">
        <v>83</v>
      </c>
      <c r="H12" s="15" t="s">
        <v>84</v>
      </c>
      <c r="I12" s="15" t="s">
        <v>85</v>
      </c>
      <c r="J12" s="15" t="s">
        <v>86</v>
      </c>
      <c r="K12" s="15" t="s">
        <v>87</v>
      </c>
      <c r="L12" s="15" t="s">
        <v>88</v>
      </c>
      <c r="M12" s="15" t="s">
        <v>89</v>
      </c>
      <c r="N12" s="15" t="s">
        <v>90</v>
      </c>
      <c r="O12" s="22" t="s">
        <v>91</v>
      </c>
    </row>
    <row r="13" spans="1:15" ht="21" customHeight="1" x14ac:dyDescent="0.35">
      <c r="A13" s="21">
        <v>1</v>
      </c>
      <c r="B13" s="18"/>
      <c r="C13" s="33" t="s">
        <v>11</v>
      </c>
      <c r="D13" s="16" t="s">
        <v>123</v>
      </c>
      <c r="E13" s="16" t="s">
        <v>146</v>
      </c>
      <c r="F13" s="16" t="s">
        <v>115</v>
      </c>
      <c r="G13" s="16">
        <v>8</v>
      </c>
      <c r="H13" s="16" t="s">
        <v>118</v>
      </c>
      <c r="I13" s="16" t="s">
        <v>119</v>
      </c>
      <c r="J13" s="16">
        <v>6900</v>
      </c>
      <c r="K13" s="16">
        <v>1500</v>
      </c>
      <c r="L13" s="16">
        <v>8</v>
      </c>
      <c r="M13" s="14">
        <v>5210</v>
      </c>
      <c r="N13" s="26"/>
      <c r="O13" s="27">
        <f t="shared" ref="O13:O22" si="0">IF(COUNTA(J13:L13)=3,J13*K13*L13/1000000,"")</f>
        <v>82.8</v>
      </c>
    </row>
    <row r="14" spans="1:15" ht="21" customHeight="1" x14ac:dyDescent="0.35">
      <c r="A14" s="21">
        <v>2</v>
      </c>
      <c r="B14" s="18"/>
      <c r="C14" s="17" t="s">
        <v>12</v>
      </c>
      <c r="D14" s="14" t="s">
        <v>123</v>
      </c>
      <c r="E14" s="14" t="s">
        <v>146</v>
      </c>
      <c r="F14" s="14" t="s">
        <v>115</v>
      </c>
      <c r="G14" s="14">
        <v>8</v>
      </c>
      <c r="H14" s="14" t="s">
        <v>118</v>
      </c>
      <c r="I14" s="14" t="s">
        <v>119</v>
      </c>
      <c r="J14" s="14">
        <v>6900</v>
      </c>
      <c r="K14" s="14">
        <v>1500</v>
      </c>
      <c r="L14" s="14">
        <v>8</v>
      </c>
      <c r="M14" s="14">
        <v>5210</v>
      </c>
      <c r="N14" s="26"/>
      <c r="O14" s="27">
        <f t="shared" si="0"/>
        <v>82.8</v>
      </c>
    </row>
    <row r="15" spans="1:15" ht="21" customHeight="1" x14ac:dyDescent="0.35">
      <c r="A15" s="21">
        <v>3</v>
      </c>
      <c r="B15" s="18"/>
      <c r="C15" s="17" t="s">
        <v>13</v>
      </c>
      <c r="D15" s="14" t="s">
        <v>124</v>
      </c>
      <c r="E15" s="14" t="s">
        <v>146</v>
      </c>
      <c r="F15" s="14" t="s">
        <v>115</v>
      </c>
      <c r="G15" s="14">
        <v>6</v>
      </c>
      <c r="H15" s="14" t="s">
        <v>118</v>
      </c>
      <c r="I15" s="14" t="s">
        <v>119</v>
      </c>
      <c r="J15" s="14">
        <v>6900</v>
      </c>
      <c r="K15" s="14">
        <v>1500</v>
      </c>
      <c r="L15" s="14">
        <v>10</v>
      </c>
      <c r="M15" s="14">
        <v>4885</v>
      </c>
      <c r="N15" s="26"/>
      <c r="O15" s="27">
        <f t="shared" si="0"/>
        <v>103.5</v>
      </c>
    </row>
    <row r="16" spans="1:15" ht="21" customHeight="1" x14ac:dyDescent="0.35">
      <c r="A16" s="21">
        <v>4</v>
      </c>
      <c r="B16" s="18"/>
      <c r="C16" s="17" t="s">
        <v>14</v>
      </c>
      <c r="D16" s="14" t="s">
        <v>124</v>
      </c>
      <c r="E16" s="14" t="s">
        <v>146</v>
      </c>
      <c r="F16" s="14" t="s">
        <v>115</v>
      </c>
      <c r="G16" s="14">
        <v>6</v>
      </c>
      <c r="H16" s="14" t="s">
        <v>118</v>
      </c>
      <c r="I16" s="14" t="s">
        <v>119</v>
      </c>
      <c r="J16" s="14">
        <v>6900</v>
      </c>
      <c r="K16" s="14">
        <v>1500</v>
      </c>
      <c r="L16" s="14">
        <v>10</v>
      </c>
      <c r="M16" s="14">
        <v>4885</v>
      </c>
      <c r="N16" s="26"/>
      <c r="O16" s="27">
        <f t="shared" si="0"/>
        <v>103.5</v>
      </c>
    </row>
    <row r="17" spans="1:15" ht="21" customHeight="1" x14ac:dyDescent="0.35">
      <c r="A17" s="21">
        <v>5</v>
      </c>
      <c r="B17" s="18"/>
      <c r="C17" s="17" t="s">
        <v>15</v>
      </c>
      <c r="D17" s="14" t="s">
        <v>124</v>
      </c>
      <c r="E17" s="14" t="s">
        <v>146</v>
      </c>
      <c r="F17" s="14" t="s">
        <v>115</v>
      </c>
      <c r="G17" s="14">
        <v>6</v>
      </c>
      <c r="H17" s="14" t="s">
        <v>118</v>
      </c>
      <c r="I17" s="14" t="s">
        <v>119</v>
      </c>
      <c r="J17" s="14">
        <v>6900</v>
      </c>
      <c r="K17" s="14">
        <v>1500</v>
      </c>
      <c r="L17" s="14">
        <v>10</v>
      </c>
      <c r="M17" s="14">
        <v>4890</v>
      </c>
      <c r="N17" s="26"/>
      <c r="O17" s="27">
        <f t="shared" si="0"/>
        <v>103.5</v>
      </c>
    </row>
    <row r="18" spans="1:15" ht="21" customHeight="1" x14ac:dyDescent="0.35">
      <c r="A18" s="21">
        <v>6</v>
      </c>
      <c r="B18" s="28"/>
      <c r="C18" s="28"/>
      <c r="D18" s="28"/>
      <c r="E18" s="28"/>
      <c r="F18" s="28"/>
      <c r="G18" s="29"/>
      <c r="H18" s="28"/>
      <c r="I18" s="28"/>
      <c r="J18" s="30"/>
      <c r="K18" s="30"/>
      <c r="L18" s="30"/>
      <c r="M18" s="31"/>
      <c r="N18" s="29"/>
      <c r="O18" s="32" t="str">
        <f t="shared" si="0"/>
        <v/>
      </c>
    </row>
    <row r="19" spans="1:15" ht="21" customHeight="1" x14ac:dyDescent="0.35">
      <c r="A19" s="21">
        <v>7</v>
      </c>
      <c r="B19" s="28"/>
      <c r="C19" s="28"/>
      <c r="D19" s="28"/>
      <c r="E19" s="28"/>
      <c r="F19" s="28"/>
      <c r="G19" s="29"/>
      <c r="H19" s="28"/>
      <c r="I19" s="28"/>
      <c r="J19" s="30"/>
      <c r="K19" s="30"/>
      <c r="L19" s="30"/>
      <c r="M19" s="29"/>
      <c r="N19" s="29"/>
      <c r="O19" s="32" t="str">
        <f t="shared" si="0"/>
        <v/>
      </c>
    </row>
    <row r="20" spans="1:15" ht="21" customHeight="1" x14ac:dyDescent="0.35">
      <c r="A20" s="21">
        <v>8</v>
      </c>
      <c r="B20" s="28"/>
      <c r="C20" s="28"/>
      <c r="D20" s="28"/>
      <c r="E20" s="28"/>
      <c r="F20" s="28"/>
      <c r="G20" s="29"/>
      <c r="H20" s="28"/>
      <c r="I20" s="28"/>
      <c r="J20" s="30"/>
      <c r="K20" s="30"/>
      <c r="L20" s="30"/>
      <c r="M20" s="29"/>
      <c r="N20" s="29"/>
      <c r="O20" s="32" t="str">
        <f t="shared" si="0"/>
        <v/>
      </c>
    </row>
    <row r="21" spans="1:15" ht="21" customHeight="1" x14ac:dyDescent="0.35">
      <c r="A21" s="21">
        <v>9</v>
      </c>
      <c r="B21" s="28"/>
      <c r="C21" s="28"/>
      <c r="D21" s="28"/>
      <c r="E21" s="28"/>
      <c r="F21" s="28"/>
      <c r="G21" s="29"/>
      <c r="H21" s="28"/>
      <c r="I21" s="28"/>
      <c r="J21" s="30"/>
      <c r="K21" s="30"/>
      <c r="L21" s="30"/>
      <c r="M21" s="29"/>
      <c r="N21" s="29"/>
      <c r="O21" s="32" t="str">
        <f t="shared" si="0"/>
        <v/>
      </c>
    </row>
    <row r="22" spans="1:15" ht="21" customHeight="1" thickBot="1" x14ac:dyDescent="0.4">
      <c r="A22" s="21">
        <v>10</v>
      </c>
      <c r="B22" s="28"/>
      <c r="C22" s="28"/>
      <c r="D22" s="28"/>
      <c r="E22" s="28"/>
      <c r="F22" s="28"/>
      <c r="G22" s="29"/>
      <c r="H22" s="28"/>
      <c r="I22" s="28"/>
      <c r="J22" s="30"/>
      <c r="K22" s="30"/>
      <c r="L22" s="30"/>
      <c r="M22" s="29"/>
      <c r="N22" s="29"/>
      <c r="O22" s="32" t="str">
        <f t="shared" si="0"/>
        <v/>
      </c>
    </row>
    <row r="23" spans="1:15" ht="22.15" customHeight="1" thickBot="1" x14ac:dyDescent="0.4">
      <c r="A23" s="74" t="s">
        <v>92</v>
      </c>
      <c r="B23" s="68"/>
      <c r="C23" s="68"/>
      <c r="D23" s="68"/>
      <c r="E23" s="68"/>
      <c r="F23" s="68"/>
      <c r="G23" s="23">
        <f>SUM(G13:G22)</f>
        <v>34</v>
      </c>
      <c r="H23" s="24"/>
      <c r="I23" s="24"/>
      <c r="J23" s="24"/>
      <c r="K23" s="24"/>
      <c r="L23" s="24"/>
      <c r="M23" s="23">
        <f>SUM(M13:M22)</f>
        <v>25080</v>
      </c>
      <c r="N23" s="23">
        <f>SUM(N13:N22)</f>
        <v>0</v>
      </c>
      <c r="O23" s="25">
        <f>SUM(O13:O22)</f>
        <v>476.1</v>
      </c>
    </row>
    <row r="24" spans="1:15" x14ac:dyDescent="0.35">
      <c r="A24" s="3"/>
      <c r="O24" s="4"/>
    </row>
    <row r="25" spans="1:15" ht="22.15" customHeight="1" x14ac:dyDescent="0.35">
      <c r="A25" s="70" t="s">
        <v>93</v>
      </c>
      <c r="B25" s="71"/>
      <c r="C25" s="6">
        <f>COUNTA(B13:B22)</f>
        <v>0</v>
      </c>
      <c r="D25" s="71" t="s">
        <v>94</v>
      </c>
      <c r="E25" s="71"/>
      <c r="F25" s="7">
        <f>SUM(G13:G22)</f>
        <v>34</v>
      </c>
      <c r="G25" s="71" t="s">
        <v>95</v>
      </c>
      <c r="H25" s="71"/>
      <c r="I25" s="7">
        <f>SUM(M13:M22)</f>
        <v>25080</v>
      </c>
      <c r="J25" s="71" t="s">
        <v>96</v>
      </c>
      <c r="K25" s="71"/>
      <c r="L25" s="7">
        <f>SUM(N13:N22)</f>
        <v>0</v>
      </c>
      <c r="M25" s="71" t="s">
        <v>97</v>
      </c>
      <c r="N25" s="71"/>
      <c r="O25" s="8">
        <f>SUM(O13:O22)</f>
        <v>476.1</v>
      </c>
    </row>
    <row r="26" spans="1:15" ht="15" thickBot="1" x14ac:dyDescent="0.4">
      <c r="A26" s="3"/>
      <c r="O26" s="4"/>
    </row>
    <row r="27" spans="1:15" ht="19.899999999999999" customHeight="1" thickBot="1" x14ac:dyDescent="0.4">
      <c r="A27" s="78" t="s">
        <v>98</v>
      </c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80"/>
    </row>
    <row r="28" spans="1:15" ht="24" customHeight="1" thickBot="1" x14ac:dyDescent="0.4">
      <c r="A28" s="81" t="s">
        <v>99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80"/>
    </row>
    <row r="29" spans="1:15" ht="24" customHeight="1" thickBot="1" x14ac:dyDescent="0.4">
      <c r="A29" s="82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80"/>
    </row>
    <row r="30" spans="1:15" ht="15" thickBot="1" x14ac:dyDescent="0.4">
      <c r="A30" s="3"/>
      <c r="O30" s="4"/>
    </row>
    <row r="31" spans="1:15" ht="19.899999999999999" customHeight="1" thickBot="1" x14ac:dyDescent="0.4">
      <c r="A31" s="78" t="s">
        <v>100</v>
      </c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80"/>
    </row>
    <row r="32" spans="1:15" ht="22.15" customHeight="1" thickBot="1" x14ac:dyDescent="0.4">
      <c r="A32" s="83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5"/>
    </row>
    <row r="33" spans="1:15" ht="19.899999999999999" customHeight="1" x14ac:dyDescent="0.35">
      <c r="A33" s="92" t="s">
        <v>101</v>
      </c>
      <c r="B33" s="93"/>
      <c r="C33" s="93"/>
      <c r="D33" s="94" t="s">
        <v>102</v>
      </c>
      <c r="E33" s="93"/>
      <c r="F33" s="93"/>
      <c r="G33" s="94" t="s">
        <v>103</v>
      </c>
      <c r="H33" s="93"/>
      <c r="I33" s="93"/>
      <c r="J33" s="94" t="s">
        <v>104</v>
      </c>
      <c r="K33" s="93"/>
      <c r="L33" s="93"/>
      <c r="M33" s="94" t="s">
        <v>105</v>
      </c>
      <c r="N33" s="93"/>
      <c r="O33" s="95"/>
    </row>
    <row r="34" spans="1:15" ht="19.899999999999999" customHeight="1" x14ac:dyDescent="0.35">
      <c r="A34" s="9"/>
      <c r="B34" s="10"/>
      <c r="C34" s="10"/>
      <c r="D34" s="11"/>
      <c r="E34" s="10"/>
      <c r="F34" s="10"/>
      <c r="G34" s="11"/>
      <c r="H34" s="10"/>
      <c r="I34" s="10"/>
      <c r="J34" s="11"/>
      <c r="K34" s="10"/>
      <c r="L34" s="10"/>
      <c r="M34" s="11"/>
      <c r="N34" s="10"/>
      <c r="O34" s="12"/>
    </row>
    <row r="35" spans="1:15" ht="19.899999999999999" customHeight="1" x14ac:dyDescent="0.35">
      <c r="A35" s="9"/>
      <c r="B35" s="10"/>
      <c r="C35" s="10"/>
      <c r="D35" s="11"/>
      <c r="E35" s="10"/>
      <c r="F35" s="10"/>
      <c r="G35" s="11"/>
      <c r="H35" s="10"/>
      <c r="I35" s="10"/>
      <c r="J35" s="11"/>
      <c r="K35" s="10"/>
      <c r="L35" s="10"/>
      <c r="M35" s="11"/>
      <c r="N35" s="10"/>
      <c r="O35" s="12"/>
    </row>
    <row r="36" spans="1:15" ht="19.899999999999999" customHeight="1" thickBot="1" x14ac:dyDescent="0.4">
      <c r="A36" s="9"/>
      <c r="B36" s="10"/>
      <c r="C36" s="10"/>
      <c r="D36" s="11"/>
      <c r="E36" s="10"/>
      <c r="F36" s="10"/>
      <c r="G36" s="11"/>
      <c r="H36" s="10"/>
      <c r="I36" s="10"/>
      <c r="J36" s="11"/>
      <c r="K36" s="10"/>
      <c r="L36" s="10"/>
      <c r="M36" s="11"/>
      <c r="N36" s="10"/>
      <c r="O36" s="12"/>
    </row>
    <row r="37" spans="1:15" ht="18.5" x14ac:dyDescent="0.35">
      <c r="A37" s="96" t="s">
        <v>106</v>
      </c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8"/>
    </row>
    <row r="38" spans="1:15" ht="14.5" customHeight="1" x14ac:dyDescent="0.35">
      <c r="A38" s="86" t="s">
        <v>107</v>
      </c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8"/>
    </row>
    <row r="39" spans="1:15" ht="15" thickBot="1" x14ac:dyDescent="0.4">
      <c r="A39" s="89"/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1"/>
    </row>
  </sheetData>
  <mergeCells count="62">
    <mergeCell ref="A38:O39"/>
    <mergeCell ref="A33:C33"/>
    <mergeCell ref="D33:F33"/>
    <mergeCell ref="G33:I33"/>
    <mergeCell ref="J33:L33"/>
    <mergeCell ref="M33:O33"/>
    <mergeCell ref="A37:O37"/>
    <mergeCell ref="A28:O29"/>
    <mergeCell ref="A31:O31"/>
    <mergeCell ref="A32:C32"/>
    <mergeCell ref="D32:F32"/>
    <mergeCell ref="G32:I32"/>
    <mergeCell ref="J32:L32"/>
    <mergeCell ref="M32:O32"/>
    <mergeCell ref="A25:B25"/>
    <mergeCell ref="D25:E25"/>
    <mergeCell ref="G25:H25"/>
    <mergeCell ref="J25:K25"/>
    <mergeCell ref="A27:O27"/>
    <mergeCell ref="M25:N25"/>
    <mergeCell ref="K10:L10"/>
    <mergeCell ref="M10:N10"/>
    <mergeCell ref="A9:B9"/>
    <mergeCell ref="C9:D9"/>
    <mergeCell ref="E9:F9"/>
    <mergeCell ref="G9:H9"/>
    <mergeCell ref="I9:J9"/>
    <mergeCell ref="K9:L9"/>
    <mergeCell ref="A23:F23"/>
    <mergeCell ref="A7:B7"/>
    <mergeCell ref="C7:H7"/>
    <mergeCell ref="I7:J7"/>
    <mergeCell ref="K7:O7"/>
    <mergeCell ref="A8:B8"/>
    <mergeCell ref="C8:H8"/>
    <mergeCell ref="I8:J8"/>
    <mergeCell ref="K8:L8"/>
    <mergeCell ref="M8:N8"/>
    <mergeCell ref="M9:N9"/>
    <mergeCell ref="A10:B10"/>
    <mergeCell ref="C10:D10"/>
    <mergeCell ref="E10:F10"/>
    <mergeCell ref="G10:H10"/>
    <mergeCell ref="I10:J10"/>
    <mergeCell ref="A5:O5"/>
    <mergeCell ref="A6:B6"/>
    <mergeCell ref="C6:D6"/>
    <mergeCell ref="E6:F6"/>
    <mergeCell ref="G6:H6"/>
    <mergeCell ref="I6:J6"/>
    <mergeCell ref="K6:L6"/>
    <mergeCell ref="M6:N6"/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</mergeCells>
  <pageMargins left="0.7" right="0.7" top="0.75" bottom="0.75" header="0.3" footer="0.3"/>
  <pageSetup paperSize="9" scale="48" orientation="portrait" r:id="rId1"/>
  <ignoredErrors>
    <ignoredError sqref="O13:O17" formulaRange="1"/>
  </ignoredError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21B9B-CB8D-4EE8-A2D4-AE2103C5C1F7}">
  <sheetPr>
    <tabColor theme="9" tint="0.79998168889431442"/>
  </sheetPr>
  <dimension ref="A1:O39"/>
  <sheetViews>
    <sheetView showGridLines="0" view="pageBreakPreview" zoomScale="60" zoomScaleNormal="70" workbookViewId="0">
      <selection activeCell="K6" sqref="K6:L6"/>
    </sheetView>
  </sheetViews>
  <sheetFormatPr defaultRowHeight="14.5" x14ac:dyDescent="0.35"/>
  <cols>
    <col min="1" max="1" width="8" style="1" customWidth="1"/>
    <col min="2" max="2" width="13" style="1" customWidth="1"/>
    <col min="3" max="3" width="11.7265625" style="1" bestFit="1" customWidth="1"/>
    <col min="4" max="4" width="30.26953125" style="1" bestFit="1" customWidth="1"/>
    <col min="5" max="5" width="15.08984375" style="1" bestFit="1" customWidth="1"/>
    <col min="6" max="6" width="6.54296875" style="1" bestFit="1" customWidth="1"/>
    <col min="7" max="8" width="8" style="1" customWidth="1"/>
    <col min="9" max="9" width="11.26953125" style="1" bestFit="1" customWidth="1"/>
    <col min="10" max="10" width="7.90625" style="1" customWidth="1"/>
    <col min="11" max="11" width="8.26953125" style="1" customWidth="1"/>
    <col min="12" max="12" width="8.36328125" style="1" customWidth="1"/>
    <col min="13" max="13" width="12" style="1" customWidth="1"/>
    <col min="14" max="14" width="13" style="1" customWidth="1"/>
    <col min="15" max="15" width="12" style="1" customWidth="1"/>
    <col min="16" max="16384" width="8.7265625" style="1"/>
  </cols>
  <sheetData>
    <row r="1" spans="1:15" ht="17.25" customHeight="1" x14ac:dyDescent="0.35">
      <c r="A1" s="37" t="e" vm="1">
        <v>#VALUE!</v>
      </c>
      <c r="B1" s="38"/>
      <c r="C1" s="39"/>
      <c r="D1" s="46" t="s">
        <v>51</v>
      </c>
      <c r="E1" s="47"/>
      <c r="F1" s="47"/>
      <c r="G1" s="47"/>
      <c r="H1" s="47"/>
      <c r="I1" s="47"/>
      <c r="J1" s="47"/>
      <c r="K1" s="48"/>
      <c r="L1" s="55" t="s">
        <v>52</v>
      </c>
      <c r="M1" s="56"/>
      <c r="N1" s="57">
        <v>46098</v>
      </c>
      <c r="O1" s="58"/>
    </row>
    <row r="2" spans="1:15" ht="18" customHeight="1" x14ac:dyDescent="0.35">
      <c r="A2" s="40"/>
      <c r="B2" s="41"/>
      <c r="C2" s="42"/>
      <c r="D2" s="49"/>
      <c r="E2" s="50"/>
      <c r="F2" s="50"/>
      <c r="G2" s="50"/>
      <c r="H2" s="50"/>
      <c r="I2" s="50"/>
      <c r="J2" s="50"/>
      <c r="K2" s="51"/>
      <c r="L2" s="59" t="s">
        <v>53</v>
      </c>
      <c r="M2" s="60"/>
      <c r="N2" s="61" t="s">
        <v>54</v>
      </c>
      <c r="O2" s="62"/>
    </row>
    <row r="3" spans="1:15" ht="16.5" customHeight="1" x14ac:dyDescent="0.35">
      <c r="A3" s="40"/>
      <c r="B3" s="41"/>
      <c r="C3" s="42"/>
      <c r="D3" s="49"/>
      <c r="E3" s="50"/>
      <c r="F3" s="50"/>
      <c r="G3" s="50"/>
      <c r="H3" s="50"/>
      <c r="I3" s="50"/>
      <c r="J3" s="50"/>
      <c r="K3" s="51"/>
      <c r="L3" s="59" t="s">
        <v>55</v>
      </c>
      <c r="M3" s="60"/>
      <c r="N3" s="61" t="s">
        <v>56</v>
      </c>
      <c r="O3" s="62"/>
    </row>
    <row r="4" spans="1:15" ht="15.75" customHeight="1" thickBot="1" x14ac:dyDescent="0.4">
      <c r="A4" s="43"/>
      <c r="B4" s="44"/>
      <c r="C4" s="45"/>
      <c r="D4" s="52"/>
      <c r="E4" s="53"/>
      <c r="F4" s="53"/>
      <c r="G4" s="53"/>
      <c r="H4" s="53"/>
      <c r="I4" s="53"/>
      <c r="J4" s="53"/>
      <c r="K4" s="54"/>
      <c r="L4" s="63" t="s">
        <v>57</v>
      </c>
      <c r="M4" s="64"/>
      <c r="N4" s="65" t="s">
        <v>58</v>
      </c>
      <c r="O4" s="66"/>
    </row>
    <row r="5" spans="1:15" ht="19.899999999999999" customHeight="1" thickBot="1" x14ac:dyDescent="0.4">
      <c r="A5" s="67" t="s">
        <v>59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9"/>
    </row>
    <row r="6" spans="1:15" ht="22.15" customHeight="1" x14ac:dyDescent="0.35">
      <c r="A6" s="70" t="s">
        <v>60</v>
      </c>
      <c r="B6" s="71"/>
      <c r="C6" s="75" t="s">
        <v>160</v>
      </c>
      <c r="D6" s="72"/>
      <c r="E6" s="71" t="s">
        <v>61</v>
      </c>
      <c r="F6" s="71"/>
      <c r="G6" s="73">
        <v>46118</v>
      </c>
      <c r="H6" s="72"/>
      <c r="I6" s="71" t="s">
        <v>62</v>
      </c>
      <c r="J6" s="71"/>
      <c r="K6" s="72" t="s">
        <v>159</v>
      </c>
      <c r="L6" s="72"/>
      <c r="M6" s="71" t="s">
        <v>63</v>
      </c>
      <c r="N6" s="71"/>
      <c r="O6" s="13" t="s">
        <v>112</v>
      </c>
    </row>
    <row r="7" spans="1:15" ht="22.15" customHeight="1" x14ac:dyDescent="0.35">
      <c r="A7" s="70" t="s">
        <v>64</v>
      </c>
      <c r="B7" s="71"/>
      <c r="C7" s="75" t="s">
        <v>106</v>
      </c>
      <c r="D7" s="72"/>
      <c r="E7" s="72"/>
      <c r="F7" s="72"/>
      <c r="G7" s="72"/>
      <c r="H7" s="72"/>
      <c r="I7" s="71" t="s">
        <v>65</v>
      </c>
      <c r="J7" s="71"/>
      <c r="K7" s="75" t="s">
        <v>111</v>
      </c>
      <c r="L7" s="72"/>
      <c r="M7" s="72"/>
      <c r="N7" s="72"/>
      <c r="O7" s="76"/>
    </row>
    <row r="8" spans="1:15" ht="22.15" customHeight="1" x14ac:dyDescent="0.35">
      <c r="A8" s="70" t="s">
        <v>66</v>
      </c>
      <c r="B8" s="71"/>
      <c r="C8" s="75" t="s">
        <v>111</v>
      </c>
      <c r="D8" s="72"/>
      <c r="E8" s="72"/>
      <c r="F8" s="72"/>
      <c r="G8" s="72"/>
      <c r="H8" s="72"/>
      <c r="I8" s="71" t="s">
        <v>67</v>
      </c>
      <c r="J8" s="71"/>
      <c r="K8" s="75" t="s">
        <v>115</v>
      </c>
      <c r="L8" s="72"/>
      <c r="M8" s="71" t="s">
        <v>68</v>
      </c>
      <c r="N8" s="71"/>
      <c r="O8" s="13" t="s">
        <v>114</v>
      </c>
    </row>
    <row r="9" spans="1:15" ht="22.15" customHeight="1" x14ac:dyDescent="0.35">
      <c r="A9" s="70" t="s">
        <v>69</v>
      </c>
      <c r="B9" s="71"/>
      <c r="C9" s="75" t="s">
        <v>113</v>
      </c>
      <c r="D9" s="72"/>
      <c r="E9" s="71" t="s">
        <v>70</v>
      </c>
      <c r="F9" s="71"/>
      <c r="G9" s="75" t="s">
        <v>114</v>
      </c>
      <c r="H9" s="72"/>
      <c r="I9" s="71" t="s">
        <v>71</v>
      </c>
      <c r="J9" s="71"/>
      <c r="K9" s="75" t="s">
        <v>116</v>
      </c>
      <c r="L9" s="72"/>
      <c r="M9" s="71" t="s">
        <v>72</v>
      </c>
      <c r="N9" s="71"/>
      <c r="O9" s="2">
        <v>46153</v>
      </c>
    </row>
    <row r="10" spans="1:15" ht="22.15" customHeight="1" x14ac:dyDescent="0.35">
      <c r="A10" s="70" t="s">
        <v>73</v>
      </c>
      <c r="B10" s="71"/>
      <c r="C10" s="77" t="s">
        <v>132</v>
      </c>
      <c r="D10" s="72"/>
      <c r="E10" s="71" t="s">
        <v>74</v>
      </c>
      <c r="F10" s="71"/>
      <c r="G10" s="72"/>
      <c r="H10" s="72"/>
      <c r="I10" s="71" t="s">
        <v>75</v>
      </c>
      <c r="J10" s="71"/>
      <c r="K10" s="72"/>
      <c r="L10" s="72"/>
      <c r="M10" s="71" t="s">
        <v>76</v>
      </c>
      <c r="N10" s="71"/>
      <c r="O10" s="13" t="s">
        <v>117</v>
      </c>
    </row>
    <row r="11" spans="1:15" ht="15" thickBot="1" x14ac:dyDescent="0.4">
      <c r="A11" s="3" t="s">
        <v>133</v>
      </c>
      <c r="O11" s="4"/>
    </row>
    <row r="12" spans="1:15" ht="34.15" customHeight="1" thickBot="1" x14ac:dyDescent="0.4">
      <c r="A12" s="5" t="s">
        <v>77</v>
      </c>
      <c r="B12" s="15" t="s">
        <v>78</v>
      </c>
      <c r="C12" s="15" t="s">
        <v>79</v>
      </c>
      <c r="D12" s="15" t="s">
        <v>80</v>
      </c>
      <c r="E12" s="15" t="s">
        <v>81</v>
      </c>
      <c r="F12" s="15" t="s">
        <v>82</v>
      </c>
      <c r="G12" s="15" t="s">
        <v>83</v>
      </c>
      <c r="H12" s="15" t="s">
        <v>84</v>
      </c>
      <c r="I12" s="15" t="s">
        <v>85</v>
      </c>
      <c r="J12" s="15" t="s">
        <v>86</v>
      </c>
      <c r="K12" s="15" t="s">
        <v>87</v>
      </c>
      <c r="L12" s="15" t="s">
        <v>88</v>
      </c>
      <c r="M12" s="15" t="s">
        <v>89</v>
      </c>
      <c r="N12" s="15" t="s">
        <v>90</v>
      </c>
      <c r="O12" s="22" t="s">
        <v>91</v>
      </c>
    </row>
    <row r="13" spans="1:15" ht="21" customHeight="1" x14ac:dyDescent="0.35">
      <c r="A13" s="21">
        <v>1</v>
      </c>
      <c r="B13" s="18"/>
      <c r="C13" s="33" t="s">
        <v>16</v>
      </c>
      <c r="D13" s="16" t="s">
        <v>129</v>
      </c>
      <c r="E13" s="16" t="s">
        <v>146</v>
      </c>
      <c r="F13" s="16" t="s">
        <v>115</v>
      </c>
      <c r="G13" s="16">
        <v>17</v>
      </c>
      <c r="H13" s="16" t="s">
        <v>118</v>
      </c>
      <c r="I13" s="16" t="s">
        <v>119</v>
      </c>
      <c r="J13" s="16">
        <v>8000</v>
      </c>
      <c r="K13" s="16">
        <v>1500</v>
      </c>
      <c r="L13" s="16">
        <v>3</v>
      </c>
      <c r="M13" s="16">
        <v>4753</v>
      </c>
      <c r="N13" s="26"/>
      <c r="O13" s="27"/>
    </row>
    <row r="14" spans="1:15" ht="21" customHeight="1" x14ac:dyDescent="0.35">
      <c r="A14" s="21">
        <v>2</v>
      </c>
      <c r="B14" s="18"/>
      <c r="C14" s="17" t="s">
        <v>17</v>
      </c>
      <c r="D14" s="14" t="s">
        <v>124</v>
      </c>
      <c r="E14" s="14" t="s">
        <v>146</v>
      </c>
      <c r="F14" s="14" t="s">
        <v>115</v>
      </c>
      <c r="G14" s="14">
        <v>5</v>
      </c>
      <c r="H14" s="14" t="s">
        <v>118</v>
      </c>
      <c r="I14" s="14" t="s">
        <v>119</v>
      </c>
      <c r="J14" s="14">
        <v>6900</v>
      </c>
      <c r="K14" s="14">
        <v>1500</v>
      </c>
      <c r="L14" s="14">
        <v>10</v>
      </c>
      <c r="M14" s="14">
        <v>4075</v>
      </c>
      <c r="N14" s="26"/>
      <c r="O14" s="27"/>
    </row>
    <row r="15" spans="1:15" ht="21" customHeight="1" x14ac:dyDescent="0.35">
      <c r="A15" s="21">
        <v>3</v>
      </c>
      <c r="B15" s="18"/>
      <c r="C15" s="17" t="s">
        <v>18</v>
      </c>
      <c r="D15" s="14" t="s">
        <v>127</v>
      </c>
      <c r="E15" s="14" t="s">
        <v>145</v>
      </c>
      <c r="F15" s="14" t="s">
        <v>115</v>
      </c>
      <c r="G15" s="14">
        <v>5</v>
      </c>
      <c r="H15" s="14" t="s">
        <v>118</v>
      </c>
      <c r="I15" s="14" t="s">
        <v>119</v>
      </c>
      <c r="J15" s="14">
        <v>6900</v>
      </c>
      <c r="K15" s="14">
        <v>1500</v>
      </c>
      <c r="L15" s="14">
        <v>12</v>
      </c>
      <c r="M15" s="14">
        <v>4900</v>
      </c>
      <c r="N15" s="26"/>
      <c r="O15" s="27"/>
    </row>
    <row r="16" spans="1:15" ht="21" customHeight="1" x14ac:dyDescent="0.35">
      <c r="A16" s="21">
        <v>4</v>
      </c>
      <c r="B16" s="18"/>
      <c r="C16" s="17" t="s">
        <v>19</v>
      </c>
      <c r="D16" s="14" t="s">
        <v>126</v>
      </c>
      <c r="E16" s="14" t="s">
        <v>145</v>
      </c>
      <c r="F16" s="14" t="s">
        <v>115</v>
      </c>
      <c r="G16" s="14">
        <v>5</v>
      </c>
      <c r="H16" s="14" t="s">
        <v>118</v>
      </c>
      <c r="I16" s="14" t="s">
        <v>119</v>
      </c>
      <c r="J16" s="14">
        <v>8000</v>
      </c>
      <c r="K16" s="14">
        <v>1500</v>
      </c>
      <c r="L16" s="14">
        <v>12</v>
      </c>
      <c r="M16" s="14">
        <v>5676</v>
      </c>
      <c r="N16" s="26"/>
      <c r="O16" s="27"/>
    </row>
    <row r="17" spans="1:15" ht="21" customHeight="1" x14ac:dyDescent="0.35">
      <c r="A17" s="21">
        <v>5</v>
      </c>
      <c r="B17" s="18"/>
      <c r="C17" s="17" t="s">
        <v>20</v>
      </c>
      <c r="D17" s="14" t="s">
        <v>126</v>
      </c>
      <c r="E17" s="14" t="s">
        <v>145</v>
      </c>
      <c r="F17" s="14" t="s">
        <v>115</v>
      </c>
      <c r="G17" s="14">
        <v>5</v>
      </c>
      <c r="H17" s="14" t="s">
        <v>118</v>
      </c>
      <c r="I17" s="14" t="s">
        <v>119</v>
      </c>
      <c r="J17" s="14">
        <v>8000</v>
      </c>
      <c r="K17" s="14">
        <v>1500</v>
      </c>
      <c r="L17" s="14">
        <v>12</v>
      </c>
      <c r="M17" s="14">
        <v>5676</v>
      </c>
      <c r="N17" s="26"/>
      <c r="O17" s="27"/>
    </row>
    <row r="18" spans="1:15" ht="21" customHeight="1" x14ac:dyDescent="0.35">
      <c r="A18" s="21">
        <v>6</v>
      </c>
      <c r="B18" s="28"/>
      <c r="C18" s="17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29"/>
      <c r="O18" s="27"/>
    </row>
    <row r="19" spans="1:15" ht="21" customHeight="1" x14ac:dyDescent="0.35">
      <c r="A19" s="21">
        <v>7</v>
      </c>
      <c r="B19" s="28"/>
      <c r="C19" s="28"/>
      <c r="D19" s="28"/>
      <c r="E19" s="28"/>
      <c r="F19" s="28"/>
      <c r="G19" s="29"/>
      <c r="H19" s="28"/>
      <c r="I19" s="28"/>
      <c r="J19" s="30"/>
      <c r="K19" s="30"/>
      <c r="L19" s="30"/>
      <c r="M19" s="29"/>
      <c r="N19" s="29"/>
      <c r="O19" s="32" t="str">
        <f t="shared" ref="O19:O22" si="0">IF(COUNTA(J19:L19)=3,J19*K19*L19/1000000,"")</f>
        <v/>
      </c>
    </row>
    <row r="20" spans="1:15" ht="21" customHeight="1" x14ac:dyDescent="0.35">
      <c r="A20" s="21">
        <v>8</v>
      </c>
      <c r="B20" s="28"/>
      <c r="C20" s="28"/>
      <c r="D20" s="28"/>
      <c r="E20" s="28"/>
      <c r="F20" s="28"/>
      <c r="G20" s="29"/>
      <c r="H20" s="28"/>
      <c r="I20" s="28"/>
      <c r="J20" s="30"/>
      <c r="K20" s="30"/>
      <c r="L20" s="30"/>
      <c r="M20" s="29"/>
      <c r="N20" s="29"/>
      <c r="O20" s="32" t="str">
        <f t="shared" si="0"/>
        <v/>
      </c>
    </row>
    <row r="21" spans="1:15" ht="21" customHeight="1" x14ac:dyDescent="0.35">
      <c r="A21" s="21">
        <v>9</v>
      </c>
      <c r="B21" s="28"/>
      <c r="C21" s="28"/>
      <c r="D21" s="28"/>
      <c r="E21" s="28"/>
      <c r="F21" s="28"/>
      <c r="G21" s="29"/>
      <c r="H21" s="28"/>
      <c r="I21" s="28"/>
      <c r="J21" s="30"/>
      <c r="K21" s="30"/>
      <c r="L21" s="30"/>
      <c r="M21" s="29"/>
      <c r="N21" s="29"/>
      <c r="O21" s="32" t="str">
        <f t="shared" si="0"/>
        <v/>
      </c>
    </row>
    <row r="22" spans="1:15" ht="21" customHeight="1" thickBot="1" x14ac:dyDescent="0.4">
      <c r="A22" s="21">
        <v>10</v>
      </c>
      <c r="B22" s="28"/>
      <c r="C22" s="28"/>
      <c r="D22" s="28"/>
      <c r="E22" s="28"/>
      <c r="F22" s="28"/>
      <c r="G22" s="29"/>
      <c r="H22" s="28"/>
      <c r="I22" s="28"/>
      <c r="J22" s="30"/>
      <c r="K22" s="30"/>
      <c r="L22" s="30"/>
      <c r="M22" s="29"/>
      <c r="N22" s="29"/>
      <c r="O22" s="32" t="str">
        <f t="shared" si="0"/>
        <v/>
      </c>
    </row>
    <row r="23" spans="1:15" ht="22.15" customHeight="1" thickBot="1" x14ac:dyDescent="0.4">
      <c r="A23" s="74" t="s">
        <v>92</v>
      </c>
      <c r="B23" s="68"/>
      <c r="C23" s="68"/>
      <c r="D23" s="68"/>
      <c r="E23" s="68"/>
      <c r="F23" s="68"/>
      <c r="G23" s="23">
        <f>SUM(G13:G22)</f>
        <v>37</v>
      </c>
      <c r="H23" s="24"/>
      <c r="I23" s="24"/>
      <c r="J23" s="24"/>
      <c r="K23" s="24"/>
      <c r="L23" s="24"/>
      <c r="M23" s="23">
        <f>SUM(M13:M22)</f>
        <v>25080</v>
      </c>
      <c r="N23" s="23">
        <f>SUM(N13:N22)</f>
        <v>0</v>
      </c>
      <c r="O23" s="25">
        <f>SUM(O13:O22)</f>
        <v>0</v>
      </c>
    </row>
    <row r="24" spans="1:15" x14ac:dyDescent="0.35">
      <c r="A24" s="3"/>
      <c r="O24" s="4"/>
    </row>
    <row r="25" spans="1:15" ht="22.15" customHeight="1" x14ac:dyDescent="0.35">
      <c r="A25" s="70" t="s">
        <v>93</v>
      </c>
      <c r="B25" s="71"/>
      <c r="C25" s="6">
        <f>COUNTA(B13:B22)</f>
        <v>0</v>
      </c>
      <c r="D25" s="71" t="s">
        <v>94</v>
      </c>
      <c r="E25" s="71"/>
      <c r="F25" s="7">
        <f>SUM(G13:G22)</f>
        <v>37</v>
      </c>
      <c r="G25" s="71" t="s">
        <v>95</v>
      </c>
      <c r="H25" s="71"/>
      <c r="I25" s="7">
        <f>SUM(M13:M22)</f>
        <v>25080</v>
      </c>
      <c r="J25" s="71" t="s">
        <v>96</v>
      </c>
      <c r="K25" s="71"/>
      <c r="L25" s="7">
        <f>SUM(N13:N22)</f>
        <v>0</v>
      </c>
      <c r="M25" s="71" t="s">
        <v>97</v>
      </c>
      <c r="N25" s="71"/>
      <c r="O25" s="8">
        <f>SUM(O13:O22)</f>
        <v>0</v>
      </c>
    </row>
    <row r="26" spans="1:15" ht="15" thickBot="1" x14ac:dyDescent="0.4">
      <c r="A26" s="3"/>
      <c r="O26" s="4"/>
    </row>
    <row r="27" spans="1:15" ht="19.899999999999999" customHeight="1" thickBot="1" x14ac:dyDescent="0.4">
      <c r="A27" s="78" t="s">
        <v>98</v>
      </c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80"/>
    </row>
    <row r="28" spans="1:15" ht="24" customHeight="1" thickBot="1" x14ac:dyDescent="0.4">
      <c r="A28" s="81" t="s">
        <v>99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80"/>
    </row>
    <row r="29" spans="1:15" ht="24" customHeight="1" thickBot="1" x14ac:dyDescent="0.4">
      <c r="A29" s="82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80"/>
    </row>
    <row r="30" spans="1:15" ht="15" thickBot="1" x14ac:dyDescent="0.4">
      <c r="A30" s="3"/>
      <c r="O30" s="4"/>
    </row>
    <row r="31" spans="1:15" ht="19.899999999999999" customHeight="1" thickBot="1" x14ac:dyDescent="0.4">
      <c r="A31" s="78" t="s">
        <v>100</v>
      </c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80"/>
    </row>
    <row r="32" spans="1:15" ht="22.15" customHeight="1" thickBot="1" x14ac:dyDescent="0.4">
      <c r="A32" s="83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5"/>
    </row>
    <row r="33" spans="1:15" ht="19.899999999999999" customHeight="1" x14ac:dyDescent="0.35">
      <c r="A33" s="92" t="s">
        <v>101</v>
      </c>
      <c r="B33" s="93"/>
      <c r="C33" s="93"/>
      <c r="D33" s="94" t="s">
        <v>102</v>
      </c>
      <c r="E33" s="93"/>
      <c r="F33" s="93"/>
      <c r="G33" s="94" t="s">
        <v>103</v>
      </c>
      <c r="H33" s="93"/>
      <c r="I33" s="93"/>
      <c r="J33" s="94" t="s">
        <v>104</v>
      </c>
      <c r="K33" s="93"/>
      <c r="L33" s="93"/>
      <c r="M33" s="94" t="s">
        <v>105</v>
      </c>
      <c r="N33" s="93"/>
      <c r="O33" s="95"/>
    </row>
    <row r="34" spans="1:15" ht="19.899999999999999" customHeight="1" x14ac:dyDescent="0.35">
      <c r="A34" s="9"/>
      <c r="B34" s="10"/>
      <c r="C34" s="10"/>
      <c r="D34" s="11"/>
      <c r="E34" s="10"/>
      <c r="F34" s="10"/>
      <c r="G34" s="11"/>
      <c r="H34" s="10"/>
      <c r="I34" s="10"/>
      <c r="J34" s="11"/>
      <c r="K34" s="10"/>
      <c r="L34" s="10"/>
      <c r="M34" s="11"/>
      <c r="N34" s="10"/>
      <c r="O34" s="12"/>
    </row>
    <row r="35" spans="1:15" ht="19.899999999999999" customHeight="1" x14ac:dyDescent="0.35">
      <c r="A35" s="9"/>
      <c r="B35" s="10"/>
      <c r="C35" s="10"/>
      <c r="D35" s="11"/>
      <c r="E35" s="10"/>
      <c r="F35" s="10"/>
      <c r="G35" s="11"/>
      <c r="H35" s="10"/>
      <c r="I35" s="10"/>
      <c r="J35" s="11"/>
      <c r="K35" s="10"/>
      <c r="L35" s="10"/>
      <c r="M35" s="11"/>
      <c r="N35" s="10"/>
      <c r="O35" s="12"/>
    </row>
    <row r="36" spans="1:15" ht="19.899999999999999" customHeight="1" thickBot="1" x14ac:dyDescent="0.4">
      <c r="A36" s="9"/>
      <c r="B36" s="10"/>
      <c r="C36" s="10"/>
      <c r="D36" s="11"/>
      <c r="E36" s="10"/>
      <c r="F36" s="10"/>
      <c r="G36" s="11"/>
      <c r="H36" s="10"/>
      <c r="I36" s="10"/>
      <c r="J36" s="11"/>
      <c r="K36" s="10"/>
      <c r="L36" s="10"/>
      <c r="M36" s="11"/>
      <c r="N36" s="10"/>
      <c r="O36" s="12"/>
    </row>
    <row r="37" spans="1:15" ht="18.5" x14ac:dyDescent="0.35">
      <c r="A37" s="96" t="s">
        <v>106</v>
      </c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8"/>
    </row>
    <row r="38" spans="1:15" ht="14.5" customHeight="1" x14ac:dyDescent="0.35">
      <c r="A38" s="86" t="s">
        <v>107</v>
      </c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8"/>
    </row>
    <row r="39" spans="1:15" ht="15" thickBot="1" x14ac:dyDescent="0.4">
      <c r="A39" s="89"/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1"/>
    </row>
  </sheetData>
  <mergeCells count="62">
    <mergeCell ref="A38:O39"/>
    <mergeCell ref="A33:C33"/>
    <mergeCell ref="D33:F33"/>
    <mergeCell ref="G33:I33"/>
    <mergeCell ref="J33:L33"/>
    <mergeCell ref="M33:O33"/>
    <mergeCell ref="A37:O37"/>
    <mergeCell ref="A28:O29"/>
    <mergeCell ref="A31:O31"/>
    <mergeCell ref="A32:C32"/>
    <mergeCell ref="D32:F32"/>
    <mergeCell ref="G32:I32"/>
    <mergeCell ref="J32:L32"/>
    <mergeCell ref="M32:O32"/>
    <mergeCell ref="A25:B25"/>
    <mergeCell ref="D25:E25"/>
    <mergeCell ref="G25:H25"/>
    <mergeCell ref="J25:K25"/>
    <mergeCell ref="A27:O27"/>
    <mergeCell ref="M25:N25"/>
    <mergeCell ref="K10:L10"/>
    <mergeCell ref="M10:N10"/>
    <mergeCell ref="A9:B9"/>
    <mergeCell ref="C9:D9"/>
    <mergeCell ref="E9:F9"/>
    <mergeCell ref="G9:H9"/>
    <mergeCell ref="I9:J9"/>
    <mergeCell ref="K9:L9"/>
    <mergeCell ref="A23:F23"/>
    <mergeCell ref="A7:B7"/>
    <mergeCell ref="C7:H7"/>
    <mergeCell ref="I7:J7"/>
    <mergeCell ref="K7:O7"/>
    <mergeCell ref="A8:B8"/>
    <mergeCell ref="C8:H8"/>
    <mergeCell ref="I8:J8"/>
    <mergeCell ref="K8:L8"/>
    <mergeCell ref="M8:N8"/>
    <mergeCell ref="M9:N9"/>
    <mergeCell ref="A10:B10"/>
    <mergeCell ref="C10:D10"/>
    <mergeCell ref="E10:F10"/>
    <mergeCell ref="G10:H10"/>
    <mergeCell ref="I10:J10"/>
    <mergeCell ref="A5:O5"/>
    <mergeCell ref="A6:B6"/>
    <mergeCell ref="C6:D6"/>
    <mergeCell ref="E6:F6"/>
    <mergeCell ref="G6:H6"/>
    <mergeCell ref="I6:J6"/>
    <mergeCell ref="K6:L6"/>
    <mergeCell ref="M6:N6"/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</mergeCells>
  <pageMargins left="0.7" right="0.7" top="0.75" bottom="0.75" header="0.3" footer="0.3"/>
  <pageSetup paperSize="9" scale="48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E07D9-318F-489F-8E50-C789BE1C3414}">
  <sheetPr>
    <tabColor theme="9" tint="0.79998168889431442"/>
  </sheetPr>
  <dimension ref="A1:O39"/>
  <sheetViews>
    <sheetView showGridLines="0" view="pageBreakPreview" zoomScale="60" zoomScaleNormal="70" workbookViewId="0">
      <selection activeCell="K6" sqref="K6:L6"/>
    </sheetView>
  </sheetViews>
  <sheetFormatPr defaultRowHeight="14.5" x14ac:dyDescent="0.35"/>
  <cols>
    <col min="1" max="1" width="8" style="1" customWidth="1"/>
    <col min="2" max="2" width="13" style="1" customWidth="1"/>
    <col min="3" max="3" width="11.7265625" style="1" bestFit="1" customWidth="1"/>
    <col min="4" max="4" width="30.26953125" style="1" bestFit="1" customWidth="1"/>
    <col min="5" max="5" width="15.08984375" style="1" bestFit="1" customWidth="1"/>
    <col min="6" max="6" width="6.54296875" style="1" bestFit="1" customWidth="1"/>
    <col min="7" max="8" width="8" style="1" customWidth="1"/>
    <col min="9" max="9" width="11.26953125" style="1" bestFit="1" customWidth="1"/>
    <col min="10" max="10" width="7.90625" style="1" customWidth="1"/>
    <col min="11" max="11" width="8.26953125" style="1" customWidth="1"/>
    <col min="12" max="12" width="8.36328125" style="1" customWidth="1"/>
    <col min="13" max="13" width="12" style="1" customWidth="1"/>
    <col min="14" max="14" width="13" style="1" customWidth="1"/>
    <col min="15" max="15" width="12" style="1" customWidth="1"/>
    <col min="16" max="16384" width="8.7265625" style="1"/>
  </cols>
  <sheetData>
    <row r="1" spans="1:15" ht="17.25" customHeight="1" x14ac:dyDescent="0.35">
      <c r="A1" s="37" t="e" vm="1">
        <v>#VALUE!</v>
      </c>
      <c r="B1" s="38"/>
      <c r="C1" s="39"/>
      <c r="D1" s="46" t="s">
        <v>51</v>
      </c>
      <c r="E1" s="47"/>
      <c r="F1" s="47"/>
      <c r="G1" s="47"/>
      <c r="H1" s="47"/>
      <c r="I1" s="47"/>
      <c r="J1" s="47"/>
      <c r="K1" s="48"/>
      <c r="L1" s="55" t="s">
        <v>52</v>
      </c>
      <c r="M1" s="56"/>
      <c r="N1" s="57">
        <v>46098</v>
      </c>
      <c r="O1" s="58"/>
    </row>
    <row r="2" spans="1:15" ht="18" customHeight="1" x14ac:dyDescent="0.35">
      <c r="A2" s="40"/>
      <c r="B2" s="41"/>
      <c r="C2" s="42"/>
      <c r="D2" s="49"/>
      <c r="E2" s="50"/>
      <c r="F2" s="50"/>
      <c r="G2" s="50"/>
      <c r="H2" s="50"/>
      <c r="I2" s="50"/>
      <c r="J2" s="50"/>
      <c r="K2" s="51"/>
      <c r="L2" s="59" t="s">
        <v>53</v>
      </c>
      <c r="M2" s="60"/>
      <c r="N2" s="61" t="s">
        <v>54</v>
      </c>
      <c r="O2" s="62"/>
    </row>
    <row r="3" spans="1:15" ht="16.5" customHeight="1" x14ac:dyDescent="0.35">
      <c r="A3" s="40"/>
      <c r="B3" s="41"/>
      <c r="C3" s="42"/>
      <c r="D3" s="49"/>
      <c r="E3" s="50"/>
      <c r="F3" s="50"/>
      <c r="G3" s="50"/>
      <c r="H3" s="50"/>
      <c r="I3" s="50"/>
      <c r="J3" s="50"/>
      <c r="K3" s="51"/>
      <c r="L3" s="59" t="s">
        <v>55</v>
      </c>
      <c r="M3" s="60"/>
      <c r="N3" s="61" t="s">
        <v>56</v>
      </c>
      <c r="O3" s="62"/>
    </row>
    <row r="4" spans="1:15" ht="15.75" customHeight="1" thickBot="1" x14ac:dyDescent="0.4">
      <c r="A4" s="43"/>
      <c r="B4" s="44"/>
      <c r="C4" s="45"/>
      <c r="D4" s="52"/>
      <c r="E4" s="53"/>
      <c r="F4" s="53"/>
      <c r="G4" s="53"/>
      <c r="H4" s="53"/>
      <c r="I4" s="53"/>
      <c r="J4" s="53"/>
      <c r="K4" s="54"/>
      <c r="L4" s="63" t="s">
        <v>57</v>
      </c>
      <c r="M4" s="64"/>
      <c r="N4" s="65" t="s">
        <v>58</v>
      </c>
      <c r="O4" s="66"/>
    </row>
    <row r="5" spans="1:15" ht="19.899999999999999" customHeight="1" thickBot="1" x14ac:dyDescent="0.4">
      <c r="A5" s="67" t="s">
        <v>59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9"/>
    </row>
    <row r="6" spans="1:15" ht="22.15" customHeight="1" x14ac:dyDescent="0.35">
      <c r="A6" s="70" t="s">
        <v>60</v>
      </c>
      <c r="B6" s="71"/>
      <c r="C6" s="75" t="s">
        <v>160</v>
      </c>
      <c r="D6" s="72"/>
      <c r="E6" s="71" t="s">
        <v>61</v>
      </c>
      <c r="F6" s="71"/>
      <c r="G6" s="73">
        <v>46118</v>
      </c>
      <c r="H6" s="72"/>
      <c r="I6" s="71" t="s">
        <v>62</v>
      </c>
      <c r="J6" s="71"/>
      <c r="K6" s="72" t="s">
        <v>159</v>
      </c>
      <c r="L6" s="72"/>
      <c r="M6" s="71" t="s">
        <v>63</v>
      </c>
      <c r="N6" s="71"/>
      <c r="O6" s="13" t="s">
        <v>112</v>
      </c>
    </row>
    <row r="7" spans="1:15" ht="22.15" customHeight="1" x14ac:dyDescent="0.35">
      <c r="A7" s="70" t="s">
        <v>64</v>
      </c>
      <c r="B7" s="71"/>
      <c r="C7" s="75" t="s">
        <v>106</v>
      </c>
      <c r="D7" s="72"/>
      <c r="E7" s="72"/>
      <c r="F7" s="72"/>
      <c r="G7" s="72"/>
      <c r="H7" s="72"/>
      <c r="I7" s="71" t="s">
        <v>65</v>
      </c>
      <c r="J7" s="71"/>
      <c r="K7" s="75" t="s">
        <v>111</v>
      </c>
      <c r="L7" s="72"/>
      <c r="M7" s="72"/>
      <c r="N7" s="72"/>
      <c r="O7" s="76"/>
    </row>
    <row r="8" spans="1:15" ht="22.15" customHeight="1" x14ac:dyDescent="0.35">
      <c r="A8" s="70" t="s">
        <v>66</v>
      </c>
      <c r="B8" s="71"/>
      <c r="C8" s="75" t="s">
        <v>111</v>
      </c>
      <c r="D8" s="72"/>
      <c r="E8" s="72"/>
      <c r="F8" s="72"/>
      <c r="G8" s="72"/>
      <c r="H8" s="72"/>
      <c r="I8" s="71" t="s">
        <v>67</v>
      </c>
      <c r="J8" s="71"/>
      <c r="K8" s="75" t="s">
        <v>115</v>
      </c>
      <c r="L8" s="72"/>
      <c r="M8" s="71" t="s">
        <v>68</v>
      </c>
      <c r="N8" s="71"/>
      <c r="O8" s="13" t="s">
        <v>114</v>
      </c>
    </row>
    <row r="9" spans="1:15" ht="22.15" customHeight="1" x14ac:dyDescent="0.35">
      <c r="A9" s="70" t="s">
        <v>69</v>
      </c>
      <c r="B9" s="71"/>
      <c r="C9" s="75" t="s">
        <v>113</v>
      </c>
      <c r="D9" s="72"/>
      <c r="E9" s="71" t="s">
        <v>70</v>
      </c>
      <c r="F9" s="71"/>
      <c r="G9" s="75" t="s">
        <v>114</v>
      </c>
      <c r="H9" s="72"/>
      <c r="I9" s="71" t="s">
        <v>71</v>
      </c>
      <c r="J9" s="71"/>
      <c r="K9" s="75" t="s">
        <v>116</v>
      </c>
      <c r="L9" s="72"/>
      <c r="M9" s="71" t="s">
        <v>72</v>
      </c>
      <c r="N9" s="71"/>
      <c r="O9" s="2">
        <v>46153</v>
      </c>
    </row>
    <row r="10" spans="1:15" ht="22.15" customHeight="1" x14ac:dyDescent="0.35">
      <c r="A10" s="70" t="s">
        <v>73</v>
      </c>
      <c r="B10" s="71"/>
      <c r="C10" s="77" t="s">
        <v>134</v>
      </c>
      <c r="D10" s="72"/>
      <c r="E10" s="71" t="s">
        <v>74</v>
      </c>
      <c r="F10" s="71"/>
      <c r="G10" s="72"/>
      <c r="H10" s="72"/>
      <c r="I10" s="71" t="s">
        <v>75</v>
      </c>
      <c r="J10" s="71"/>
      <c r="K10" s="72"/>
      <c r="L10" s="72"/>
      <c r="M10" s="71" t="s">
        <v>76</v>
      </c>
      <c r="N10" s="71"/>
      <c r="O10" s="13" t="s">
        <v>117</v>
      </c>
    </row>
    <row r="11" spans="1:15" ht="15" thickBot="1" x14ac:dyDescent="0.4">
      <c r="A11" s="3" t="s">
        <v>135</v>
      </c>
      <c r="O11" s="4"/>
    </row>
    <row r="12" spans="1:15" ht="34.15" customHeight="1" thickBot="1" x14ac:dyDescent="0.4">
      <c r="A12" s="5" t="s">
        <v>77</v>
      </c>
      <c r="B12" s="15" t="s">
        <v>78</v>
      </c>
      <c r="C12" s="15" t="s">
        <v>79</v>
      </c>
      <c r="D12" s="15" t="s">
        <v>80</v>
      </c>
      <c r="E12" s="15" t="s">
        <v>81</v>
      </c>
      <c r="F12" s="15" t="s">
        <v>82</v>
      </c>
      <c r="G12" s="15" t="s">
        <v>83</v>
      </c>
      <c r="H12" s="15" t="s">
        <v>84</v>
      </c>
      <c r="I12" s="15" t="s">
        <v>85</v>
      </c>
      <c r="J12" s="15" t="s">
        <v>86</v>
      </c>
      <c r="K12" s="15" t="s">
        <v>87</v>
      </c>
      <c r="L12" s="15" t="s">
        <v>88</v>
      </c>
      <c r="M12" s="15" t="s">
        <v>89</v>
      </c>
      <c r="N12" s="15" t="s">
        <v>90</v>
      </c>
      <c r="O12" s="22" t="s">
        <v>91</v>
      </c>
    </row>
    <row r="13" spans="1:15" ht="21" customHeight="1" x14ac:dyDescent="0.35">
      <c r="A13" s="21">
        <v>1</v>
      </c>
      <c r="B13" s="18"/>
      <c r="C13" s="33" t="s">
        <v>21</v>
      </c>
      <c r="D13" s="16" t="s">
        <v>128</v>
      </c>
      <c r="E13" s="16" t="s">
        <v>146</v>
      </c>
      <c r="F13" s="16" t="s">
        <v>115</v>
      </c>
      <c r="G13" s="16">
        <v>12</v>
      </c>
      <c r="H13" s="16" t="s">
        <v>118</v>
      </c>
      <c r="I13" s="16" t="s">
        <v>119</v>
      </c>
      <c r="J13" s="16">
        <v>6000</v>
      </c>
      <c r="K13" s="16">
        <v>1500</v>
      </c>
      <c r="L13" s="16">
        <v>6</v>
      </c>
      <c r="M13" s="16">
        <v>5145</v>
      </c>
      <c r="N13" s="26"/>
      <c r="O13" s="27"/>
    </row>
    <row r="14" spans="1:15" ht="21" customHeight="1" x14ac:dyDescent="0.35">
      <c r="A14" s="21">
        <v>2</v>
      </c>
      <c r="B14" s="18"/>
      <c r="C14" s="17" t="s">
        <v>22</v>
      </c>
      <c r="D14" s="14" t="s">
        <v>124</v>
      </c>
      <c r="E14" s="14" t="s">
        <v>146</v>
      </c>
      <c r="F14" s="14" t="s">
        <v>115</v>
      </c>
      <c r="G14" s="14">
        <v>6</v>
      </c>
      <c r="H14" s="14" t="s">
        <v>118</v>
      </c>
      <c r="I14" s="14" t="s">
        <v>119</v>
      </c>
      <c r="J14" s="14">
        <v>6900</v>
      </c>
      <c r="K14" s="14">
        <v>1500</v>
      </c>
      <c r="L14" s="14">
        <v>10</v>
      </c>
      <c r="M14" s="14">
        <v>4898</v>
      </c>
      <c r="N14" s="26"/>
      <c r="O14" s="27"/>
    </row>
    <row r="15" spans="1:15" ht="21" customHeight="1" x14ac:dyDescent="0.35">
      <c r="A15" s="21">
        <v>3</v>
      </c>
      <c r="B15" s="18"/>
      <c r="C15" s="17" t="s">
        <v>23</v>
      </c>
      <c r="D15" s="14" t="s">
        <v>126</v>
      </c>
      <c r="E15" s="14" t="s">
        <v>145</v>
      </c>
      <c r="F15" s="14" t="s">
        <v>115</v>
      </c>
      <c r="G15" s="14">
        <v>4</v>
      </c>
      <c r="H15" s="14" t="s">
        <v>118</v>
      </c>
      <c r="I15" s="14" t="s">
        <v>119</v>
      </c>
      <c r="J15" s="14">
        <v>8000</v>
      </c>
      <c r="K15" s="14">
        <v>1500</v>
      </c>
      <c r="L15" s="14">
        <v>12</v>
      </c>
      <c r="M15" s="14">
        <v>4560</v>
      </c>
      <c r="N15" s="26"/>
      <c r="O15" s="27"/>
    </row>
    <row r="16" spans="1:15" ht="21" customHeight="1" x14ac:dyDescent="0.35">
      <c r="A16" s="21">
        <v>4</v>
      </c>
      <c r="B16" s="18"/>
      <c r="C16" s="17" t="s">
        <v>24</v>
      </c>
      <c r="D16" s="14" t="s">
        <v>126</v>
      </c>
      <c r="E16" s="14" t="s">
        <v>145</v>
      </c>
      <c r="F16" s="14" t="s">
        <v>115</v>
      </c>
      <c r="G16" s="14">
        <v>5</v>
      </c>
      <c r="H16" s="14" t="s">
        <v>118</v>
      </c>
      <c r="I16" s="14" t="s">
        <v>119</v>
      </c>
      <c r="J16" s="14">
        <v>8000</v>
      </c>
      <c r="K16" s="14">
        <v>1500</v>
      </c>
      <c r="L16" s="14">
        <v>12</v>
      </c>
      <c r="M16" s="14">
        <v>5671</v>
      </c>
      <c r="N16" s="26"/>
      <c r="O16" s="27"/>
    </row>
    <row r="17" spans="1:15" ht="21" customHeight="1" x14ac:dyDescent="0.35">
      <c r="A17" s="21">
        <v>5</v>
      </c>
      <c r="B17" s="18"/>
      <c r="C17" s="17" t="s">
        <v>25</v>
      </c>
      <c r="D17" s="14" t="s">
        <v>127</v>
      </c>
      <c r="E17" s="14" t="s">
        <v>145</v>
      </c>
      <c r="F17" s="14" t="s">
        <v>115</v>
      </c>
      <c r="G17" s="14">
        <v>5</v>
      </c>
      <c r="H17" s="14" t="s">
        <v>118</v>
      </c>
      <c r="I17" s="14" t="s">
        <v>119</v>
      </c>
      <c r="J17" s="14">
        <v>6900</v>
      </c>
      <c r="K17" s="14">
        <v>1500</v>
      </c>
      <c r="L17" s="14">
        <v>12</v>
      </c>
      <c r="M17" s="14">
        <v>4886</v>
      </c>
      <c r="N17" s="26"/>
      <c r="O17" s="27"/>
    </row>
    <row r="18" spans="1:15" ht="21" customHeight="1" x14ac:dyDescent="0.35">
      <c r="A18" s="21">
        <v>6</v>
      </c>
      <c r="B18" s="28"/>
      <c r="C18" s="17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29"/>
      <c r="O18" s="27"/>
    </row>
    <row r="19" spans="1:15" ht="21" customHeight="1" x14ac:dyDescent="0.35">
      <c r="A19" s="21">
        <v>7</v>
      </c>
      <c r="B19" s="28"/>
      <c r="C19" s="28"/>
      <c r="D19" s="28"/>
      <c r="E19" s="28"/>
      <c r="F19" s="28"/>
      <c r="G19" s="29"/>
      <c r="H19" s="28"/>
      <c r="I19" s="28"/>
      <c r="J19" s="30"/>
      <c r="K19" s="30"/>
      <c r="L19" s="30"/>
      <c r="M19" s="29"/>
      <c r="N19" s="29"/>
      <c r="O19" s="32" t="str">
        <f t="shared" ref="O19:O22" si="0">IF(COUNTA(J19:L19)=3,J19*K19*L19/1000000,"")</f>
        <v/>
      </c>
    </row>
    <row r="20" spans="1:15" ht="21" customHeight="1" x14ac:dyDescent="0.35">
      <c r="A20" s="21">
        <v>8</v>
      </c>
      <c r="B20" s="28"/>
      <c r="C20" s="28"/>
      <c r="D20" s="28"/>
      <c r="E20" s="28"/>
      <c r="F20" s="28"/>
      <c r="G20" s="29"/>
      <c r="H20" s="28"/>
      <c r="I20" s="28"/>
      <c r="J20" s="30"/>
      <c r="K20" s="30"/>
      <c r="L20" s="30"/>
      <c r="M20" s="29"/>
      <c r="N20" s="29"/>
      <c r="O20" s="32" t="str">
        <f t="shared" si="0"/>
        <v/>
      </c>
    </row>
    <row r="21" spans="1:15" ht="21" customHeight="1" x14ac:dyDescent="0.35">
      <c r="A21" s="21">
        <v>9</v>
      </c>
      <c r="B21" s="28"/>
      <c r="C21" s="28"/>
      <c r="D21" s="28"/>
      <c r="E21" s="28"/>
      <c r="F21" s="28"/>
      <c r="G21" s="29"/>
      <c r="H21" s="28"/>
      <c r="I21" s="28"/>
      <c r="J21" s="30"/>
      <c r="K21" s="30"/>
      <c r="L21" s="30"/>
      <c r="M21" s="29"/>
      <c r="N21" s="29"/>
      <c r="O21" s="32" t="str">
        <f t="shared" si="0"/>
        <v/>
      </c>
    </row>
    <row r="22" spans="1:15" ht="21" customHeight="1" thickBot="1" x14ac:dyDescent="0.4">
      <c r="A22" s="21">
        <v>10</v>
      </c>
      <c r="B22" s="28"/>
      <c r="C22" s="28"/>
      <c r="D22" s="28"/>
      <c r="E22" s="28"/>
      <c r="F22" s="28"/>
      <c r="G22" s="29"/>
      <c r="H22" s="28"/>
      <c r="I22" s="28"/>
      <c r="J22" s="30"/>
      <c r="K22" s="30"/>
      <c r="L22" s="30"/>
      <c r="M22" s="29"/>
      <c r="N22" s="29"/>
      <c r="O22" s="32" t="str">
        <f t="shared" si="0"/>
        <v/>
      </c>
    </row>
    <row r="23" spans="1:15" ht="22.15" customHeight="1" thickBot="1" x14ac:dyDescent="0.4">
      <c r="A23" s="74" t="s">
        <v>92</v>
      </c>
      <c r="B23" s="68"/>
      <c r="C23" s="68"/>
      <c r="D23" s="68"/>
      <c r="E23" s="68"/>
      <c r="F23" s="68"/>
      <c r="G23" s="23">
        <f>SUM(G13:G22)</f>
        <v>32</v>
      </c>
      <c r="H23" s="24"/>
      <c r="I23" s="24"/>
      <c r="J23" s="24"/>
      <c r="K23" s="24"/>
      <c r="L23" s="24"/>
      <c r="M23" s="23">
        <f>SUM(M13:M22)</f>
        <v>25160</v>
      </c>
      <c r="N23" s="23">
        <f>SUM(N13:N22)</f>
        <v>0</v>
      </c>
      <c r="O23" s="25">
        <f>SUM(O13:O22)</f>
        <v>0</v>
      </c>
    </row>
    <row r="24" spans="1:15" x14ac:dyDescent="0.35">
      <c r="A24" s="3"/>
      <c r="O24" s="4"/>
    </row>
    <row r="25" spans="1:15" ht="22.15" customHeight="1" x14ac:dyDescent="0.35">
      <c r="A25" s="70" t="s">
        <v>93</v>
      </c>
      <c r="B25" s="71"/>
      <c r="C25" s="6">
        <f>COUNTA(B13:B22)</f>
        <v>0</v>
      </c>
      <c r="D25" s="71" t="s">
        <v>94</v>
      </c>
      <c r="E25" s="71"/>
      <c r="F25" s="7">
        <f>SUM(G13:G22)</f>
        <v>32</v>
      </c>
      <c r="G25" s="71" t="s">
        <v>95</v>
      </c>
      <c r="H25" s="71"/>
      <c r="I25" s="7">
        <f>SUM(M13:M22)</f>
        <v>25160</v>
      </c>
      <c r="J25" s="71" t="s">
        <v>96</v>
      </c>
      <c r="K25" s="71"/>
      <c r="L25" s="7">
        <f>SUM(N13:N22)</f>
        <v>0</v>
      </c>
      <c r="M25" s="71" t="s">
        <v>97</v>
      </c>
      <c r="N25" s="71"/>
      <c r="O25" s="8">
        <f>SUM(O13:O22)</f>
        <v>0</v>
      </c>
    </row>
    <row r="26" spans="1:15" ht="15" thickBot="1" x14ac:dyDescent="0.4">
      <c r="A26" s="3"/>
      <c r="O26" s="4"/>
    </row>
    <row r="27" spans="1:15" ht="19.899999999999999" customHeight="1" thickBot="1" x14ac:dyDescent="0.4">
      <c r="A27" s="78" t="s">
        <v>98</v>
      </c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80"/>
    </row>
    <row r="28" spans="1:15" ht="24" customHeight="1" thickBot="1" x14ac:dyDescent="0.4">
      <c r="A28" s="81" t="s">
        <v>99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80"/>
    </row>
    <row r="29" spans="1:15" ht="24" customHeight="1" thickBot="1" x14ac:dyDescent="0.4">
      <c r="A29" s="82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80"/>
    </row>
    <row r="30" spans="1:15" ht="15" thickBot="1" x14ac:dyDescent="0.4">
      <c r="A30" s="3"/>
      <c r="O30" s="4"/>
    </row>
    <row r="31" spans="1:15" ht="19.899999999999999" customHeight="1" thickBot="1" x14ac:dyDescent="0.4">
      <c r="A31" s="78" t="s">
        <v>100</v>
      </c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80"/>
    </row>
    <row r="32" spans="1:15" ht="22.15" customHeight="1" thickBot="1" x14ac:dyDescent="0.4">
      <c r="A32" s="83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5"/>
    </row>
    <row r="33" spans="1:15" ht="19.899999999999999" customHeight="1" x14ac:dyDescent="0.35">
      <c r="A33" s="92" t="s">
        <v>101</v>
      </c>
      <c r="B33" s="93"/>
      <c r="C33" s="93"/>
      <c r="D33" s="94" t="s">
        <v>102</v>
      </c>
      <c r="E33" s="93"/>
      <c r="F33" s="93"/>
      <c r="G33" s="94" t="s">
        <v>103</v>
      </c>
      <c r="H33" s="93"/>
      <c r="I33" s="93"/>
      <c r="J33" s="94" t="s">
        <v>104</v>
      </c>
      <c r="K33" s="93"/>
      <c r="L33" s="93"/>
      <c r="M33" s="94" t="s">
        <v>105</v>
      </c>
      <c r="N33" s="93"/>
      <c r="O33" s="95"/>
    </row>
    <row r="34" spans="1:15" ht="19.899999999999999" customHeight="1" x14ac:dyDescent="0.35">
      <c r="A34" s="9"/>
      <c r="B34" s="10"/>
      <c r="C34" s="10"/>
      <c r="D34" s="11"/>
      <c r="E34" s="10"/>
      <c r="F34" s="10"/>
      <c r="G34" s="11"/>
      <c r="H34" s="10"/>
      <c r="I34" s="10"/>
      <c r="J34" s="11"/>
      <c r="K34" s="10"/>
      <c r="L34" s="10"/>
      <c r="M34" s="11"/>
      <c r="N34" s="10"/>
      <c r="O34" s="12"/>
    </row>
    <row r="35" spans="1:15" ht="19.899999999999999" customHeight="1" x14ac:dyDescent="0.35">
      <c r="A35" s="9"/>
      <c r="B35" s="10"/>
      <c r="C35" s="10"/>
      <c r="D35" s="11"/>
      <c r="E35" s="10"/>
      <c r="F35" s="10"/>
      <c r="G35" s="11"/>
      <c r="H35" s="10"/>
      <c r="I35" s="10"/>
      <c r="J35" s="11"/>
      <c r="K35" s="10"/>
      <c r="L35" s="10"/>
      <c r="M35" s="11"/>
      <c r="N35" s="10"/>
      <c r="O35" s="12"/>
    </row>
    <row r="36" spans="1:15" ht="19.899999999999999" customHeight="1" thickBot="1" x14ac:dyDescent="0.4">
      <c r="A36" s="9"/>
      <c r="B36" s="10"/>
      <c r="C36" s="10"/>
      <c r="D36" s="11"/>
      <c r="E36" s="10"/>
      <c r="F36" s="10"/>
      <c r="G36" s="11"/>
      <c r="H36" s="10"/>
      <c r="I36" s="10"/>
      <c r="J36" s="11"/>
      <c r="K36" s="10"/>
      <c r="L36" s="10"/>
      <c r="M36" s="11"/>
      <c r="N36" s="10"/>
      <c r="O36" s="12"/>
    </row>
    <row r="37" spans="1:15" ht="18.5" x14ac:dyDescent="0.35">
      <c r="A37" s="96" t="s">
        <v>106</v>
      </c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8"/>
    </row>
    <row r="38" spans="1:15" ht="14.5" customHeight="1" x14ac:dyDescent="0.35">
      <c r="A38" s="86" t="s">
        <v>107</v>
      </c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8"/>
    </row>
    <row r="39" spans="1:15" ht="15" thickBot="1" x14ac:dyDescent="0.4">
      <c r="A39" s="89"/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1"/>
    </row>
  </sheetData>
  <mergeCells count="62">
    <mergeCell ref="A38:O39"/>
    <mergeCell ref="A33:C33"/>
    <mergeCell ref="D33:F33"/>
    <mergeCell ref="G33:I33"/>
    <mergeCell ref="J33:L33"/>
    <mergeCell ref="M33:O33"/>
    <mergeCell ref="A37:O37"/>
    <mergeCell ref="A28:O29"/>
    <mergeCell ref="A31:O31"/>
    <mergeCell ref="A32:C32"/>
    <mergeCell ref="D32:F32"/>
    <mergeCell ref="G32:I32"/>
    <mergeCell ref="J32:L32"/>
    <mergeCell ref="M32:O32"/>
    <mergeCell ref="A25:B25"/>
    <mergeCell ref="D25:E25"/>
    <mergeCell ref="G25:H25"/>
    <mergeCell ref="J25:K25"/>
    <mergeCell ref="A27:O27"/>
    <mergeCell ref="M25:N25"/>
    <mergeCell ref="K10:L10"/>
    <mergeCell ref="M10:N10"/>
    <mergeCell ref="A9:B9"/>
    <mergeCell ref="C9:D9"/>
    <mergeCell ref="E9:F9"/>
    <mergeCell ref="G9:H9"/>
    <mergeCell ref="I9:J9"/>
    <mergeCell ref="K9:L9"/>
    <mergeCell ref="A23:F23"/>
    <mergeCell ref="A7:B7"/>
    <mergeCell ref="C7:H7"/>
    <mergeCell ref="I7:J7"/>
    <mergeCell ref="K7:O7"/>
    <mergeCell ref="A8:B8"/>
    <mergeCell ref="C8:H8"/>
    <mergeCell ref="I8:J8"/>
    <mergeCell ref="K8:L8"/>
    <mergeCell ref="M8:N8"/>
    <mergeCell ref="M9:N9"/>
    <mergeCell ref="A10:B10"/>
    <mergeCell ref="C10:D10"/>
    <mergeCell ref="E10:F10"/>
    <mergeCell ref="G10:H10"/>
    <mergeCell ref="I10:J10"/>
    <mergeCell ref="A5:O5"/>
    <mergeCell ref="A6:B6"/>
    <mergeCell ref="C6:D6"/>
    <mergeCell ref="E6:F6"/>
    <mergeCell ref="G6:H6"/>
    <mergeCell ref="I6:J6"/>
    <mergeCell ref="K6:L6"/>
    <mergeCell ref="M6:N6"/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</mergeCells>
  <pageMargins left="0.7" right="0.7" top="0.75" bottom="0.75" header="0.3" footer="0.3"/>
  <pageSetup paperSize="9" scale="48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D30EA-88A0-4DD2-AF4E-FBA5D102B2FF}">
  <sheetPr>
    <tabColor theme="9" tint="0.79998168889431442"/>
    <pageSetUpPr fitToPage="1"/>
  </sheetPr>
  <dimension ref="A1:O39"/>
  <sheetViews>
    <sheetView showGridLines="0" view="pageBreakPreview" zoomScale="60" zoomScaleNormal="70" workbookViewId="0">
      <selection activeCell="K6" sqref="K6:L6"/>
    </sheetView>
  </sheetViews>
  <sheetFormatPr defaultRowHeight="14.5" x14ac:dyDescent="0.35"/>
  <cols>
    <col min="1" max="1" width="8" style="1" customWidth="1"/>
    <col min="2" max="2" width="13" style="1" customWidth="1"/>
    <col min="3" max="3" width="11.7265625" style="1" customWidth="1"/>
    <col min="4" max="4" width="30.26953125" style="1" bestFit="1" customWidth="1"/>
    <col min="5" max="5" width="15.7265625" style="1" bestFit="1" customWidth="1"/>
    <col min="6" max="6" width="6.54296875" style="1" bestFit="1" customWidth="1"/>
    <col min="7" max="8" width="8" style="1" customWidth="1"/>
    <col min="9" max="9" width="11.26953125" style="1" bestFit="1" customWidth="1"/>
    <col min="10" max="10" width="7.90625" style="1" customWidth="1"/>
    <col min="11" max="11" width="8.26953125" style="1" customWidth="1"/>
    <col min="12" max="12" width="8.36328125" style="1" customWidth="1"/>
    <col min="13" max="13" width="12" style="1" customWidth="1"/>
    <col min="14" max="14" width="13" style="1" customWidth="1"/>
    <col min="15" max="15" width="12" style="1" customWidth="1"/>
    <col min="16" max="16384" width="8.7265625" style="1"/>
  </cols>
  <sheetData>
    <row r="1" spans="1:15" ht="17.25" customHeight="1" x14ac:dyDescent="0.35">
      <c r="A1" s="37" t="e" vm="1">
        <v>#VALUE!</v>
      </c>
      <c r="B1" s="38"/>
      <c r="C1" s="39"/>
      <c r="D1" s="46" t="s">
        <v>51</v>
      </c>
      <c r="E1" s="47"/>
      <c r="F1" s="47"/>
      <c r="G1" s="47"/>
      <c r="H1" s="47"/>
      <c r="I1" s="47"/>
      <c r="J1" s="47"/>
      <c r="K1" s="48"/>
      <c r="L1" s="55" t="s">
        <v>52</v>
      </c>
      <c r="M1" s="56"/>
      <c r="N1" s="57">
        <v>46098</v>
      </c>
      <c r="O1" s="58"/>
    </row>
    <row r="2" spans="1:15" ht="18" customHeight="1" x14ac:dyDescent="0.35">
      <c r="A2" s="40"/>
      <c r="B2" s="41"/>
      <c r="C2" s="42"/>
      <c r="D2" s="49"/>
      <c r="E2" s="50"/>
      <c r="F2" s="50"/>
      <c r="G2" s="50"/>
      <c r="H2" s="50"/>
      <c r="I2" s="50"/>
      <c r="J2" s="50"/>
      <c r="K2" s="51"/>
      <c r="L2" s="59" t="s">
        <v>53</v>
      </c>
      <c r="M2" s="60"/>
      <c r="N2" s="61" t="s">
        <v>54</v>
      </c>
      <c r="O2" s="62"/>
    </row>
    <row r="3" spans="1:15" ht="16.5" customHeight="1" x14ac:dyDescent="0.35">
      <c r="A3" s="40"/>
      <c r="B3" s="41"/>
      <c r="C3" s="42"/>
      <c r="D3" s="49"/>
      <c r="E3" s="50"/>
      <c r="F3" s="50"/>
      <c r="G3" s="50"/>
      <c r="H3" s="50"/>
      <c r="I3" s="50"/>
      <c r="J3" s="50"/>
      <c r="K3" s="51"/>
      <c r="L3" s="59" t="s">
        <v>55</v>
      </c>
      <c r="M3" s="60"/>
      <c r="N3" s="61" t="s">
        <v>56</v>
      </c>
      <c r="O3" s="62"/>
    </row>
    <row r="4" spans="1:15" ht="15.75" customHeight="1" thickBot="1" x14ac:dyDescent="0.4">
      <c r="A4" s="43"/>
      <c r="B4" s="44"/>
      <c r="C4" s="45"/>
      <c r="D4" s="52"/>
      <c r="E4" s="53"/>
      <c r="F4" s="53"/>
      <c r="G4" s="53"/>
      <c r="H4" s="53"/>
      <c r="I4" s="53"/>
      <c r="J4" s="53"/>
      <c r="K4" s="54"/>
      <c r="L4" s="63" t="s">
        <v>57</v>
      </c>
      <c r="M4" s="64"/>
      <c r="N4" s="65" t="s">
        <v>58</v>
      </c>
      <c r="O4" s="66"/>
    </row>
    <row r="5" spans="1:15" ht="19.899999999999999" customHeight="1" thickBot="1" x14ac:dyDescent="0.4">
      <c r="A5" s="67" t="s">
        <v>59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9"/>
    </row>
    <row r="6" spans="1:15" ht="22.15" customHeight="1" x14ac:dyDescent="0.35">
      <c r="A6" s="70" t="s">
        <v>60</v>
      </c>
      <c r="B6" s="71"/>
      <c r="C6" s="75" t="s">
        <v>160</v>
      </c>
      <c r="D6" s="72"/>
      <c r="E6" s="71" t="s">
        <v>61</v>
      </c>
      <c r="F6" s="71"/>
      <c r="G6" s="73">
        <v>46118</v>
      </c>
      <c r="H6" s="72"/>
      <c r="I6" s="71" t="s">
        <v>62</v>
      </c>
      <c r="J6" s="71"/>
      <c r="K6" s="72" t="s">
        <v>159</v>
      </c>
      <c r="L6" s="72"/>
      <c r="M6" s="71" t="s">
        <v>63</v>
      </c>
      <c r="N6" s="71"/>
      <c r="O6" s="13" t="s">
        <v>112</v>
      </c>
    </row>
    <row r="7" spans="1:15" ht="22.15" customHeight="1" x14ac:dyDescent="0.35">
      <c r="A7" s="70" t="s">
        <v>64</v>
      </c>
      <c r="B7" s="71"/>
      <c r="C7" s="75" t="s">
        <v>106</v>
      </c>
      <c r="D7" s="72"/>
      <c r="E7" s="72"/>
      <c r="F7" s="72"/>
      <c r="G7" s="72"/>
      <c r="H7" s="72"/>
      <c r="I7" s="71" t="s">
        <v>65</v>
      </c>
      <c r="J7" s="71"/>
      <c r="K7" s="75" t="s">
        <v>111</v>
      </c>
      <c r="L7" s="72"/>
      <c r="M7" s="72"/>
      <c r="N7" s="72"/>
      <c r="O7" s="76"/>
    </row>
    <row r="8" spans="1:15" ht="22.15" customHeight="1" x14ac:dyDescent="0.35">
      <c r="A8" s="70" t="s">
        <v>66</v>
      </c>
      <c r="B8" s="71"/>
      <c r="C8" s="75" t="s">
        <v>111</v>
      </c>
      <c r="D8" s="72"/>
      <c r="E8" s="72"/>
      <c r="F8" s="72"/>
      <c r="G8" s="72"/>
      <c r="H8" s="72"/>
      <c r="I8" s="71" t="s">
        <v>67</v>
      </c>
      <c r="J8" s="71"/>
      <c r="K8" s="75" t="s">
        <v>115</v>
      </c>
      <c r="L8" s="72"/>
      <c r="M8" s="71" t="s">
        <v>68</v>
      </c>
      <c r="N8" s="71"/>
      <c r="O8" s="13" t="s">
        <v>114</v>
      </c>
    </row>
    <row r="9" spans="1:15" ht="22.15" customHeight="1" x14ac:dyDescent="0.35">
      <c r="A9" s="70" t="s">
        <v>69</v>
      </c>
      <c r="B9" s="71"/>
      <c r="C9" s="75" t="s">
        <v>113</v>
      </c>
      <c r="D9" s="72"/>
      <c r="E9" s="71" t="s">
        <v>70</v>
      </c>
      <c r="F9" s="71"/>
      <c r="G9" s="75" t="s">
        <v>114</v>
      </c>
      <c r="H9" s="72"/>
      <c r="I9" s="71" t="s">
        <v>71</v>
      </c>
      <c r="J9" s="71"/>
      <c r="K9" s="75" t="s">
        <v>116</v>
      </c>
      <c r="L9" s="72"/>
      <c r="M9" s="71" t="s">
        <v>72</v>
      </c>
      <c r="N9" s="71"/>
      <c r="O9" s="2">
        <v>46153</v>
      </c>
    </row>
    <row r="10" spans="1:15" ht="22.15" customHeight="1" x14ac:dyDescent="0.35">
      <c r="A10" s="70" t="s">
        <v>73</v>
      </c>
      <c r="B10" s="71"/>
      <c r="C10" s="77" t="s">
        <v>136</v>
      </c>
      <c r="D10" s="72"/>
      <c r="E10" s="71" t="s">
        <v>74</v>
      </c>
      <c r="F10" s="71"/>
      <c r="G10" s="72"/>
      <c r="H10" s="72"/>
      <c r="I10" s="71" t="s">
        <v>75</v>
      </c>
      <c r="J10" s="71"/>
      <c r="K10" s="72"/>
      <c r="L10" s="72"/>
      <c r="M10" s="71" t="s">
        <v>76</v>
      </c>
      <c r="N10" s="71"/>
      <c r="O10" s="13" t="s">
        <v>117</v>
      </c>
    </row>
    <row r="11" spans="1:15" ht="15" thickBot="1" x14ac:dyDescent="0.4">
      <c r="A11" s="3" t="s">
        <v>137</v>
      </c>
      <c r="O11" s="4"/>
    </row>
    <row r="12" spans="1:15" ht="34.15" customHeight="1" thickBot="1" x14ac:dyDescent="0.4">
      <c r="A12" s="5" t="s">
        <v>77</v>
      </c>
      <c r="B12" s="15" t="s">
        <v>78</v>
      </c>
      <c r="C12" s="15" t="s">
        <v>79</v>
      </c>
      <c r="D12" s="15" t="s">
        <v>80</v>
      </c>
      <c r="E12" s="15" t="s">
        <v>81</v>
      </c>
      <c r="F12" s="15" t="s">
        <v>82</v>
      </c>
      <c r="G12" s="15" t="s">
        <v>83</v>
      </c>
      <c r="H12" s="15" t="s">
        <v>84</v>
      </c>
      <c r="I12" s="15" t="s">
        <v>85</v>
      </c>
      <c r="J12" s="15" t="s">
        <v>86</v>
      </c>
      <c r="K12" s="15" t="s">
        <v>87</v>
      </c>
      <c r="L12" s="15" t="s">
        <v>88</v>
      </c>
      <c r="M12" s="15" t="s">
        <v>89</v>
      </c>
      <c r="N12" s="15" t="s">
        <v>90</v>
      </c>
      <c r="O12" s="22" t="s">
        <v>91</v>
      </c>
    </row>
    <row r="13" spans="1:15" ht="21" customHeight="1" x14ac:dyDescent="0.35">
      <c r="A13" s="21">
        <v>1</v>
      </c>
      <c r="B13" s="18"/>
      <c r="C13" s="33" t="s">
        <v>26</v>
      </c>
      <c r="D13" s="16" t="s">
        <v>129</v>
      </c>
      <c r="E13" s="16" t="s">
        <v>146</v>
      </c>
      <c r="F13" s="16" t="s">
        <v>115</v>
      </c>
      <c r="G13" s="16">
        <v>17</v>
      </c>
      <c r="H13" s="16" t="s">
        <v>118</v>
      </c>
      <c r="I13" s="16" t="s">
        <v>119</v>
      </c>
      <c r="J13" s="16">
        <v>8000</v>
      </c>
      <c r="K13" s="16">
        <v>1500</v>
      </c>
      <c r="L13" s="16">
        <v>3</v>
      </c>
      <c r="M13" s="16">
        <v>4763</v>
      </c>
      <c r="N13" s="26"/>
      <c r="O13" s="27"/>
    </row>
    <row r="14" spans="1:15" ht="21" customHeight="1" x14ac:dyDescent="0.35">
      <c r="A14" s="21">
        <v>2</v>
      </c>
      <c r="B14" s="18"/>
      <c r="C14" s="17" t="s">
        <v>27</v>
      </c>
      <c r="D14" s="14" t="s">
        <v>124</v>
      </c>
      <c r="E14" s="14" t="s">
        <v>146</v>
      </c>
      <c r="F14" s="14" t="s">
        <v>115</v>
      </c>
      <c r="G14" s="14">
        <v>6</v>
      </c>
      <c r="H14" s="14" t="s">
        <v>118</v>
      </c>
      <c r="I14" s="14" t="s">
        <v>119</v>
      </c>
      <c r="J14" s="14">
        <v>6900</v>
      </c>
      <c r="K14" s="14">
        <v>1500</v>
      </c>
      <c r="L14" s="14">
        <v>10</v>
      </c>
      <c r="M14" s="14">
        <v>4895</v>
      </c>
      <c r="N14" s="26"/>
      <c r="O14" s="27"/>
    </row>
    <row r="15" spans="1:15" ht="21" customHeight="1" x14ac:dyDescent="0.35">
      <c r="A15" s="21">
        <v>3</v>
      </c>
      <c r="B15" s="18"/>
      <c r="C15" s="17" t="s">
        <v>28</v>
      </c>
      <c r="D15" s="14" t="s">
        <v>124</v>
      </c>
      <c r="E15" s="14" t="s">
        <v>146</v>
      </c>
      <c r="F15" s="14" t="s">
        <v>115</v>
      </c>
      <c r="G15" s="14">
        <v>6</v>
      </c>
      <c r="H15" s="14" t="s">
        <v>118</v>
      </c>
      <c r="I15" s="14" t="s">
        <v>119</v>
      </c>
      <c r="J15" s="14">
        <v>6900</v>
      </c>
      <c r="K15" s="14">
        <v>1500</v>
      </c>
      <c r="L15" s="14">
        <v>10</v>
      </c>
      <c r="M15" s="14">
        <v>4895</v>
      </c>
      <c r="N15" s="26"/>
      <c r="O15" s="27"/>
    </row>
    <row r="16" spans="1:15" ht="21" customHeight="1" x14ac:dyDescent="0.35">
      <c r="A16" s="21">
        <v>4</v>
      </c>
      <c r="B16" s="18"/>
      <c r="C16" s="17" t="s">
        <v>29</v>
      </c>
      <c r="D16" s="14" t="s">
        <v>124</v>
      </c>
      <c r="E16" s="14" t="s">
        <v>146</v>
      </c>
      <c r="F16" s="14" t="s">
        <v>115</v>
      </c>
      <c r="G16" s="14">
        <v>6</v>
      </c>
      <c r="H16" s="14" t="s">
        <v>118</v>
      </c>
      <c r="I16" s="14" t="s">
        <v>119</v>
      </c>
      <c r="J16" s="14">
        <v>6900</v>
      </c>
      <c r="K16" s="14">
        <v>1500</v>
      </c>
      <c r="L16" s="14">
        <v>10</v>
      </c>
      <c r="M16" s="14">
        <v>4890</v>
      </c>
      <c r="N16" s="26"/>
      <c r="O16" s="27"/>
    </row>
    <row r="17" spans="1:15" ht="21" customHeight="1" x14ac:dyDescent="0.35">
      <c r="A17" s="21">
        <v>5</v>
      </c>
      <c r="B17" s="18"/>
      <c r="C17" s="17" t="s">
        <v>30</v>
      </c>
      <c r="D17" s="14" t="s">
        <v>126</v>
      </c>
      <c r="E17" s="14" t="s">
        <v>145</v>
      </c>
      <c r="F17" s="14" t="s">
        <v>115</v>
      </c>
      <c r="G17" s="14">
        <v>5</v>
      </c>
      <c r="H17" s="14" t="s">
        <v>118</v>
      </c>
      <c r="I17" s="14" t="s">
        <v>119</v>
      </c>
      <c r="J17" s="14">
        <v>8000</v>
      </c>
      <c r="K17" s="14">
        <v>1500</v>
      </c>
      <c r="L17" s="14">
        <v>12</v>
      </c>
      <c r="M17" s="14">
        <v>5687</v>
      </c>
      <c r="N17" s="26"/>
      <c r="O17" s="27"/>
    </row>
    <row r="18" spans="1:15" ht="21" customHeight="1" x14ac:dyDescent="0.35">
      <c r="A18" s="21">
        <v>6</v>
      </c>
      <c r="B18" s="28"/>
      <c r="C18" s="17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29"/>
      <c r="O18" s="27"/>
    </row>
    <row r="19" spans="1:15" ht="21" customHeight="1" x14ac:dyDescent="0.35">
      <c r="A19" s="21">
        <v>7</v>
      </c>
      <c r="B19" s="28"/>
      <c r="C19" s="28"/>
      <c r="D19" s="28"/>
      <c r="E19" s="28"/>
      <c r="F19" s="28"/>
      <c r="G19" s="29"/>
      <c r="H19" s="28"/>
      <c r="I19" s="28"/>
      <c r="J19" s="30"/>
      <c r="K19" s="30"/>
      <c r="L19" s="30"/>
      <c r="M19" s="29"/>
      <c r="N19" s="29"/>
      <c r="O19" s="32" t="str">
        <f t="shared" ref="O19:O22" si="0">IF(COUNTA(J19:L19)=3,J19*K19*L19/1000000,"")</f>
        <v/>
      </c>
    </row>
    <row r="20" spans="1:15" ht="21" customHeight="1" x14ac:dyDescent="0.35">
      <c r="A20" s="21">
        <v>8</v>
      </c>
      <c r="B20" s="28"/>
      <c r="C20" s="28"/>
      <c r="D20" s="28"/>
      <c r="E20" s="28"/>
      <c r="F20" s="28"/>
      <c r="G20" s="29"/>
      <c r="H20" s="28"/>
      <c r="I20" s="28"/>
      <c r="J20" s="30"/>
      <c r="K20" s="30"/>
      <c r="L20" s="30"/>
      <c r="M20" s="29"/>
      <c r="N20" s="29"/>
      <c r="O20" s="32" t="str">
        <f t="shared" si="0"/>
        <v/>
      </c>
    </row>
    <row r="21" spans="1:15" ht="21" customHeight="1" x14ac:dyDescent="0.35">
      <c r="A21" s="21">
        <v>9</v>
      </c>
      <c r="B21" s="28"/>
      <c r="C21" s="28"/>
      <c r="D21" s="28"/>
      <c r="E21" s="28"/>
      <c r="F21" s="28"/>
      <c r="G21" s="29"/>
      <c r="H21" s="28"/>
      <c r="I21" s="28"/>
      <c r="J21" s="30"/>
      <c r="K21" s="30"/>
      <c r="L21" s="30"/>
      <c r="M21" s="29"/>
      <c r="N21" s="29"/>
      <c r="O21" s="32" t="str">
        <f t="shared" si="0"/>
        <v/>
      </c>
    </row>
    <row r="22" spans="1:15" ht="21" customHeight="1" thickBot="1" x14ac:dyDescent="0.4">
      <c r="A22" s="21">
        <v>10</v>
      </c>
      <c r="B22" s="28"/>
      <c r="C22" s="28"/>
      <c r="D22" s="28"/>
      <c r="E22" s="28"/>
      <c r="F22" s="28"/>
      <c r="G22" s="29"/>
      <c r="H22" s="28"/>
      <c r="I22" s="28"/>
      <c r="J22" s="30"/>
      <c r="K22" s="30"/>
      <c r="L22" s="30"/>
      <c r="M22" s="29"/>
      <c r="N22" s="29"/>
      <c r="O22" s="32" t="str">
        <f t="shared" si="0"/>
        <v/>
      </c>
    </row>
    <row r="23" spans="1:15" ht="22.15" customHeight="1" thickBot="1" x14ac:dyDescent="0.4">
      <c r="A23" s="74" t="s">
        <v>92</v>
      </c>
      <c r="B23" s="68"/>
      <c r="C23" s="68"/>
      <c r="D23" s="68"/>
      <c r="E23" s="68"/>
      <c r="F23" s="68"/>
      <c r="G23" s="23">
        <f>SUM(G13:G22)</f>
        <v>40</v>
      </c>
      <c r="H23" s="24"/>
      <c r="I23" s="24"/>
      <c r="J23" s="24"/>
      <c r="K23" s="24"/>
      <c r="L23" s="24"/>
      <c r="M23" s="23">
        <f>SUM(M13:M22)</f>
        <v>25130</v>
      </c>
      <c r="N23" s="23">
        <f>SUM(N13:N22)</f>
        <v>0</v>
      </c>
      <c r="O23" s="25">
        <f>SUM(O13:O22)</f>
        <v>0</v>
      </c>
    </row>
    <row r="24" spans="1:15" x14ac:dyDescent="0.35">
      <c r="A24" s="3"/>
      <c r="O24" s="4"/>
    </row>
    <row r="25" spans="1:15" ht="22.15" customHeight="1" x14ac:dyDescent="0.35">
      <c r="A25" s="70" t="s">
        <v>93</v>
      </c>
      <c r="B25" s="71"/>
      <c r="C25" s="6">
        <f>COUNTA(B13:B22)</f>
        <v>0</v>
      </c>
      <c r="D25" s="71" t="s">
        <v>94</v>
      </c>
      <c r="E25" s="71"/>
      <c r="F25" s="7">
        <f>SUM(G13:G22)</f>
        <v>40</v>
      </c>
      <c r="G25" s="71" t="s">
        <v>95</v>
      </c>
      <c r="H25" s="71"/>
      <c r="I25" s="7">
        <f>SUM(M13:M22)</f>
        <v>25130</v>
      </c>
      <c r="J25" s="71" t="s">
        <v>96</v>
      </c>
      <c r="K25" s="71"/>
      <c r="L25" s="7">
        <f>SUM(N13:N22)</f>
        <v>0</v>
      </c>
      <c r="M25" s="71" t="s">
        <v>97</v>
      </c>
      <c r="N25" s="71"/>
      <c r="O25" s="8">
        <f>SUM(O13:O22)</f>
        <v>0</v>
      </c>
    </row>
    <row r="26" spans="1:15" ht="15" thickBot="1" x14ac:dyDescent="0.4">
      <c r="A26" s="3"/>
      <c r="O26" s="4"/>
    </row>
    <row r="27" spans="1:15" ht="19.899999999999999" customHeight="1" thickBot="1" x14ac:dyDescent="0.4">
      <c r="A27" s="78" t="s">
        <v>98</v>
      </c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80"/>
    </row>
    <row r="28" spans="1:15" ht="24" customHeight="1" thickBot="1" x14ac:dyDescent="0.4">
      <c r="A28" s="81" t="s">
        <v>99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80"/>
    </row>
    <row r="29" spans="1:15" ht="24" customHeight="1" thickBot="1" x14ac:dyDescent="0.4">
      <c r="A29" s="82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80"/>
    </row>
    <row r="30" spans="1:15" ht="15" thickBot="1" x14ac:dyDescent="0.4">
      <c r="A30" s="3"/>
      <c r="O30" s="4"/>
    </row>
    <row r="31" spans="1:15" ht="19.899999999999999" customHeight="1" thickBot="1" x14ac:dyDescent="0.4">
      <c r="A31" s="78" t="s">
        <v>100</v>
      </c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80"/>
    </row>
    <row r="32" spans="1:15" ht="22.15" customHeight="1" thickBot="1" x14ac:dyDescent="0.4">
      <c r="A32" s="83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5"/>
    </row>
    <row r="33" spans="1:15" ht="19.899999999999999" customHeight="1" x14ac:dyDescent="0.35">
      <c r="A33" s="92" t="s">
        <v>101</v>
      </c>
      <c r="B33" s="93"/>
      <c r="C33" s="93"/>
      <c r="D33" s="94" t="s">
        <v>102</v>
      </c>
      <c r="E33" s="93"/>
      <c r="F33" s="93"/>
      <c r="G33" s="94" t="s">
        <v>103</v>
      </c>
      <c r="H33" s="93"/>
      <c r="I33" s="93"/>
      <c r="J33" s="94" t="s">
        <v>104</v>
      </c>
      <c r="K33" s="93"/>
      <c r="L33" s="93"/>
      <c r="M33" s="94" t="s">
        <v>105</v>
      </c>
      <c r="N33" s="93"/>
      <c r="O33" s="95"/>
    </row>
    <row r="34" spans="1:15" ht="19.899999999999999" customHeight="1" x14ac:dyDescent="0.35">
      <c r="A34" s="9"/>
      <c r="B34" s="10"/>
      <c r="C34" s="10"/>
      <c r="D34" s="11"/>
      <c r="E34" s="10"/>
      <c r="F34" s="10"/>
      <c r="G34" s="11"/>
      <c r="H34" s="10"/>
      <c r="I34" s="10"/>
      <c r="J34" s="11"/>
      <c r="K34" s="10"/>
      <c r="L34" s="10"/>
      <c r="M34" s="11"/>
      <c r="N34" s="10"/>
      <c r="O34" s="12"/>
    </row>
    <row r="35" spans="1:15" ht="19.899999999999999" customHeight="1" x14ac:dyDescent="0.35">
      <c r="A35" s="9"/>
      <c r="B35" s="10"/>
      <c r="C35" s="10"/>
      <c r="D35" s="11"/>
      <c r="E35" s="10"/>
      <c r="F35" s="10"/>
      <c r="G35" s="11"/>
      <c r="H35" s="10"/>
      <c r="I35" s="10"/>
      <c r="J35" s="11"/>
      <c r="K35" s="10"/>
      <c r="L35" s="10"/>
      <c r="M35" s="11"/>
      <c r="N35" s="10"/>
      <c r="O35" s="12"/>
    </row>
    <row r="36" spans="1:15" ht="19.899999999999999" customHeight="1" thickBot="1" x14ac:dyDescent="0.4">
      <c r="A36" s="9"/>
      <c r="B36" s="10"/>
      <c r="C36" s="10"/>
      <c r="D36" s="11"/>
      <c r="E36" s="10"/>
      <c r="F36" s="10"/>
      <c r="G36" s="11"/>
      <c r="H36" s="10"/>
      <c r="I36" s="10"/>
      <c r="J36" s="11"/>
      <c r="K36" s="10"/>
      <c r="L36" s="10"/>
      <c r="M36" s="11"/>
      <c r="N36" s="10"/>
      <c r="O36" s="12"/>
    </row>
    <row r="37" spans="1:15" ht="18.5" x14ac:dyDescent="0.35">
      <c r="A37" s="96" t="s">
        <v>106</v>
      </c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8"/>
    </row>
    <row r="38" spans="1:15" ht="14.5" customHeight="1" x14ac:dyDescent="0.35">
      <c r="A38" s="86" t="s">
        <v>107</v>
      </c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8"/>
    </row>
    <row r="39" spans="1:15" ht="15" thickBot="1" x14ac:dyDescent="0.4">
      <c r="A39" s="89"/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1"/>
    </row>
  </sheetData>
  <mergeCells count="62">
    <mergeCell ref="A38:O39"/>
    <mergeCell ref="A33:C33"/>
    <mergeCell ref="D33:F33"/>
    <mergeCell ref="G33:I33"/>
    <mergeCell ref="J33:L33"/>
    <mergeCell ref="M33:O33"/>
    <mergeCell ref="A37:O37"/>
    <mergeCell ref="A28:O29"/>
    <mergeCell ref="A31:O31"/>
    <mergeCell ref="A32:C32"/>
    <mergeCell ref="D32:F32"/>
    <mergeCell ref="G32:I32"/>
    <mergeCell ref="J32:L32"/>
    <mergeCell ref="M32:O32"/>
    <mergeCell ref="A25:B25"/>
    <mergeCell ref="D25:E25"/>
    <mergeCell ref="G25:H25"/>
    <mergeCell ref="J25:K25"/>
    <mergeCell ref="A27:O27"/>
    <mergeCell ref="M25:N25"/>
    <mergeCell ref="K10:L10"/>
    <mergeCell ref="M10:N10"/>
    <mergeCell ref="A9:B9"/>
    <mergeCell ref="C9:D9"/>
    <mergeCell ref="E9:F9"/>
    <mergeCell ref="G9:H9"/>
    <mergeCell ref="I9:J9"/>
    <mergeCell ref="K9:L9"/>
    <mergeCell ref="A23:F23"/>
    <mergeCell ref="A7:B7"/>
    <mergeCell ref="C7:H7"/>
    <mergeCell ref="I7:J7"/>
    <mergeCell ref="K7:O7"/>
    <mergeCell ref="A8:B8"/>
    <mergeCell ref="C8:H8"/>
    <mergeCell ref="I8:J8"/>
    <mergeCell ref="K8:L8"/>
    <mergeCell ref="M8:N8"/>
    <mergeCell ref="M9:N9"/>
    <mergeCell ref="A10:B10"/>
    <mergeCell ref="C10:D10"/>
    <mergeCell ref="E10:F10"/>
    <mergeCell ref="G10:H10"/>
    <mergeCell ref="I10:J10"/>
    <mergeCell ref="A5:O5"/>
    <mergeCell ref="A6:B6"/>
    <mergeCell ref="C6:D6"/>
    <mergeCell ref="E6:F6"/>
    <mergeCell ref="G6:H6"/>
    <mergeCell ref="I6:J6"/>
    <mergeCell ref="K6:L6"/>
    <mergeCell ref="M6:N6"/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</mergeCells>
  <pageMargins left="0.7" right="0.7" top="0.75" bottom="0.75" header="0.3" footer="0.3"/>
  <pageSetup paperSize="9" scale="75" fitToHeight="0" orientation="landscape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6A8D0-E22C-426F-B5C0-33D9D2AC3083}">
  <sheetPr>
    <tabColor theme="9" tint="0.79998168889431442"/>
  </sheetPr>
  <dimension ref="A1:O39"/>
  <sheetViews>
    <sheetView showGridLines="0" view="pageBreakPreview" zoomScale="60" zoomScaleNormal="70" workbookViewId="0">
      <selection activeCell="K6" sqref="K6:L6"/>
    </sheetView>
  </sheetViews>
  <sheetFormatPr defaultRowHeight="14.5" x14ac:dyDescent="0.35"/>
  <cols>
    <col min="1" max="1" width="8" style="1" customWidth="1"/>
    <col min="2" max="2" width="13" style="1" customWidth="1"/>
    <col min="3" max="3" width="11.7265625" style="1" bestFit="1" customWidth="1"/>
    <col min="4" max="4" width="30.26953125" style="1" bestFit="1" customWidth="1"/>
    <col min="5" max="5" width="15.08984375" style="1" bestFit="1" customWidth="1"/>
    <col min="6" max="6" width="6.54296875" style="1" bestFit="1" customWidth="1"/>
    <col min="7" max="8" width="8" style="1" customWidth="1"/>
    <col min="9" max="9" width="11.26953125" style="1" bestFit="1" customWidth="1"/>
    <col min="10" max="10" width="7.90625" style="1" customWidth="1"/>
    <col min="11" max="11" width="8.26953125" style="1" customWidth="1"/>
    <col min="12" max="12" width="8.36328125" style="1" customWidth="1"/>
    <col min="13" max="13" width="12" style="1" customWidth="1"/>
    <col min="14" max="14" width="13" style="1" customWidth="1"/>
    <col min="15" max="15" width="12" style="1" customWidth="1"/>
    <col min="16" max="16384" width="8.7265625" style="1"/>
  </cols>
  <sheetData>
    <row r="1" spans="1:15" ht="17.25" customHeight="1" x14ac:dyDescent="0.35">
      <c r="A1" s="37" t="e" vm="1">
        <v>#VALUE!</v>
      </c>
      <c r="B1" s="38"/>
      <c r="C1" s="39"/>
      <c r="D1" s="46" t="s">
        <v>51</v>
      </c>
      <c r="E1" s="47"/>
      <c r="F1" s="47"/>
      <c r="G1" s="47"/>
      <c r="H1" s="47"/>
      <c r="I1" s="47"/>
      <c r="J1" s="47"/>
      <c r="K1" s="48"/>
      <c r="L1" s="55" t="s">
        <v>52</v>
      </c>
      <c r="M1" s="56"/>
      <c r="N1" s="57">
        <v>46098</v>
      </c>
      <c r="O1" s="58"/>
    </row>
    <row r="2" spans="1:15" ht="18" customHeight="1" x14ac:dyDescent="0.35">
      <c r="A2" s="40"/>
      <c r="B2" s="41"/>
      <c r="C2" s="42"/>
      <c r="D2" s="49"/>
      <c r="E2" s="50"/>
      <c r="F2" s="50"/>
      <c r="G2" s="50"/>
      <c r="H2" s="50"/>
      <c r="I2" s="50"/>
      <c r="J2" s="50"/>
      <c r="K2" s="51"/>
      <c r="L2" s="59" t="s">
        <v>53</v>
      </c>
      <c r="M2" s="60"/>
      <c r="N2" s="61" t="s">
        <v>54</v>
      </c>
      <c r="O2" s="62"/>
    </row>
    <row r="3" spans="1:15" ht="16.5" customHeight="1" x14ac:dyDescent="0.35">
      <c r="A3" s="40"/>
      <c r="B3" s="41"/>
      <c r="C3" s="42"/>
      <c r="D3" s="49"/>
      <c r="E3" s="50"/>
      <c r="F3" s="50"/>
      <c r="G3" s="50"/>
      <c r="H3" s="50"/>
      <c r="I3" s="50"/>
      <c r="J3" s="50"/>
      <c r="K3" s="51"/>
      <c r="L3" s="59" t="s">
        <v>55</v>
      </c>
      <c r="M3" s="60"/>
      <c r="N3" s="61" t="s">
        <v>56</v>
      </c>
      <c r="O3" s="62"/>
    </row>
    <row r="4" spans="1:15" ht="15.75" customHeight="1" thickBot="1" x14ac:dyDescent="0.4">
      <c r="A4" s="43"/>
      <c r="B4" s="44"/>
      <c r="C4" s="45"/>
      <c r="D4" s="52"/>
      <c r="E4" s="53"/>
      <c r="F4" s="53"/>
      <c r="G4" s="53"/>
      <c r="H4" s="53"/>
      <c r="I4" s="53"/>
      <c r="J4" s="53"/>
      <c r="K4" s="54"/>
      <c r="L4" s="63" t="s">
        <v>57</v>
      </c>
      <c r="M4" s="64"/>
      <c r="N4" s="65" t="s">
        <v>58</v>
      </c>
      <c r="O4" s="66"/>
    </row>
    <row r="5" spans="1:15" ht="19.899999999999999" customHeight="1" thickBot="1" x14ac:dyDescent="0.4">
      <c r="A5" s="67" t="s">
        <v>59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9"/>
    </row>
    <row r="6" spans="1:15" ht="22.15" customHeight="1" x14ac:dyDescent="0.35">
      <c r="A6" s="70" t="s">
        <v>60</v>
      </c>
      <c r="B6" s="71"/>
      <c r="C6" s="75" t="s">
        <v>160</v>
      </c>
      <c r="D6" s="72"/>
      <c r="E6" s="71" t="s">
        <v>61</v>
      </c>
      <c r="F6" s="71"/>
      <c r="G6" s="73">
        <v>46118</v>
      </c>
      <c r="H6" s="72"/>
      <c r="I6" s="71" t="s">
        <v>62</v>
      </c>
      <c r="J6" s="71"/>
      <c r="K6" s="72" t="s">
        <v>159</v>
      </c>
      <c r="L6" s="72"/>
      <c r="M6" s="71" t="s">
        <v>63</v>
      </c>
      <c r="N6" s="71"/>
      <c r="O6" s="13" t="s">
        <v>112</v>
      </c>
    </row>
    <row r="7" spans="1:15" ht="22.15" customHeight="1" x14ac:dyDescent="0.35">
      <c r="A7" s="70" t="s">
        <v>64</v>
      </c>
      <c r="B7" s="71"/>
      <c r="C7" s="75" t="s">
        <v>106</v>
      </c>
      <c r="D7" s="72"/>
      <c r="E7" s="72"/>
      <c r="F7" s="72"/>
      <c r="G7" s="72"/>
      <c r="H7" s="72"/>
      <c r="I7" s="71" t="s">
        <v>65</v>
      </c>
      <c r="J7" s="71"/>
      <c r="K7" s="75" t="s">
        <v>111</v>
      </c>
      <c r="L7" s="72"/>
      <c r="M7" s="72"/>
      <c r="N7" s="72"/>
      <c r="O7" s="76"/>
    </row>
    <row r="8" spans="1:15" ht="22.15" customHeight="1" x14ac:dyDescent="0.35">
      <c r="A8" s="70" t="s">
        <v>66</v>
      </c>
      <c r="B8" s="71"/>
      <c r="C8" s="75" t="s">
        <v>111</v>
      </c>
      <c r="D8" s="72"/>
      <c r="E8" s="72"/>
      <c r="F8" s="72"/>
      <c r="G8" s="72"/>
      <c r="H8" s="72"/>
      <c r="I8" s="71" t="s">
        <v>67</v>
      </c>
      <c r="J8" s="71"/>
      <c r="K8" s="75" t="s">
        <v>115</v>
      </c>
      <c r="L8" s="72"/>
      <c r="M8" s="71" t="s">
        <v>68</v>
      </c>
      <c r="N8" s="71"/>
      <c r="O8" s="13" t="s">
        <v>114</v>
      </c>
    </row>
    <row r="9" spans="1:15" ht="22.15" customHeight="1" x14ac:dyDescent="0.35">
      <c r="A9" s="70" t="s">
        <v>69</v>
      </c>
      <c r="B9" s="71"/>
      <c r="C9" s="75" t="s">
        <v>113</v>
      </c>
      <c r="D9" s="72"/>
      <c r="E9" s="71" t="s">
        <v>70</v>
      </c>
      <c r="F9" s="71"/>
      <c r="G9" s="75" t="s">
        <v>114</v>
      </c>
      <c r="H9" s="72"/>
      <c r="I9" s="71" t="s">
        <v>71</v>
      </c>
      <c r="J9" s="71"/>
      <c r="K9" s="75" t="s">
        <v>116</v>
      </c>
      <c r="L9" s="72"/>
      <c r="M9" s="71" t="s">
        <v>72</v>
      </c>
      <c r="N9" s="71"/>
      <c r="O9" s="2">
        <v>46153</v>
      </c>
    </row>
    <row r="10" spans="1:15" ht="22.15" customHeight="1" x14ac:dyDescent="0.35">
      <c r="A10" s="70" t="s">
        <v>73</v>
      </c>
      <c r="B10" s="71"/>
      <c r="C10" s="77" t="s">
        <v>110</v>
      </c>
      <c r="D10" s="72"/>
      <c r="E10" s="71" t="s">
        <v>74</v>
      </c>
      <c r="F10" s="71"/>
      <c r="G10" s="72"/>
      <c r="H10" s="72"/>
      <c r="I10" s="71" t="s">
        <v>75</v>
      </c>
      <c r="J10" s="71"/>
      <c r="K10" s="72"/>
      <c r="L10" s="72"/>
      <c r="M10" s="71" t="s">
        <v>76</v>
      </c>
      <c r="N10" s="71"/>
      <c r="O10" s="13" t="s">
        <v>117</v>
      </c>
    </row>
    <row r="11" spans="1:15" ht="15" thickBot="1" x14ac:dyDescent="0.4">
      <c r="A11" s="3" t="s">
        <v>138</v>
      </c>
      <c r="O11" s="4"/>
    </row>
    <row r="12" spans="1:15" ht="34.15" customHeight="1" thickBot="1" x14ac:dyDescent="0.4">
      <c r="A12" s="5" t="s">
        <v>77</v>
      </c>
      <c r="B12" s="15" t="s">
        <v>78</v>
      </c>
      <c r="C12" s="15" t="s">
        <v>79</v>
      </c>
      <c r="D12" s="15" t="s">
        <v>80</v>
      </c>
      <c r="E12" s="15" t="s">
        <v>81</v>
      </c>
      <c r="F12" s="15" t="s">
        <v>82</v>
      </c>
      <c r="G12" s="15" t="s">
        <v>83</v>
      </c>
      <c r="H12" s="15" t="s">
        <v>84</v>
      </c>
      <c r="I12" s="15" t="s">
        <v>85</v>
      </c>
      <c r="J12" s="15" t="s">
        <v>86</v>
      </c>
      <c r="K12" s="15" t="s">
        <v>87</v>
      </c>
      <c r="L12" s="15" t="s">
        <v>88</v>
      </c>
      <c r="M12" s="15" t="s">
        <v>89</v>
      </c>
      <c r="N12" s="15" t="s">
        <v>90</v>
      </c>
      <c r="O12" s="22" t="s">
        <v>91</v>
      </c>
    </row>
    <row r="13" spans="1:15" ht="21" customHeight="1" x14ac:dyDescent="0.35">
      <c r="A13" s="21">
        <v>1</v>
      </c>
      <c r="B13" s="18"/>
      <c r="C13" s="33" t="s">
        <v>31</v>
      </c>
      <c r="D13" s="16" t="s">
        <v>125</v>
      </c>
      <c r="E13" s="16" t="s">
        <v>146</v>
      </c>
      <c r="F13" s="16" t="s">
        <v>115</v>
      </c>
      <c r="G13" s="16">
        <v>14</v>
      </c>
      <c r="H13" s="16" t="s">
        <v>118</v>
      </c>
      <c r="I13" s="16" t="s">
        <v>119</v>
      </c>
      <c r="J13" s="16">
        <v>8000</v>
      </c>
      <c r="K13" s="16">
        <v>1500</v>
      </c>
      <c r="L13" s="16">
        <v>4</v>
      </c>
      <c r="M13" s="16">
        <v>5300</v>
      </c>
      <c r="N13" s="26"/>
      <c r="O13" s="27"/>
    </row>
    <row r="14" spans="1:15" ht="21" customHeight="1" x14ac:dyDescent="0.35">
      <c r="A14" s="21">
        <v>2</v>
      </c>
      <c r="B14" s="18"/>
      <c r="C14" s="17" t="s">
        <v>32</v>
      </c>
      <c r="D14" s="14" t="s">
        <v>125</v>
      </c>
      <c r="E14" s="14" t="s">
        <v>146</v>
      </c>
      <c r="F14" s="14" t="s">
        <v>115</v>
      </c>
      <c r="G14" s="14">
        <v>12</v>
      </c>
      <c r="H14" s="14" t="s">
        <v>118</v>
      </c>
      <c r="I14" s="14" t="s">
        <v>119</v>
      </c>
      <c r="J14" s="14">
        <v>8000</v>
      </c>
      <c r="K14" s="14">
        <v>1500</v>
      </c>
      <c r="L14" s="14">
        <v>4</v>
      </c>
      <c r="M14" s="14">
        <v>4540</v>
      </c>
      <c r="N14" s="26"/>
      <c r="O14" s="27"/>
    </row>
    <row r="15" spans="1:15" ht="21" customHeight="1" x14ac:dyDescent="0.35">
      <c r="A15" s="21">
        <v>3</v>
      </c>
      <c r="B15" s="18"/>
      <c r="C15" s="17" t="s">
        <v>33</v>
      </c>
      <c r="D15" s="14" t="s">
        <v>123</v>
      </c>
      <c r="E15" s="14" t="s">
        <v>146</v>
      </c>
      <c r="F15" s="14" t="s">
        <v>115</v>
      </c>
      <c r="G15" s="14">
        <v>8</v>
      </c>
      <c r="H15" s="14" t="s">
        <v>118</v>
      </c>
      <c r="I15" s="14" t="s">
        <v>119</v>
      </c>
      <c r="J15" s="14">
        <v>6900</v>
      </c>
      <c r="K15" s="14">
        <v>1500</v>
      </c>
      <c r="L15" s="14">
        <v>8</v>
      </c>
      <c r="M15" s="14">
        <v>5235</v>
      </c>
      <c r="N15" s="26"/>
      <c r="O15" s="27"/>
    </row>
    <row r="16" spans="1:15" ht="21" customHeight="1" x14ac:dyDescent="0.35">
      <c r="A16" s="21">
        <v>4</v>
      </c>
      <c r="B16" s="18"/>
      <c r="C16" s="17" t="s">
        <v>34</v>
      </c>
      <c r="D16" s="14" t="s">
        <v>123</v>
      </c>
      <c r="E16" s="14" t="s">
        <v>146</v>
      </c>
      <c r="F16" s="14" t="s">
        <v>115</v>
      </c>
      <c r="G16" s="14">
        <v>8</v>
      </c>
      <c r="H16" s="14" t="s">
        <v>118</v>
      </c>
      <c r="I16" s="14" t="s">
        <v>119</v>
      </c>
      <c r="J16" s="14">
        <v>6900</v>
      </c>
      <c r="K16" s="14">
        <v>1500</v>
      </c>
      <c r="L16" s="14">
        <v>8</v>
      </c>
      <c r="M16" s="14">
        <v>5235</v>
      </c>
      <c r="N16" s="26"/>
      <c r="O16" s="27"/>
    </row>
    <row r="17" spans="1:15" ht="21" customHeight="1" x14ac:dyDescent="0.35">
      <c r="A17" s="21">
        <v>5</v>
      </c>
      <c r="B17" s="18"/>
      <c r="C17" s="17" t="s">
        <v>35</v>
      </c>
      <c r="D17" s="14" t="s">
        <v>127</v>
      </c>
      <c r="E17" s="14" t="s">
        <v>145</v>
      </c>
      <c r="F17" s="14" t="s">
        <v>115</v>
      </c>
      <c r="G17" s="14">
        <v>5</v>
      </c>
      <c r="H17" s="14" t="s">
        <v>118</v>
      </c>
      <c r="I17" s="14" t="s">
        <v>119</v>
      </c>
      <c r="J17" s="14">
        <v>6900</v>
      </c>
      <c r="K17" s="14">
        <v>1500</v>
      </c>
      <c r="L17" s="14">
        <v>12</v>
      </c>
      <c r="M17" s="14">
        <v>4920</v>
      </c>
      <c r="N17" s="26"/>
      <c r="O17" s="27"/>
    </row>
    <row r="18" spans="1:15" ht="21" customHeight="1" x14ac:dyDescent="0.35">
      <c r="A18" s="21">
        <v>6</v>
      </c>
      <c r="B18" s="28"/>
      <c r="C18" s="17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29"/>
      <c r="O18" s="27"/>
    </row>
    <row r="19" spans="1:15" ht="21" customHeight="1" x14ac:dyDescent="0.35">
      <c r="A19" s="21">
        <v>7</v>
      </c>
      <c r="B19" s="28"/>
      <c r="C19" s="28"/>
      <c r="D19" s="28"/>
      <c r="E19" s="28"/>
      <c r="F19" s="28"/>
      <c r="G19" s="29"/>
      <c r="H19" s="28"/>
      <c r="I19" s="28"/>
      <c r="J19" s="30"/>
      <c r="K19" s="30"/>
      <c r="L19" s="30"/>
      <c r="M19" s="29"/>
      <c r="N19" s="29"/>
      <c r="O19" s="32" t="str">
        <f t="shared" ref="O19:O22" si="0">IF(COUNTA(J19:L19)=3,J19*K19*L19/1000000,"")</f>
        <v/>
      </c>
    </row>
    <row r="20" spans="1:15" ht="21" customHeight="1" x14ac:dyDescent="0.35">
      <c r="A20" s="21">
        <v>8</v>
      </c>
      <c r="B20" s="28"/>
      <c r="C20" s="28"/>
      <c r="D20" s="28"/>
      <c r="E20" s="28"/>
      <c r="F20" s="28"/>
      <c r="G20" s="29"/>
      <c r="H20" s="28"/>
      <c r="I20" s="28"/>
      <c r="J20" s="30"/>
      <c r="K20" s="30"/>
      <c r="L20" s="30"/>
      <c r="M20" s="29"/>
      <c r="N20" s="29"/>
      <c r="O20" s="32" t="str">
        <f t="shared" si="0"/>
        <v/>
      </c>
    </row>
    <row r="21" spans="1:15" ht="21" customHeight="1" x14ac:dyDescent="0.35">
      <c r="A21" s="21">
        <v>9</v>
      </c>
      <c r="B21" s="28"/>
      <c r="C21" s="28"/>
      <c r="D21" s="28"/>
      <c r="E21" s="28"/>
      <c r="F21" s="28"/>
      <c r="G21" s="29"/>
      <c r="H21" s="28"/>
      <c r="I21" s="28"/>
      <c r="J21" s="30"/>
      <c r="K21" s="30"/>
      <c r="L21" s="30"/>
      <c r="M21" s="29"/>
      <c r="N21" s="29"/>
      <c r="O21" s="32" t="str">
        <f t="shared" si="0"/>
        <v/>
      </c>
    </row>
    <row r="22" spans="1:15" ht="21" customHeight="1" thickBot="1" x14ac:dyDescent="0.4">
      <c r="A22" s="21">
        <v>10</v>
      </c>
      <c r="B22" s="28"/>
      <c r="C22" s="28"/>
      <c r="D22" s="28"/>
      <c r="E22" s="28"/>
      <c r="F22" s="28"/>
      <c r="G22" s="29"/>
      <c r="H22" s="28"/>
      <c r="I22" s="28"/>
      <c r="J22" s="30"/>
      <c r="K22" s="30"/>
      <c r="L22" s="30"/>
      <c r="M22" s="29"/>
      <c r="N22" s="29"/>
      <c r="O22" s="32" t="str">
        <f t="shared" si="0"/>
        <v/>
      </c>
    </row>
    <row r="23" spans="1:15" ht="22.15" customHeight="1" thickBot="1" x14ac:dyDescent="0.4">
      <c r="A23" s="74" t="s">
        <v>92</v>
      </c>
      <c r="B23" s="68"/>
      <c r="C23" s="68"/>
      <c r="D23" s="68"/>
      <c r="E23" s="68"/>
      <c r="F23" s="68"/>
      <c r="G23" s="23">
        <f>SUM(G13:G22)</f>
        <v>47</v>
      </c>
      <c r="H23" s="24"/>
      <c r="I23" s="24"/>
      <c r="J23" s="24"/>
      <c r="K23" s="24"/>
      <c r="L23" s="24"/>
      <c r="M23" s="23">
        <f>SUM(M13:M22)</f>
        <v>25230</v>
      </c>
      <c r="N23" s="23">
        <f>SUM(N13:N22)</f>
        <v>0</v>
      </c>
      <c r="O23" s="25">
        <f>SUM(O13:O22)</f>
        <v>0</v>
      </c>
    </row>
    <row r="24" spans="1:15" x14ac:dyDescent="0.35">
      <c r="A24" s="3"/>
      <c r="O24" s="4"/>
    </row>
    <row r="25" spans="1:15" ht="22.15" customHeight="1" x14ac:dyDescent="0.35">
      <c r="A25" s="70" t="s">
        <v>93</v>
      </c>
      <c r="B25" s="71"/>
      <c r="C25" s="6">
        <f>COUNTA(B13:B22)</f>
        <v>0</v>
      </c>
      <c r="D25" s="71" t="s">
        <v>94</v>
      </c>
      <c r="E25" s="71"/>
      <c r="F25" s="7">
        <f>SUM(G13:G22)</f>
        <v>47</v>
      </c>
      <c r="G25" s="71" t="s">
        <v>95</v>
      </c>
      <c r="H25" s="71"/>
      <c r="I25" s="7">
        <f>SUM(M13:M22)</f>
        <v>25230</v>
      </c>
      <c r="J25" s="71" t="s">
        <v>96</v>
      </c>
      <c r="K25" s="71"/>
      <c r="L25" s="7">
        <f>SUM(N13:N22)</f>
        <v>0</v>
      </c>
      <c r="M25" s="71" t="s">
        <v>97</v>
      </c>
      <c r="N25" s="71"/>
      <c r="O25" s="8">
        <f>SUM(O13:O22)</f>
        <v>0</v>
      </c>
    </row>
    <row r="26" spans="1:15" ht="15" thickBot="1" x14ac:dyDescent="0.4">
      <c r="A26" s="3"/>
      <c r="O26" s="4"/>
    </row>
    <row r="27" spans="1:15" ht="19.899999999999999" customHeight="1" thickBot="1" x14ac:dyDescent="0.4">
      <c r="A27" s="78" t="s">
        <v>98</v>
      </c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80"/>
    </row>
    <row r="28" spans="1:15" ht="24" customHeight="1" thickBot="1" x14ac:dyDescent="0.4">
      <c r="A28" s="81" t="s">
        <v>99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80"/>
    </row>
    <row r="29" spans="1:15" ht="24" customHeight="1" thickBot="1" x14ac:dyDescent="0.4">
      <c r="A29" s="82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80"/>
    </row>
    <row r="30" spans="1:15" ht="15" thickBot="1" x14ac:dyDescent="0.4">
      <c r="A30" s="3"/>
      <c r="O30" s="4"/>
    </row>
    <row r="31" spans="1:15" ht="19.899999999999999" customHeight="1" thickBot="1" x14ac:dyDescent="0.4">
      <c r="A31" s="78" t="s">
        <v>100</v>
      </c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80"/>
    </row>
    <row r="32" spans="1:15" ht="22.15" customHeight="1" thickBot="1" x14ac:dyDescent="0.4">
      <c r="A32" s="83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5"/>
    </row>
    <row r="33" spans="1:15" ht="19.899999999999999" customHeight="1" x14ac:dyDescent="0.35">
      <c r="A33" s="92" t="s">
        <v>101</v>
      </c>
      <c r="B33" s="93"/>
      <c r="C33" s="93"/>
      <c r="D33" s="94" t="s">
        <v>102</v>
      </c>
      <c r="E33" s="93"/>
      <c r="F33" s="93"/>
      <c r="G33" s="94" t="s">
        <v>103</v>
      </c>
      <c r="H33" s="93"/>
      <c r="I33" s="93"/>
      <c r="J33" s="94" t="s">
        <v>104</v>
      </c>
      <c r="K33" s="93"/>
      <c r="L33" s="93"/>
      <c r="M33" s="94" t="s">
        <v>105</v>
      </c>
      <c r="N33" s="93"/>
      <c r="O33" s="95"/>
    </row>
    <row r="34" spans="1:15" ht="19.899999999999999" customHeight="1" x14ac:dyDescent="0.35">
      <c r="A34" s="9"/>
      <c r="B34" s="10"/>
      <c r="C34" s="10"/>
      <c r="D34" s="11"/>
      <c r="E34" s="10"/>
      <c r="F34" s="10"/>
      <c r="G34" s="11"/>
      <c r="H34" s="10"/>
      <c r="I34" s="10"/>
      <c r="J34" s="11"/>
      <c r="K34" s="10"/>
      <c r="L34" s="10"/>
      <c r="M34" s="11"/>
      <c r="N34" s="10"/>
      <c r="O34" s="12"/>
    </row>
    <row r="35" spans="1:15" ht="19.899999999999999" customHeight="1" x14ac:dyDescent="0.35">
      <c r="A35" s="9"/>
      <c r="B35" s="10"/>
      <c r="C35" s="10"/>
      <c r="D35" s="11"/>
      <c r="E35" s="10"/>
      <c r="F35" s="10"/>
      <c r="G35" s="11"/>
      <c r="H35" s="10"/>
      <c r="I35" s="10"/>
      <c r="J35" s="11"/>
      <c r="K35" s="10"/>
      <c r="L35" s="10"/>
      <c r="M35" s="11"/>
      <c r="N35" s="10"/>
      <c r="O35" s="12"/>
    </row>
    <row r="36" spans="1:15" ht="19.899999999999999" customHeight="1" thickBot="1" x14ac:dyDescent="0.4">
      <c r="A36" s="9"/>
      <c r="B36" s="10"/>
      <c r="C36" s="10"/>
      <c r="D36" s="11"/>
      <c r="E36" s="10"/>
      <c r="F36" s="10"/>
      <c r="G36" s="11"/>
      <c r="H36" s="10"/>
      <c r="I36" s="10"/>
      <c r="J36" s="11"/>
      <c r="K36" s="10"/>
      <c r="L36" s="10"/>
      <c r="M36" s="11"/>
      <c r="N36" s="10"/>
      <c r="O36" s="12"/>
    </row>
    <row r="37" spans="1:15" ht="18.5" x14ac:dyDescent="0.35">
      <c r="A37" s="96" t="s">
        <v>106</v>
      </c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8"/>
    </row>
    <row r="38" spans="1:15" ht="14.5" customHeight="1" x14ac:dyDescent="0.35">
      <c r="A38" s="86" t="s">
        <v>107</v>
      </c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8"/>
    </row>
    <row r="39" spans="1:15" ht="15" thickBot="1" x14ac:dyDescent="0.4">
      <c r="A39" s="89"/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1"/>
    </row>
  </sheetData>
  <mergeCells count="62">
    <mergeCell ref="A38:O39"/>
    <mergeCell ref="A33:C33"/>
    <mergeCell ref="D33:F33"/>
    <mergeCell ref="G33:I33"/>
    <mergeCell ref="J33:L33"/>
    <mergeCell ref="M33:O33"/>
    <mergeCell ref="A37:O37"/>
    <mergeCell ref="A28:O29"/>
    <mergeCell ref="A31:O31"/>
    <mergeCell ref="A32:C32"/>
    <mergeCell ref="D32:F32"/>
    <mergeCell ref="G32:I32"/>
    <mergeCell ref="J32:L32"/>
    <mergeCell ref="M32:O32"/>
    <mergeCell ref="A25:B25"/>
    <mergeCell ref="D25:E25"/>
    <mergeCell ref="G25:H25"/>
    <mergeCell ref="J25:K25"/>
    <mergeCell ref="A27:O27"/>
    <mergeCell ref="M25:N25"/>
    <mergeCell ref="K10:L10"/>
    <mergeCell ref="M10:N10"/>
    <mergeCell ref="A9:B9"/>
    <mergeCell ref="C9:D9"/>
    <mergeCell ref="E9:F9"/>
    <mergeCell ref="G9:H9"/>
    <mergeCell ref="I9:J9"/>
    <mergeCell ref="K9:L9"/>
    <mergeCell ref="A23:F23"/>
    <mergeCell ref="A7:B7"/>
    <mergeCell ref="C7:H7"/>
    <mergeCell ref="I7:J7"/>
    <mergeCell ref="K7:O7"/>
    <mergeCell ref="A8:B8"/>
    <mergeCell ref="C8:H8"/>
    <mergeCell ref="I8:J8"/>
    <mergeCell ref="K8:L8"/>
    <mergeCell ref="M8:N8"/>
    <mergeCell ref="M9:N9"/>
    <mergeCell ref="A10:B10"/>
    <mergeCell ref="C10:D10"/>
    <mergeCell ref="E10:F10"/>
    <mergeCell ref="G10:H10"/>
    <mergeCell ref="I10:J10"/>
    <mergeCell ref="A5:O5"/>
    <mergeCell ref="A6:B6"/>
    <mergeCell ref="C6:D6"/>
    <mergeCell ref="E6:F6"/>
    <mergeCell ref="G6:H6"/>
    <mergeCell ref="I6:J6"/>
    <mergeCell ref="K6:L6"/>
    <mergeCell ref="M6:N6"/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</mergeCells>
  <pageMargins left="0.7" right="0.7" top="0.75" bottom="0.75" header="0.3" footer="0.3"/>
  <pageSetup paperSize="9" scale="48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DC1D8-0E63-4E5D-9C00-F7A381C33362}">
  <sheetPr>
    <tabColor theme="9" tint="0.79998168889431442"/>
  </sheetPr>
  <dimension ref="A1:O39"/>
  <sheetViews>
    <sheetView showGridLines="0" view="pageBreakPreview" zoomScale="60" zoomScaleNormal="70" workbookViewId="0">
      <selection activeCell="K6" sqref="K6:L6"/>
    </sheetView>
  </sheetViews>
  <sheetFormatPr defaultRowHeight="14.5" x14ac:dyDescent="0.35"/>
  <cols>
    <col min="1" max="1" width="8" style="1" customWidth="1"/>
    <col min="2" max="2" width="13" style="1" customWidth="1"/>
    <col min="3" max="3" width="11.7265625" style="1" bestFit="1" customWidth="1"/>
    <col min="4" max="4" width="30.26953125" style="1" bestFit="1" customWidth="1"/>
    <col min="5" max="5" width="15.08984375" style="1" bestFit="1" customWidth="1"/>
    <col min="6" max="6" width="6.54296875" style="1" bestFit="1" customWidth="1"/>
    <col min="7" max="8" width="8" style="1" customWidth="1"/>
    <col min="9" max="9" width="11.26953125" style="1" bestFit="1" customWidth="1"/>
    <col min="10" max="10" width="7.90625" style="1" customWidth="1"/>
    <col min="11" max="11" width="8.26953125" style="1" customWidth="1"/>
    <col min="12" max="12" width="8.36328125" style="1" customWidth="1"/>
    <col min="13" max="13" width="12" style="1" customWidth="1"/>
    <col min="14" max="14" width="13" style="1" customWidth="1"/>
    <col min="15" max="15" width="12" style="1" customWidth="1"/>
    <col min="16" max="16384" width="8.7265625" style="1"/>
  </cols>
  <sheetData>
    <row r="1" spans="1:15" ht="17.25" customHeight="1" x14ac:dyDescent="0.35">
      <c r="A1" s="37" t="e" vm="1">
        <v>#VALUE!</v>
      </c>
      <c r="B1" s="38"/>
      <c r="C1" s="39"/>
      <c r="D1" s="46" t="s">
        <v>51</v>
      </c>
      <c r="E1" s="47"/>
      <c r="F1" s="47"/>
      <c r="G1" s="47"/>
      <c r="H1" s="47"/>
      <c r="I1" s="47"/>
      <c r="J1" s="47"/>
      <c r="K1" s="48"/>
      <c r="L1" s="55" t="s">
        <v>52</v>
      </c>
      <c r="M1" s="56"/>
      <c r="N1" s="57">
        <v>46098</v>
      </c>
      <c r="O1" s="58"/>
    </row>
    <row r="2" spans="1:15" ht="18" customHeight="1" x14ac:dyDescent="0.35">
      <c r="A2" s="40"/>
      <c r="B2" s="41"/>
      <c r="C2" s="42"/>
      <c r="D2" s="49"/>
      <c r="E2" s="50"/>
      <c r="F2" s="50"/>
      <c r="G2" s="50"/>
      <c r="H2" s="50"/>
      <c r="I2" s="50"/>
      <c r="J2" s="50"/>
      <c r="K2" s="51"/>
      <c r="L2" s="59" t="s">
        <v>53</v>
      </c>
      <c r="M2" s="60"/>
      <c r="N2" s="61" t="s">
        <v>54</v>
      </c>
      <c r="O2" s="62"/>
    </row>
    <row r="3" spans="1:15" ht="16.5" customHeight="1" x14ac:dyDescent="0.35">
      <c r="A3" s="40"/>
      <c r="B3" s="41"/>
      <c r="C3" s="42"/>
      <c r="D3" s="49"/>
      <c r="E3" s="50"/>
      <c r="F3" s="50"/>
      <c r="G3" s="50"/>
      <c r="H3" s="50"/>
      <c r="I3" s="50"/>
      <c r="J3" s="50"/>
      <c r="K3" s="51"/>
      <c r="L3" s="59" t="s">
        <v>55</v>
      </c>
      <c r="M3" s="60"/>
      <c r="N3" s="61" t="s">
        <v>56</v>
      </c>
      <c r="O3" s="62"/>
    </row>
    <row r="4" spans="1:15" ht="15.75" customHeight="1" thickBot="1" x14ac:dyDescent="0.4">
      <c r="A4" s="43"/>
      <c r="B4" s="44"/>
      <c r="C4" s="45"/>
      <c r="D4" s="52"/>
      <c r="E4" s="53"/>
      <c r="F4" s="53"/>
      <c r="G4" s="53"/>
      <c r="H4" s="53"/>
      <c r="I4" s="53"/>
      <c r="J4" s="53"/>
      <c r="K4" s="54"/>
      <c r="L4" s="63" t="s">
        <v>57</v>
      </c>
      <c r="M4" s="64"/>
      <c r="N4" s="65" t="s">
        <v>58</v>
      </c>
      <c r="O4" s="66"/>
    </row>
    <row r="5" spans="1:15" ht="19.899999999999999" customHeight="1" thickBot="1" x14ac:dyDescent="0.4">
      <c r="A5" s="67" t="s">
        <v>59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9"/>
    </row>
    <row r="6" spans="1:15" ht="22.15" customHeight="1" x14ac:dyDescent="0.35">
      <c r="A6" s="70" t="s">
        <v>60</v>
      </c>
      <c r="B6" s="71"/>
      <c r="C6" s="75" t="s">
        <v>160</v>
      </c>
      <c r="D6" s="72"/>
      <c r="E6" s="71" t="s">
        <v>61</v>
      </c>
      <c r="F6" s="71"/>
      <c r="G6" s="73">
        <v>46118</v>
      </c>
      <c r="H6" s="72"/>
      <c r="I6" s="71" t="s">
        <v>62</v>
      </c>
      <c r="J6" s="71"/>
      <c r="K6" s="72" t="s">
        <v>159</v>
      </c>
      <c r="L6" s="72"/>
      <c r="M6" s="71" t="s">
        <v>63</v>
      </c>
      <c r="N6" s="71"/>
      <c r="O6" s="13" t="s">
        <v>112</v>
      </c>
    </row>
    <row r="7" spans="1:15" ht="22.15" customHeight="1" x14ac:dyDescent="0.35">
      <c r="A7" s="70" t="s">
        <v>64</v>
      </c>
      <c r="B7" s="71"/>
      <c r="C7" s="75" t="s">
        <v>106</v>
      </c>
      <c r="D7" s="72"/>
      <c r="E7" s="72"/>
      <c r="F7" s="72"/>
      <c r="G7" s="72"/>
      <c r="H7" s="72"/>
      <c r="I7" s="71" t="s">
        <v>65</v>
      </c>
      <c r="J7" s="71"/>
      <c r="K7" s="75" t="s">
        <v>111</v>
      </c>
      <c r="L7" s="72"/>
      <c r="M7" s="72"/>
      <c r="N7" s="72"/>
      <c r="O7" s="76"/>
    </row>
    <row r="8" spans="1:15" ht="22.15" customHeight="1" x14ac:dyDescent="0.35">
      <c r="A8" s="70" t="s">
        <v>66</v>
      </c>
      <c r="B8" s="71"/>
      <c r="C8" s="75" t="s">
        <v>111</v>
      </c>
      <c r="D8" s="72"/>
      <c r="E8" s="72"/>
      <c r="F8" s="72"/>
      <c r="G8" s="72"/>
      <c r="H8" s="72"/>
      <c r="I8" s="71" t="s">
        <v>67</v>
      </c>
      <c r="J8" s="71"/>
      <c r="K8" s="75" t="s">
        <v>115</v>
      </c>
      <c r="L8" s="72"/>
      <c r="M8" s="71" t="s">
        <v>68</v>
      </c>
      <c r="N8" s="71"/>
      <c r="O8" s="13" t="s">
        <v>114</v>
      </c>
    </row>
    <row r="9" spans="1:15" ht="22.15" customHeight="1" x14ac:dyDescent="0.35">
      <c r="A9" s="70" t="s">
        <v>69</v>
      </c>
      <c r="B9" s="71"/>
      <c r="C9" s="75" t="s">
        <v>113</v>
      </c>
      <c r="D9" s="72"/>
      <c r="E9" s="71" t="s">
        <v>70</v>
      </c>
      <c r="F9" s="71"/>
      <c r="G9" s="75" t="s">
        <v>114</v>
      </c>
      <c r="H9" s="72"/>
      <c r="I9" s="71" t="s">
        <v>71</v>
      </c>
      <c r="J9" s="71"/>
      <c r="K9" s="75" t="s">
        <v>116</v>
      </c>
      <c r="L9" s="72"/>
      <c r="M9" s="71" t="s">
        <v>72</v>
      </c>
      <c r="N9" s="71"/>
      <c r="O9" s="2">
        <v>46153</v>
      </c>
    </row>
    <row r="10" spans="1:15" ht="22.15" customHeight="1" x14ac:dyDescent="0.35">
      <c r="A10" s="70" t="s">
        <v>73</v>
      </c>
      <c r="B10" s="71"/>
      <c r="C10" s="77" t="s">
        <v>139</v>
      </c>
      <c r="D10" s="72"/>
      <c r="E10" s="71" t="s">
        <v>74</v>
      </c>
      <c r="F10" s="71"/>
      <c r="G10" s="72"/>
      <c r="H10" s="72"/>
      <c r="I10" s="71" t="s">
        <v>75</v>
      </c>
      <c r="J10" s="71"/>
      <c r="K10" s="72"/>
      <c r="L10" s="72"/>
      <c r="M10" s="71" t="s">
        <v>76</v>
      </c>
      <c r="N10" s="71"/>
      <c r="O10" s="13" t="s">
        <v>117</v>
      </c>
    </row>
    <row r="11" spans="1:15" ht="15" thickBot="1" x14ac:dyDescent="0.4">
      <c r="A11" s="3" t="s">
        <v>140</v>
      </c>
      <c r="O11" s="4"/>
    </row>
    <row r="12" spans="1:15" ht="34.15" customHeight="1" thickBot="1" x14ac:dyDescent="0.4">
      <c r="A12" s="5" t="s">
        <v>77</v>
      </c>
      <c r="B12" s="15" t="s">
        <v>78</v>
      </c>
      <c r="C12" s="15" t="s">
        <v>79</v>
      </c>
      <c r="D12" s="15" t="s">
        <v>80</v>
      </c>
      <c r="E12" s="15" t="s">
        <v>81</v>
      </c>
      <c r="F12" s="15" t="s">
        <v>82</v>
      </c>
      <c r="G12" s="15" t="s">
        <v>83</v>
      </c>
      <c r="H12" s="15" t="s">
        <v>84</v>
      </c>
      <c r="I12" s="15" t="s">
        <v>85</v>
      </c>
      <c r="J12" s="15" t="s">
        <v>86</v>
      </c>
      <c r="K12" s="15" t="s">
        <v>87</v>
      </c>
      <c r="L12" s="15" t="s">
        <v>88</v>
      </c>
      <c r="M12" s="15" t="s">
        <v>89</v>
      </c>
      <c r="N12" s="15" t="s">
        <v>90</v>
      </c>
      <c r="O12" s="22" t="s">
        <v>91</v>
      </c>
    </row>
    <row r="13" spans="1:15" ht="21" customHeight="1" x14ac:dyDescent="0.35">
      <c r="A13" s="21">
        <v>1</v>
      </c>
      <c r="B13" s="18"/>
      <c r="C13" s="33" t="s">
        <v>36</v>
      </c>
      <c r="D13" s="16" t="s">
        <v>125</v>
      </c>
      <c r="E13" s="16" t="s">
        <v>146</v>
      </c>
      <c r="F13" s="16" t="s">
        <v>115</v>
      </c>
      <c r="G13" s="16">
        <v>14</v>
      </c>
      <c r="H13" s="16" t="s">
        <v>118</v>
      </c>
      <c r="I13" s="16" t="s">
        <v>119</v>
      </c>
      <c r="J13" s="16">
        <v>8000</v>
      </c>
      <c r="K13" s="16">
        <v>1500</v>
      </c>
      <c r="L13" s="16">
        <v>4</v>
      </c>
      <c r="M13" s="16">
        <v>5281</v>
      </c>
      <c r="N13" s="26"/>
      <c r="O13" s="27"/>
    </row>
    <row r="14" spans="1:15" ht="21" customHeight="1" x14ac:dyDescent="0.35">
      <c r="A14" s="21">
        <v>2</v>
      </c>
      <c r="B14" s="18"/>
      <c r="C14" s="17" t="s">
        <v>37</v>
      </c>
      <c r="D14" s="14" t="s">
        <v>123</v>
      </c>
      <c r="E14" s="14" t="s">
        <v>146</v>
      </c>
      <c r="F14" s="14" t="s">
        <v>115</v>
      </c>
      <c r="G14" s="14">
        <v>8</v>
      </c>
      <c r="H14" s="14" t="s">
        <v>118</v>
      </c>
      <c r="I14" s="14" t="s">
        <v>119</v>
      </c>
      <c r="J14" s="14">
        <v>6900</v>
      </c>
      <c r="K14" s="14">
        <v>1500</v>
      </c>
      <c r="L14" s="14">
        <v>8</v>
      </c>
      <c r="M14" s="14">
        <v>5209</v>
      </c>
      <c r="N14" s="26"/>
      <c r="O14" s="27"/>
    </row>
    <row r="15" spans="1:15" ht="21" customHeight="1" x14ac:dyDescent="0.35">
      <c r="A15" s="21">
        <v>3</v>
      </c>
      <c r="B15" s="18"/>
      <c r="C15" s="17" t="s">
        <v>38</v>
      </c>
      <c r="D15" s="14" t="s">
        <v>124</v>
      </c>
      <c r="E15" s="14" t="s">
        <v>146</v>
      </c>
      <c r="F15" s="14" t="s">
        <v>115</v>
      </c>
      <c r="G15" s="14">
        <v>6</v>
      </c>
      <c r="H15" s="14" t="s">
        <v>118</v>
      </c>
      <c r="I15" s="14" t="s">
        <v>119</v>
      </c>
      <c r="J15" s="14">
        <v>6900</v>
      </c>
      <c r="K15" s="14">
        <v>1500</v>
      </c>
      <c r="L15" s="14">
        <v>10</v>
      </c>
      <c r="M15" s="14">
        <v>4482</v>
      </c>
      <c r="N15" s="26"/>
      <c r="O15" s="27"/>
    </row>
    <row r="16" spans="1:15" ht="21" customHeight="1" x14ac:dyDescent="0.35">
      <c r="A16" s="21">
        <v>4</v>
      </c>
      <c r="B16" s="18"/>
      <c r="C16" s="17" t="s">
        <v>39</v>
      </c>
      <c r="D16" s="14" t="s">
        <v>124</v>
      </c>
      <c r="E16" s="14" t="s">
        <v>146</v>
      </c>
      <c r="F16" s="14" t="s">
        <v>115</v>
      </c>
      <c r="G16" s="14">
        <v>5</v>
      </c>
      <c r="H16" s="14" t="s">
        <v>118</v>
      </c>
      <c r="I16" s="14" t="s">
        <v>119</v>
      </c>
      <c r="J16" s="14">
        <v>6900</v>
      </c>
      <c r="K16" s="14">
        <v>1500</v>
      </c>
      <c r="L16" s="14">
        <v>10</v>
      </c>
      <c r="M16" s="14">
        <v>4481</v>
      </c>
      <c r="N16" s="26"/>
      <c r="O16" s="27"/>
    </row>
    <row r="17" spans="1:15" ht="21" customHeight="1" x14ac:dyDescent="0.35">
      <c r="A17" s="21">
        <v>5</v>
      </c>
      <c r="B17" s="18"/>
      <c r="C17" s="17" t="s">
        <v>40</v>
      </c>
      <c r="D17" s="14" t="s">
        <v>126</v>
      </c>
      <c r="E17" s="14" t="s">
        <v>145</v>
      </c>
      <c r="F17" s="14" t="s">
        <v>115</v>
      </c>
      <c r="G17" s="14">
        <v>5</v>
      </c>
      <c r="H17" s="14" t="s">
        <v>118</v>
      </c>
      <c r="I17" s="14" t="s">
        <v>119</v>
      </c>
      <c r="J17" s="14">
        <v>8000</v>
      </c>
      <c r="K17" s="14">
        <v>1500</v>
      </c>
      <c r="L17" s="14">
        <v>12</v>
      </c>
      <c r="M17" s="14">
        <v>5677</v>
      </c>
      <c r="N17" s="26"/>
      <c r="O17" s="27"/>
    </row>
    <row r="18" spans="1:15" ht="21" customHeight="1" x14ac:dyDescent="0.35">
      <c r="A18" s="21">
        <v>6</v>
      </c>
      <c r="B18" s="28"/>
      <c r="C18" s="17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29"/>
      <c r="O18" s="27"/>
    </row>
    <row r="19" spans="1:15" ht="21" customHeight="1" x14ac:dyDescent="0.35">
      <c r="A19" s="21">
        <v>7</v>
      </c>
      <c r="B19" s="28"/>
      <c r="C19" s="28"/>
      <c r="D19" s="28"/>
      <c r="E19" s="28"/>
      <c r="F19" s="28"/>
      <c r="G19" s="29"/>
      <c r="H19" s="28"/>
      <c r="I19" s="28"/>
      <c r="J19" s="30"/>
      <c r="K19" s="30"/>
      <c r="L19" s="30"/>
      <c r="M19" s="29"/>
      <c r="N19" s="29"/>
      <c r="O19" s="32" t="str">
        <f t="shared" ref="O19:O22" si="0">IF(COUNTA(J19:L19)=3,J19*K19*L19/1000000,"")</f>
        <v/>
      </c>
    </row>
    <row r="20" spans="1:15" ht="21" customHeight="1" x14ac:dyDescent="0.35">
      <c r="A20" s="21">
        <v>8</v>
      </c>
      <c r="B20" s="28"/>
      <c r="C20" s="28"/>
      <c r="D20" s="28"/>
      <c r="E20" s="28"/>
      <c r="F20" s="28"/>
      <c r="G20" s="29"/>
      <c r="H20" s="28"/>
      <c r="I20" s="28"/>
      <c r="J20" s="30"/>
      <c r="K20" s="30"/>
      <c r="L20" s="30"/>
      <c r="M20" s="29"/>
      <c r="N20" s="29"/>
      <c r="O20" s="32" t="str">
        <f t="shared" si="0"/>
        <v/>
      </c>
    </row>
    <row r="21" spans="1:15" ht="21" customHeight="1" x14ac:dyDescent="0.35">
      <c r="A21" s="21">
        <v>9</v>
      </c>
      <c r="B21" s="28"/>
      <c r="C21" s="28"/>
      <c r="D21" s="28"/>
      <c r="E21" s="28"/>
      <c r="F21" s="28"/>
      <c r="G21" s="29"/>
      <c r="H21" s="28"/>
      <c r="I21" s="28"/>
      <c r="J21" s="30"/>
      <c r="K21" s="30"/>
      <c r="L21" s="30"/>
      <c r="M21" s="29"/>
      <c r="N21" s="29"/>
      <c r="O21" s="32" t="str">
        <f t="shared" si="0"/>
        <v/>
      </c>
    </row>
    <row r="22" spans="1:15" ht="21" customHeight="1" thickBot="1" x14ac:dyDescent="0.4">
      <c r="A22" s="21">
        <v>10</v>
      </c>
      <c r="B22" s="28"/>
      <c r="C22" s="28"/>
      <c r="D22" s="28"/>
      <c r="E22" s="28"/>
      <c r="F22" s="28"/>
      <c r="G22" s="29"/>
      <c r="H22" s="28"/>
      <c r="I22" s="28"/>
      <c r="J22" s="30"/>
      <c r="K22" s="30"/>
      <c r="L22" s="30"/>
      <c r="M22" s="29"/>
      <c r="N22" s="29"/>
      <c r="O22" s="32" t="str">
        <f t="shared" si="0"/>
        <v/>
      </c>
    </row>
    <row r="23" spans="1:15" ht="22.15" customHeight="1" thickBot="1" x14ac:dyDescent="0.4">
      <c r="A23" s="74" t="s">
        <v>92</v>
      </c>
      <c r="B23" s="68"/>
      <c r="C23" s="68"/>
      <c r="D23" s="68"/>
      <c r="E23" s="68"/>
      <c r="F23" s="68"/>
      <c r="G23" s="23">
        <f>SUM(G13:G22)</f>
        <v>38</v>
      </c>
      <c r="H23" s="24"/>
      <c r="I23" s="24"/>
      <c r="J23" s="24"/>
      <c r="K23" s="24"/>
      <c r="L23" s="24"/>
      <c r="M23" s="23">
        <f>SUM(M13:M22)</f>
        <v>25130</v>
      </c>
      <c r="N23" s="23">
        <f>SUM(N13:N22)</f>
        <v>0</v>
      </c>
      <c r="O23" s="25">
        <f>SUM(O13:O22)</f>
        <v>0</v>
      </c>
    </row>
    <row r="24" spans="1:15" x14ac:dyDescent="0.35">
      <c r="A24" s="3"/>
      <c r="O24" s="4"/>
    </row>
    <row r="25" spans="1:15" ht="22.15" customHeight="1" x14ac:dyDescent="0.35">
      <c r="A25" s="70" t="s">
        <v>93</v>
      </c>
      <c r="B25" s="71"/>
      <c r="C25" s="6">
        <f>COUNTA(B13:B22)</f>
        <v>0</v>
      </c>
      <c r="D25" s="71" t="s">
        <v>94</v>
      </c>
      <c r="E25" s="71"/>
      <c r="F25" s="7">
        <f>SUM(G13:G22)</f>
        <v>38</v>
      </c>
      <c r="G25" s="71" t="s">
        <v>95</v>
      </c>
      <c r="H25" s="71"/>
      <c r="I25" s="7">
        <f>SUM(M13:M22)</f>
        <v>25130</v>
      </c>
      <c r="J25" s="71" t="s">
        <v>96</v>
      </c>
      <c r="K25" s="71"/>
      <c r="L25" s="7">
        <f>SUM(N13:N22)</f>
        <v>0</v>
      </c>
      <c r="M25" s="71" t="s">
        <v>97</v>
      </c>
      <c r="N25" s="71"/>
      <c r="O25" s="8">
        <f>SUM(O13:O22)</f>
        <v>0</v>
      </c>
    </row>
    <row r="26" spans="1:15" ht="15" thickBot="1" x14ac:dyDescent="0.4">
      <c r="A26" s="3"/>
      <c r="O26" s="4"/>
    </row>
    <row r="27" spans="1:15" ht="19.899999999999999" customHeight="1" thickBot="1" x14ac:dyDescent="0.4">
      <c r="A27" s="78" t="s">
        <v>98</v>
      </c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80"/>
    </row>
    <row r="28" spans="1:15" ht="24" customHeight="1" thickBot="1" x14ac:dyDescent="0.4">
      <c r="A28" s="81" t="s">
        <v>99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80"/>
    </row>
    <row r="29" spans="1:15" ht="24" customHeight="1" thickBot="1" x14ac:dyDescent="0.4">
      <c r="A29" s="82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80"/>
    </row>
    <row r="30" spans="1:15" ht="15" thickBot="1" x14ac:dyDescent="0.4">
      <c r="A30" s="3"/>
      <c r="O30" s="4"/>
    </row>
    <row r="31" spans="1:15" ht="19.899999999999999" customHeight="1" thickBot="1" x14ac:dyDescent="0.4">
      <c r="A31" s="78" t="s">
        <v>100</v>
      </c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80"/>
    </row>
    <row r="32" spans="1:15" ht="22.15" customHeight="1" thickBot="1" x14ac:dyDescent="0.4">
      <c r="A32" s="83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5"/>
    </row>
    <row r="33" spans="1:15" ht="19.899999999999999" customHeight="1" x14ac:dyDescent="0.35">
      <c r="A33" s="92" t="s">
        <v>101</v>
      </c>
      <c r="B33" s="93"/>
      <c r="C33" s="93"/>
      <c r="D33" s="94" t="s">
        <v>102</v>
      </c>
      <c r="E33" s="93"/>
      <c r="F33" s="93"/>
      <c r="G33" s="94" t="s">
        <v>103</v>
      </c>
      <c r="H33" s="93"/>
      <c r="I33" s="93"/>
      <c r="J33" s="94" t="s">
        <v>104</v>
      </c>
      <c r="K33" s="93"/>
      <c r="L33" s="93"/>
      <c r="M33" s="94" t="s">
        <v>105</v>
      </c>
      <c r="N33" s="93"/>
      <c r="O33" s="95"/>
    </row>
    <row r="34" spans="1:15" ht="19.899999999999999" customHeight="1" x14ac:dyDescent="0.35">
      <c r="A34" s="9"/>
      <c r="B34" s="10"/>
      <c r="C34" s="10"/>
      <c r="D34" s="11"/>
      <c r="E34" s="10"/>
      <c r="F34" s="10"/>
      <c r="G34" s="11"/>
      <c r="H34" s="10"/>
      <c r="I34" s="10"/>
      <c r="J34" s="11"/>
      <c r="K34" s="10"/>
      <c r="L34" s="10"/>
      <c r="M34" s="11"/>
      <c r="N34" s="10"/>
      <c r="O34" s="12"/>
    </row>
    <row r="35" spans="1:15" ht="19.899999999999999" customHeight="1" x14ac:dyDescent="0.35">
      <c r="A35" s="9"/>
      <c r="B35" s="10"/>
      <c r="C35" s="10"/>
      <c r="D35" s="11"/>
      <c r="E35" s="10"/>
      <c r="F35" s="10"/>
      <c r="G35" s="11"/>
      <c r="H35" s="10"/>
      <c r="I35" s="10"/>
      <c r="J35" s="11"/>
      <c r="K35" s="10"/>
      <c r="L35" s="10"/>
      <c r="M35" s="11"/>
      <c r="N35" s="10"/>
      <c r="O35" s="12"/>
    </row>
    <row r="36" spans="1:15" ht="19.899999999999999" customHeight="1" thickBot="1" x14ac:dyDescent="0.4">
      <c r="A36" s="9"/>
      <c r="B36" s="10"/>
      <c r="C36" s="10"/>
      <c r="D36" s="11"/>
      <c r="E36" s="10"/>
      <c r="F36" s="10"/>
      <c r="G36" s="11"/>
      <c r="H36" s="10"/>
      <c r="I36" s="10"/>
      <c r="J36" s="11"/>
      <c r="K36" s="10"/>
      <c r="L36" s="10"/>
      <c r="M36" s="11"/>
      <c r="N36" s="10"/>
      <c r="O36" s="12"/>
    </row>
    <row r="37" spans="1:15" ht="18.5" x14ac:dyDescent="0.35">
      <c r="A37" s="96" t="s">
        <v>106</v>
      </c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8"/>
    </row>
    <row r="38" spans="1:15" ht="14.5" customHeight="1" x14ac:dyDescent="0.35">
      <c r="A38" s="86" t="s">
        <v>107</v>
      </c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8"/>
    </row>
    <row r="39" spans="1:15" ht="15" thickBot="1" x14ac:dyDescent="0.4">
      <c r="A39" s="89"/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1"/>
    </row>
  </sheetData>
  <mergeCells count="62">
    <mergeCell ref="A38:O39"/>
    <mergeCell ref="A33:C33"/>
    <mergeCell ref="D33:F33"/>
    <mergeCell ref="G33:I33"/>
    <mergeCell ref="J33:L33"/>
    <mergeCell ref="M33:O33"/>
    <mergeCell ref="A37:O37"/>
    <mergeCell ref="A28:O29"/>
    <mergeCell ref="A31:O31"/>
    <mergeCell ref="A32:C32"/>
    <mergeCell ref="D32:F32"/>
    <mergeCell ref="G32:I32"/>
    <mergeCell ref="J32:L32"/>
    <mergeCell ref="M32:O32"/>
    <mergeCell ref="A25:B25"/>
    <mergeCell ref="D25:E25"/>
    <mergeCell ref="G25:H25"/>
    <mergeCell ref="J25:K25"/>
    <mergeCell ref="A27:O27"/>
    <mergeCell ref="M25:N25"/>
    <mergeCell ref="K10:L10"/>
    <mergeCell ref="M10:N10"/>
    <mergeCell ref="A9:B9"/>
    <mergeCell ref="C9:D9"/>
    <mergeCell ref="E9:F9"/>
    <mergeCell ref="G9:H9"/>
    <mergeCell ref="I9:J9"/>
    <mergeCell ref="K9:L9"/>
    <mergeCell ref="A23:F23"/>
    <mergeCell ref="A7:B7"/>
    <mergeCell ref="C7:H7"/>
    <mergeCell ref="I7:J7"/>
    <mergeCell ref="K7:O7"/>
    <mergeCell ref="A8:B8"/>
    <mergeCell ref="C8:H8"/>
    <mergeCell ref="I8:J8"/>
    <mergeCell ref="K8:L8"/>
    <mergeCell ref="M8:N8"/>
    <mergeCell ref="M9:N9"/>
    <mergeCell ref="A10:B10"/>
    <mergeCell ref="C10:D10"/>
    <mergeCell ref="E10:F10"/>
    <mergeCell ref="G10:H10"/>
    <mergeCell ref="I10:J10"/>
    <mergeCell ref="A5:O5"/>
    <mergeCell ref="A6:B6"/>
    <mergeCell ref="C6:D6"/>
    <mergeCell ref="E6:F6"/>
    <mergeCell ref="G6:H6"/>
    <mergeCell ref="I6:J6"/>
    <mergeCell ref="K6:L6"/>
    <mergeCell ref="M6:N6"/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</mergeCells>
  <pageMargins left="0.7" right="0.7" top="0.75" bottom="0.75" header="0.3" footer="0.3"/>
  <pageSetup paperSize="9" scale="48"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98464-4608-4427-BE4C-AC0EFA1A12FE}">
  <sheetPr>
    <tabColor theme="9" tint="0.79998168889431442"/>
  </sheetPr>
  <dimension ref="A1:O39"/>
  <sheetViews>
    <sheetView showGridLines="0" view="pageBreakPreview" zoomScale="60" zoomScaleNormal="70" workbookViewId="0">
      <selection activeCell="K6" sqref="K6:L6"/>
    </sheetView>
  </sheetViews>
  <sheetFormatPr defaultRowHeight="14.5" x14ac:dyDescent="0.35"/>
  <cols>
    <col min="1" max="1" width="8" style="1" customWidth="1"/>
    <col min="2" max="2" width="13" style="1" customWidth="1"/>
    <col min="3" max="3" width="11.7265625" style="1" bestFit="1" customWidth="1"/>
    <col min="4" max="4" width="30.26953125" style="1" bestFit="1" customWidth="1"/>
    <col min="5" max="5" width="15.08984375" style="1" bestFit="1" customWidth="1"/>
    <col min="6" max="6" width="6.54296875" style="1" bestFit="1" customWidth="1"/>
    <col min="7" max="8" width="8" style="1" customWidth="1"/>
    <col min="9" max="9" width="11.26953125" style="1" bestFit="1" customWidth="1"/>
    <col min="10" max="10" width="7.90625" style="1" customWidth="1"/>
    <col min="11" max="11" width="8.26953125" style="1" customWidth="1"/>
    <col min="12" max="12" width="8.36328125" style="1" customWidth="1"/>
    <col min="13" max="13" width="12" style="1" customWidth="1"/>
    <col min="14" max="14" width="13" style="1" customWidth="1"/>
    <col min="15" max="15" width="12" style="1" customWidth="1"/>
    <col min="16" max="16384" width="8.7265625" style="1"/>
  </cols>
  <sheetData>
    <row r="1" spans="1:15" ht="17.25" customHeight="1" x14ac:dyDescent="0.35">
      <c r="A1" s="37" t="e" vm="1">
        <v>#VALUE!</v>
      </c>
      <c r="B1" s="38"/>
      <c r="C1" s="39"/>
      <c r="D1" s="46" t="s">
        <v>51</v>
      </c>
      <c r="E1" s="47"/>
      <c r="F1" s="47"/>
      <c r="G1" s="47"/>
      <c r="H1" s="47"/>
      <c r="I1" s="47"/>
      <c r="J1" s="47"/>
      <c r="K1" s="48"/>
      <c r="L1" s="55" t="s">
        <v>52</v>
      </c>
      <c r="M1" s="56"/>
      <c r="N1" s="57">
        <v>46098</v>
      </c>
      <c r="O1" s="58"/>
    </row>
    <row r="2" spans="1:15" ht="18" customHeight="1" x14ac:dyDescent="0.35">
      <c r="A2" s="40"/>
      <c r="B2" s="41"/>
      <c r="C2" s="42"/>
      <c r="D2" s="49"/>
      <c r="E2" s="50"/>
      <c r="F2" s="50"/>
      <c r="G2" s="50"/>
      <c r="H2" s="50"/>
      <c r="I2" s="50"/>
      <c r="J2" s="50"/>
      <c r="K2" s="51"/>
      <c r="L2" s="59" t="s">
        <v>53</v>
      </c>
      <c r="M2" s="60"/>
      <c r="N2" s="61" t="s">
        <v>54</v>
      </c>
      <c r="O2" s="62"/>
    </row>
    <row r="3" spans="1:15" ht="16.5" customHeight="1" x14ac:dyDescent="0.35">
      <c r="A3" s="40"/>
      <c r="B3" s="41"/>
      <c r="C3" s="42"/>
      <c r="D3" s="49"/>
      <c r="E3" s="50"/>
      <c r="F3" s="50"/>
      <c r="G3" s="50"/>
      <c r="H3" s="50"/>
      <c r="I3" s="50"/>
      <c r="J3" s="50"/>
      <c r="K3" s="51"/>
      <c r="L3" s="59" t="s">
        <v>55</v>
      </c>
      <c r="M3" s="60"/>
      <c r="N3" s="61" t="s">
        <v>56</v>
      </c>
      <c r="O3" s="62"/>
    </row>
    <row r="4" spans="1:15" ht="15.75" customHeight="1" thickBot="1" x14ac:dyDescent="0.4">
      <c r="A4" s="43"/>
      <c r="B4" s="44"/>
      <c r="C4" s="45"/>
      <c r="D4" s="52"/>
      <c r="E4" s="53"/>
      <c r="F4" s="53"/>
      <c r="G4" s="53"/>
      <c r="H4" s="53"/>
      <c r="I4" s="53"/>
      <c r="J4" s="53"/>
      <c r="K4" s="54"/>
      <c r="L4" s="63" t="s">
        <v>57</v>
      </c>
      <c r="M4" s="64"/>
      <c r="N4" s="65" t="s">
        <v>58</v>
      </c>
      <c r="O4" s="66"/>
    </row>
    <row r="5" spans="1:15" ht="19.899999999999999" customHeight="1" thickBot="1" x14ac:dyDescent="0.4">
      <c r="A5" s="67" t="s">
        <v>59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9"/>
    </row>
    <row r="6" spans="1:15" ht="22.15" customHeight="1" x14ac:dyDescent="0.35">
      <c r="A6" s="70" t="s">
        <v>60</v>
      </c>
      <c r="B6" s="71"/>
      <c r="C6" s="75" t="s">
        <v>160</v>
      </c>
      <c r="D6" s="72"/>
      <c r="E6" s="71" t="s">
        <v>61</v>
      </c>
      <c r="F6" s="71"/>
      <c r="G6" s="73">
        <v>46118</v>
      </c>
      <c r="H6" s="72"/>
      <c r="I6" s="71" t="s">
        <v>62</v>
      </c>
      <c r="J6" s="71"/>
      <c r="K6" s="72" t="s">
        <v>159</v>
      </c>
      <c r="L6" s="72"/>
      <c r="M6" s="71" t="s">
        <v>63</v>
      </c>
      <c r="N6" s="71"/>
      <c r="O6" s="13" t="s">
        <v>112</v>
      </c>
    </row>
    <row r="7" spans="1:15" ht="22.15" customHeight="1" x14ac:dyDescent="0.35">
      <c r="A7" s="70" t="s">
        <v>64</v>
      </c>
      <c r="B7" s="71"/>
      <c r="C7" s="75" t="s">
        <v>106</v>
      </c>
      <c r="D7" s="72"/>
      <c r="E7" s="72"/>
      <c r="F7" s="72"/>
      <c r="G7" s="72"/>
      <c r="H7" s="72"/>
      <c r="I7" s="71" t="s">
        <v>65</v>
      </c>
      <c r="J7" s="71"/>
      <c r="K7" s="75" t="s">
        <v>111</v>
      </c>
      <c r="L7" s="72"/>
      <c r="M7" s="72"/>
      <c r="N7" s="72"/>
      <c r="O7" s="76"/>
    </row>
    <row r="8" spans="1:15" ht="22.15" customHeight="1" x14ac:dyDescent="0.35">
      <c r="A8" s="70" t="s">
        <v>66</v>
      </c>
      <c r="B8" s="71"/>
      <c r="C8" s="75" t="s">
        <v>111</v>
      </c>
      <c r="D8" s="72"/>
      <c r="E8" s="72"/>
      <c r="F8" s="72"/>
      <c r="G8" s="72"/>
      <c r="H8" s="72"/>
      <c r="I8" s="71" t="s">
        <v>67</v>
      </c>
      <c r="J8" s="71"/>
      <c r="K8" s="75" t="s">
        <v>115</v>
      </c>
      <c r="L8" s="72"/>
      <c r="M8" s="71" t="s">
        <v>68</v>
      </c>
      <c r="N8" s="71"/>
      <c r="O8" s="13" t="s">
        <v>114</v>
      </c>
    </row>
    <row r="9" spans="1:15" ht="22.15" customHeight="1" x14ac:dyDescent="0.35">
      <c r="A9" s="70" t="s">
        <v>69</v>
      </c>
      <c r="B9" s="71"/>
      <c r="C9" s="75" t="s">
        <v>113</v>
      </c>
      <c r="D9" s="72"/>
      <c r="E9" s="71" t="s">
        <v>70</v>
      </c>
      <c r="F9" s="71"/>
      <c r="G9" s="75" t="s">
        <v>114</v>
      </c>
      <c r="H9" s="72"/>
      <c r="I9" s="71" t="s">
        <v>71</v>
      </c>
      <c r="J9" s="71"/>
      <c r="K9" s="75" t="s">
        <v>116</v>
      </c>
      <c r="L9" s="72"/>
      <c r="M9" s="71" t="s">
        <v>72</v>
      </c>
      <c r="N9" s="71"/>
      <c r="O9" s="2">
        <v>46153</v>
      </c>
    </row>
    <row r="10" spans="1:15" ht="22.15" customHeight="1" x14ac:dyDescent="0.35">
      <c r="A10" s="70" t="s">
        <v>73</v>
      </c>
      <c r="B10" s="71"/>
      <c r="C10" s="77" t="s">
        <v>141</v>
      </c>
      <c r="D10" s="72"/>
      <c r="E10" s="71" t="s">
        <v>74</v>
      </c>
      <c r="F10" s="71"/>
      <c r="G10" s="72"/>
      <c r="H10" s="72"/>
      <c r="I10" s="71" t="s">
        <v>75</v>
      </c>
      <c r="J10" s="71"/>
      <c r="K10" s="72"/>
      <c r="L10" s="72"/>
      <c r="M10" s="71" t="s">
        <v>76</v>
      </c>
      <c r="N10" s="71"/>
      <c r="O10" s="13" t="s">
        <v>117</v>
      </c>
    </row>
    <row r="11" spans="1:15" ht="15" thickBot="1" x14ac:dyDescent="0.4">
      <c r="A11" s="3" t="s">
        <v>142</v>
      </c>
      <c r="O11" s="4"/>
    </row>
    <row r="12" spans="1:15" ht="34.15" customHeight="1" thickBot="1" x14ac:dyDescent="0.4">
      <c r="A12" s="5" t="s">
        <v>77</v>
      </c>
      <c r="B12" s="15" t="s">
        <v>78</v>
      </c>
      <c r="C12" s="15" t="s">
        <v>79</v>
      </c>
      <c r="D12" s="15" t="s">
        <v>80</v>
      </c>
      <c r="E12" s="15" t="s">
        <v>81</v>
      </c>
      <c r="F12" s="15" t="s">
        <v>82</v>
      </c>
      <c r="G12" s="15" t="s">
        <v>83</v>
      </c>
      <c r="H12" s="15" t="s">
        <v>84</v>
      </c>
      <c r="I12" s="15" t="s">
        <v>85</v>
      </c>
      <c r="J12" s="15" t="s">
        <v>86</v>
      </c>
      <c r="K12" s="15" t="s">
        <v>87</v>
      </c>
      <c r="L12" s="15" t="s">
        <v>88</v>
      </c>
      <c r="M12" s="15" t="s">
        <v>89</v>
      </c>
      <c r="N12" s="15" t="s">
        <v>90</v>
      </c>
      <c r="O12" s="22" t="s">
        <v>91</v>
      </c>
    </row>
    <row r="13" spans="1:15" ht="21" customHeight="1" x14ac:dyDescent="0.35">
      <c r="A13" s="21">
        <v>1</v>
      </c>
      <c r="B13" s="18"/>
      <c r="C13" s="33" t="s">
        <v>41</v>
      </c>
      <c r="D13" s="16" t="s">
        <v>129</v>
      </c>
      <c r="E13" s="16" t="s">
        <v>146</v>
      </c>
      <c r="F13" s="16" t="s">
        <v>115</v>
      </c>
      <c r="G13" s="16">
        <v>17</v>
      </c>
      <c r="H13" s="16" t="s">
        <v>118</v>
      </c>
      <c r="I13" s="16" t="s">
        <v>119</v>
      </c>
      <c r="J13" s="16">
        <v>8000</v>
      </c>
      <c r="K13" s="16">
        <v>1500</v>
      </c>
      <c r="L13" s="16">
        <v>3</v>
      </c>
      <c r="M13" s="16">
        <v>4773</v>
      </c>
      <c r="N13" s="26"/>
      <c r="O13" s="27"/>
    </row>
    <row r="14" spans="1:15" ht="21" customHeight="1" x14ac:dyDescent="0.35">
      <c r="A14" s="21">
        <v>2</v>
      </c>
      <c r="B14" s="18"/>
      <c r="C14" s="17" t="s">
        <v>42</v>
      </c>
      <c r="D14" s="14" t="s">
        <v>123</v>
      </c>
      <c r="E14" s="14" t="s">
        <v>146</v>
      </c>
      <c r="F14" s="14" t="s">
        <v>115</v>
      </c>
      <c r="G14" s="14">
        <v>8</v>
      </c>
      <c r="H14" s="14" t="s">
        <v>118</v>
      </c>
      <c r="I14" s="14" t="s">
        <v>119</v>
      </c>
      <c r="J14" s="14">
        <v>6900</v>
      </c>
      <c r="K14" s="14">
        <v>1500</v>
      </c>
      <c r="L14" s="14">
        <v>8</v>
      </c>
      <c r="M14" s="14">
        <v>5209</v>
      </c>
      <c r="N14" s="26"/>
      <c r="O14" s="27"/>
    </row>
    <row r="15" spans="1:15" ht="21" customHeight="1" x14ac:dyDescent="0.35">
      <c r="A15" s="21">
        <v>3</v>
      </c>
      <c r="B15" s="18"/>
      <c r="C15" s="17" t="s">
        <v>43</v>
      </c>
      <c r="D15" s="14" t="s">
        <v>127</v>
      </c>
      <c r="E15" s="14" t="s">
        <v>145</v>
      </c>
      <c r="F15" s="14" t="s">
        <v>115</v>
      </c>
      <c r="G15" s="14">
        <v>5</v>
      </c>
      <c r="H15" s="14" t="s">
        <v>118</v>
      </c>
      <c r="I15" s="14" t="s">
        <v>119</v>
      </c>
      <c r="J15" s="14">
        <v>6900</v>
      </c>
      <c r="K15" s="14">
        <v>1500</v>
      </c>
      <c r="L15" s="14">
        <v>12</v>
      </c>
      <c r="M15" s="14">
        <v>4910</v>
      </c>
      <c r="N15" s="26"/>
      <c r="O15" s="27"/>
    </row>
    <row r="16" spans="1:15" ht="21" customHeight="1" x14ac:dyDescent="0.35">
      <c r="A16" s="21">
        <v>4</v>
      </c>
      <c r="B16" s="18"/>
      <c r="C16" s="17" t="s">
        <v>44</v>
      </c>
      <c r="D16" s="14" t="s">
        <v>126</v>
      </c>
      <c r="E16" s="14" t="s">
        <v>145</v>
      </c>
      <c r="F16" s="14" t="s">
        <v>115</v>
      </c>
      <c r="G16" s="14">
        <v>5</v>
      </c>
      <c r="H16" s="14" t="s">
        <v>118</v>
      </c>
      <c r="I16" s="14" t="s">
        <v>119</v>
      </c>
      <c r="J16" s="14">
        <v>8000</v>
      </c>
      <c r="K16" s="14">
        <v>1500</v>
      </c>
      <c r="L16" s="14">
        <v>12</v>
      </c>
      <c r="M16" s="14">
        <v>5678</v>
      </c>
      <c r="N16" s="26"/>
      <c r="O16" s="27"/>
    </row>
    <row r="17" spans="1:15" ht="21" customHeight="1" x14ac:dyDescent="0.35">
      <c r="A17" s="21">
        <v>5</v>
      </c>
      <c r="B17" s="18"/>
      <c r="C17" s="17" t="s">
        <v>45</v>
      </c>
      <c r="D17" s="14" t="s">
        <v>126</v>
      </c>
      <c r="E17" s="14" t="s">
        <v>145</v>
      </c>
      <c r="F17" s="14" t="s">
        <v>115</v>
      </c>
      <c r="G17" s="14">
        <v>4</v>
      </c>
      <c r="H17" s="14" t="s">
        <v>118</v>
      </c>
      <c r="I17" s="14" t="s">
        <v>119</v>
      </c>
      <c r="J17" s="14">
        <v>8000</v>
      </c>
      <c r="K17" s="14">
        <v>1500</v>
      </c>
      <c r="L17" s="14">
        <v>12</v>
      </c>
      <c r="M17" s="14">
        <v>4560</v>
      </c>
      <c r="N17" s="26"/>
      <c r="O17" s="27"/>
    </row>
    <row r="18" spans="1:15" ht="21" customHeight="1" x14ac:dyDescent="0.35">
      <c r="A18" s="21">
        <v>6</v>
      </c>
      <c r="B18" s="28"/>
      <c r="C18" s="17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29"/>
      <c r="O18" s="27"/>
    </row>
    <row r="19" spans="1:15" ht="21" customHeight="1" x14ac:dyDescent="0.35">
      <c r="A19" s="21">
        <v>7</v>
      </c>
      <c r="B19" s="28"/>
      <c r="C19" s="28"/>
      <c r="D19" s="28"/>
      <c r="E19" s="28"/>
      <c r="F19" s="28"/>
      <c r="G19" s="29"/>
      <c r="H19" s="28"/>
      <c r="I19" s="28"/>
      <c r="J19" s="30"/>
      <c r="K19" s="30"/>
      <c r="L19" s="30"/>
      <c r="M19" s="29"/>
      <c r="N19" s="29"/>
      <c r="O19" s="32" t="str">
        <f t="shared" ref="O19:O22" si="0">IF(COUNTA(J19:L19)=3,J19*K19*L19/1000000,"")</f>
        <v/>
      </c>
    </row>
    <row r="20" spans="1:15" ht="21" customHeight="1" x14ac:dyDescent="0.35">
      <c r="A20" s="21">
        <v>8</v>
      </c>
      <c r="B20" s="28"/>
      <c r="C20" s="28"/>
      <c r="D20" s="28"/>
      <c r="E20" s="28"/>
      <c r="F20" s="28"/>
      <c r="G20" s="29"/>
      <c r="H20" s="28"/>
      <c r="I20" s="28"/>
      <c r="J20" s="30"/>
      <c r="K20" s="30"/>
      <c r="L20" s="30"/>
      <c r="M20" s="29"/>
      <c r="N20" s="29"/>
      <c r="O20" s="32" t="str">
        <f t="shared" si="0"/>
        <v/>
      </c>
    </row>
    <row r="21" spans="1:15" ht="21" customHeight="1" x14ac:dyDescent="0.35">
      <c r="A21" s="21">
        <v>9</v>
      </c>
      <c r="B21" s="28"/>
      <c r="C21" s="28"/>
      <c r="D21" s="28"/>
      <c r="E21" s="28"/>
      <c r="F21" s="28"/>
      <c r="G21" s="29"/>
      <c r="H21" s="28"/>
      <c r="I21" s="28"/>
      <c r="J21" s="30"/>
      <c r="K21" s="30"/>
      <c r="L21" s="30"/>
      <c r="M21" s="29"/>
      <c r="N21" s="29"/>
      <c r="O21" s="32" t="str">
        <f t="shared" si="0"/>
        <v/>
      </c>
    </row>
    <row r="22" spans="1:15" ht="21" customHeight="1" thickBot="1" x14ac:dyDescent="0.4">
      <c r="A22" s="21">
        <v>10</v>
      </c>
      <c r="B22" s="28"/>
      <c r="C22" s="28"/>
      <c r="D22" s="28"/>
      <c r="E22" s="28"/>
      <c r="F22" s="28"/>
      <c r="G22" s="29"/>
      <c r="H22" s="28"/>
      <c r="I22" s="28"/>
      <c r="J22" s="30"/>
      <c r="K22" s="30"/>
      <c r="L22" s="30"/>
      <c r="M22" s="29"/>
      <c r="N22" s="29"/>
      <c r="O22" s="32" t="str">
        <f t="shared" si="0"/>
        <v/>
      </c>
    </row>
    <row r="23" spans="1:15" ht="22.15" customHeight="1" thickBot="1" x14ac:dyDescent="0.4">
      <c r="A23" s="74" t="s">
        <v>92</v>
      </c>
      <c r="B23" s="68"/>
      <c r="C23" s="68"/>
      <c r="D23" s="68"/>
      <c r="E23" s="68"/>
      <c r="F23" s="68"/>
      <c r="G23" s="23">
        <f>SUM(G13:G22)</f>
        <v>39</v>
      </c>
      <c r="H23" s="24"/>
      <c r="I23" s="24"/>
      <c r="J23" s="24"/>
      <c r="K23" s="24"/>
      <c r="L23" s="24"/>
      <c r="M23" s="23">
        <f>SUM(M13:M22)</f>
        <v>25130</v>
      </c>
      <c r="N23" s="23">
        <f>SUM(N13:N22)</f>
        <v>0</v>
      </c>
      <c r="O23" s="25">
        <f>SUM(O13:O22)</f>
        <v>0</v>
      </c>
    </row>
    <row r="24" spans="1:15" x14ac:dyDescent="0.35">
      <c r="A24" s="3"/>
      <c r="O24" s="4"/>
    </row>
    <row r="25" spans="1:15" ht="22.15" customHeight="1" x14ac:dyDescent="0.35">
      <c r="A25" s="70" t="s">
        <v>93</v>
      </c>
      <c r="B25" s="71"/>
      <c r="C25" s="6">
        <f>COUNTA(B13:B22)</f>
        <v>0</v>
      </c>
      <c r="D25" s="71" t="s">
        <v>94</v>
      </c>
      <c r="E25" s="71"/>
      <c r="F25" s="7">
        <f>SUM(G13:G22)</f>
        <v>39</v>
      </c>
      <c r="G25" s="71" t="s">
        <v>95</v>
      </c>
      <c r="H25" s="71"/>
      <c r="I25" s="7">
        <f>SUM(M13:M22)</f>
        <v>25130</v>
      </c>
      <c r="J25" s="71" t="s">
        <v>96</v>
      </c>
      <c r="K25" s="71"/>
      <c r="L25" s="7">
        <f>SUM(N13:N22)</f>
        <v>0</v>
      </c>
      <c r="M25" s="71" t="s">
        <v>97</v>
      </c>
      <c r="N25" s="71"/>
      <c r="O25" s="8">
        <f>SUM(O13:O22)</f>
        <v>0</v>
      </c>
    </row>
    <row r="26" spans="1:15" ht="15" thickBot="1" x14ac:dyDescent="0.4">
      <c r="A26" s="3"/>
      <c r="O26" s="4"/>
    </row>
    <row r="27" spans="1:15" ht="19.899999999999999" customHeight="1" thickBot="1" x14ac:dyDescent="0.4">
      <c r="A27" s="78" t="s">
        <v>98</v>
      </c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80"/>
    </row>
    <row r="28" spans="1:15" ht="24" customHeight="1" thickBot="1" x14ac:dyDescent="0.4">
      <c r="A28" s="81" t="s">
        <v>99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80"/>
    </row>
    <row r="29" spans="1:15" ht="24" customHeight="1" thickBot="1" x14ac:dyDescent="0.4">
      <c r="A29" s="82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80"/>
    </row>
    <row r="30" spans="1:15" ht="15" thickBot="1" x14ac:dyDescent="0.4">
      <c r="A30" s="3"/>
      <c r="O30" s="4"/>
    </row>
    <row r="31" spans="1:15" ht="19.899999999999999" customHeight="1" thickBot="1" x14ac:dyDescent="0.4">
      <c r="A31" s="78" t="s">
        <v>100</v>
      </c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80"/>
    </row>
    <row r="32" spans="1:15" ht="22.15" customHeight="1" thickBot="1" x14ac:dyDescent="0.4">
      <c r="A32" s="83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5"/>
    </row>
    <row r="33" spans="1:15" ht="19.899999999999999" customHeight="1" x14ac:dyDescent="0.35">
      <c r="A33" s="92" t="s">
        <v>101</v>
      </c>
      <c r="B33" s="93"/>
      <c r="C33" s="93"/>
      <c r="D33" s="94" t="s">
        <v>102</v>
      </c>
      <c r="E33" s="93"/>
      <c r="F33" s="93"/>
      <c r="G33" s="94" t="s">
        <v>103</v>
      </c>
      <c r="H33" s="93"/>
      <c r="I33" s="93"/>
      <c r="J33" s="94" t="s">
        <v>104</v>
      </c>
      <c r="K33" s="93"/>
      <c r="L33" s="93"/>
      <c r="M33" s="94" t="s">
        <v>105</v>
      </c>
      <c r="N33" s="93"/>
      <c r="O33" s="95"/>
    </row>
    <row r="34" spans="1:15" ht="19.899999999999999" customHeight="1" x14ac:dyDescent="0.35">
      <c r="A34" s="9"/>
      <c r="B34" s="10"/>
      <c r="C34" s="10"/>
      <c r="D34" s="11"/>
      <c r="E34" s="10"/>
      <c r="F34" s="10"/>
      <c r="G34" s="11"/>
      <c r="H34" s="10"/>
      <c r="I34" s="10"/>
      <c r="J34" s="11"/>
      <c r="K34" s="10"/>
      <c r="L34" s="10"/>
      <c r="M34" s="11"/>
      <c r="N34" s="10"/>
      <c r="O34" s="12"/>
    </row>
    <row r="35" spans="1:15" ht="19.899999999999999" customHeight="1" x14ac:dyDescent="0.35">
      <c r="A35" s="9"/>
      <c r="B35" s="10"/>
      <c r="C35" s="10"/>
      <c r="D35" s="11"/>
      <c r="E35" s="10"/>
      <c r="F35" s="10"/>
      <c r="G35" s="11"/>
      <c r="H35" s="10"/>
      <c r="I35" s="10"/>
      <c r="J35" s="11"/>
      <c r="K35" s="10"/>
      <c r="L35" s="10"/>
      <c r="M35" s="11"/>
      <c r="N35" s="10"/>
      <c r="O35" s="12"/>
    </row>
    <row r="36" spans="1:15" ht="19.899999999999999" customHeight="1" thickBot="1" x14ac:dyDescent="0.4">
      <c r="A36" s="9"/>
      <c r="B36" s="10"/>
      <c r="C36" s="10"/>
      <c r="D36" s="11"/>
      <c r="E36" s="10"/>
      <c r="F36" s="10"/>
      <c r="G36" s="11"/>
      <c r="H36" s="10"/>
      <c r="I36" s="10"/>
      <c r="J36" s="11"/>
      <c r="K36" s="10"/>
      <c r="L36" s="10"/>
      <c r="M36" s="11"/>
      <c r="N36" s="10"/>
      <c r="O36" s="12"/>
    </row>
    <row r="37" spans="1:15" ht="18.5" x14ac:dyDescent="0.35">
      <c r="A37" s="96" t="s">
        <v>106</v>
      </c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8"/>
    </row>
    <row r="38" spans="1:15" ht="14.5" customHeight="1" x14ac:dyDescent="0.35">
      <c r="A38" s="86" t="s">
        <v>107</v>
      </c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8"/>
    </row>
    <row r="39" spans="1:15" ht="15" thickBot="1" x14ac:dyDescent="0.4">
      <c r="A39" s="89"/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1"/>
    </row>
  </sheetData>
  <mergeCells count="62">
    <mergeCell ref="A38:O39"/>
    <mergeCell ref="A33:C33"/>
    <mergeCell ref="D33:F33"/>
    <mergeCell ref="G33:I33"/>
    <mergeCell ref="J33:L33"/>
    <mergeCell ref="M33:O33"/>
    <mergeCell ref="A37:O37"/>
    <mergeCell ref="A28:O29"/>
    <mergeCell ref="A31:O31"/>
    <mergeCell ref="A32:C32"/>
    <mergeCell ref="D32:F32"/>
    <mergeCell ref="G32:I32"/>
    <mergeCell ref="J32:L32"/>
    <mergeCell ref="M32:O32"/>
    <mergeCell ref="A25:B25"/>
    <mergeCell ref="D25:E25"/>
    <mergeCell ref="G25:H25"/>
    <mergeCell ref="J25:K25"/>
    <mergeCell ref="A27:O27"/>
    <mergeCell ref="M25:N25"/>
    <mergeCell ref="K10:L10"/>
    <mergeCell ref="M10:N10"/>
    <mergeCell ref="A9:B9"/>
    <mergeCell ref="C9:D9"/>
    <mergeCell ref="E9:F9"/>
    <mergeCell ref="G9:H9"/>
    <mergeCell ref="I9:J9"/>
    <mergeCell ref="K9:L9"/>
    <mergeCell ref="A23:F23"/>
    <mergeCell ref="A7:B7"/>
    <mergeCell ref="C7:H7"/>
    <mergeCell ref="I7:J7"/>
    <mergeCell ref="K7:O7"/>
    <mergeCell ref="A8:B8"/>
    <mergeCell ref="C8:H8"/>
    <mergeCell ref="I8:J8"/>
    <mergeCell ref="K8:L8"/>
    <mergeCell ref="M8:N8"/>
    <mergeCell ref="M9:N9"/>
    <mergeCell ref="A10:B10"/>
    <mergeCell ref="C10:D10"/>
    <mergeCell ref="E10:F10"/>
    <mergeCell ref="G10:H10"/>
    <mergeCell ref="I10:J10"/>
    <mergeCell ref="A5:O5"/>
    <mergeCell ref="A6:B6"/>
    <mergeCell ref="C6:D6"/>
    <mergeCell ref="E6:F6"/>
    <mergeCell ref="G6:H6"/>
    <mergeCell ref="I6:J6"/>
    <mergeCell ref="K6:L6"/>
    <mergeCell ref="M6:N6"/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</mergeCells>
  <pageMargins left="0.7" right="0.7" top="0.75" bottom="0.75" header="0.3" footer="0.3"/>
  <pageSetup paperSize="9" scale="48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1F656-6CC2-4071-95BD-F4E785AE7008}">
  <sheetPr>
    <tabColor theme="9" tint="0.79998168889431442"/>
  </sheetPr>
  <dimension ref="A1:O39"/>
  <sheetViews>
    <sheetView showGridLines="0" view="pageBreakPreview" zoomScale="60" zoomScaleNormal="70" workbookViewId="0">
      <selection activeCell="S13" sqref="S13"/>
    </sheetView>
  </sheetViews>
  <sheetFormatPr defaultRowHeight="14.5" x14ac:dyDescent="0.35"/>
  <cols>
    <col min="1" max="1" width="8" style="1" customWidth="1"/>
    <col min="2" max="2" width="13" style="1" customWidth="1"/>
    <col min="3" max="3" width="11.7265625" style="1" bestFit="1" customWidth="1"/>
    <col min="4" max="4" width="30.26953125" style="1" bestFit="1" customWidth="1"/>
    <col min="5" max="5" width="15.08984375" style="1" bestFit="1" customWidth="1"/>
    <col min="6" max="6" width="6.54296875" style="1" bestFit="1" customWidth="1"/>
    <col min="7" max="8" width="8" style="1" customWidth="1"/>
    <col min="9" max="9" width="11.26953125" style="1" bestFit="1" customWidth="1"/>
    <col min="10" max="10" width="7.90625" style="1" customWidth="1"/>
    <col min="11" max="11" width="8.26953125" style="1" customWidth="1"/>
    <col min="12" max="12" width="8.36328125" style="1" customWidth="1"/>
    <col min="13" max="13" width="12" style="1" customWidth="1"/>
    <col min="14" max="14" width="13" style="1" customWidth="1"/>
    <col min="15" max="15" width="12" style="1" customWidth="1"/>
    <col min="16" max="16384" width="8.7265625" style="1"/>
  </cols>
  <sheetData>
    <row r="1" spans="1:15" ht="17.25" customHeight="1" x14ac:dyDescent="0.35">
      <c r="A1" s="37" t="e" vm="1">
        <v>#VALUE!</v>
      </c>
      <c r="B1" s="38"/>
      <c r="C1" s="39"/>
      <c r="D1" s="46" t="s">
        <v>51</v>
      </c>
      <c r="E1" s="47"/>
      <c r="F1" s="47"/>
      <c r="G1" s="47"/>
      <c r="H1" s="47"/>
      <c r="I1" s="47"/>
      <c r="J1" s="47"/>
      <c r="K1" s="48"/>
      <c r="L1" s="55" t="s">
        <v>52</v>
      </c>
      <c r="M1" s="56"/>
      <c r="N1" s="57">
        <v>46098</v>
      </c>
      <c r="O1" s="58"/>
    </row>
    <row r="2" spans="1:15" ht="18" customHeight="1" x14ac:dyDescent="0.35">
      <c r="A2" s="40"/>
      <c r="B2" s="41"/>
      <c r="C2" s="42"/>
      <c r="D2" s="49"/>
      <c r="E2" s="50"/>
      <c r="F2" s="50"/>
      <c r="G2" s="50"/>
      <c r="H2" s="50"/>
      <c r="I2" s="50"/>
      <c r="J2" s="50"/>
      <c r="K2" s="51"/>
      <c r="L2" s="59" t="s">
        <v>53</v>
      </c>
      <c r="M2" s="60"/>
      <c r="N2" s="61" t="s">
        <v>54</v>
      </c>
      <c r="O2" s="62"/>
    </row>
    <row r="3" spans="1:15" ht="16.5" customHeight="1" x14ac:dyDescent="0.35">
      <c r="A3" s="40"/>
      <c r="B3" s="41"/>
      <c r="C3" s="42"/>
      <c r="D3" s="49"/>
      <c r="E3" s="50"/>
      <c r="F3" s="50"/>
      <c r="G3" s="50"/>
      <c r="H3" s="50"/>
      <c r="I3" s="50"/>
      <c r="J3" s="50"/>
      <c r="K3" s="51"/>
      <c r="L3" s="59" t="s">
        <v>55</v>
      </c>
      <c r="M3" s="60"/>
      <c r="N3" s="61" t="s">
        <v>56</v>
      </c>
      <c r="O3" s="62"/>
    </row>
    <row r="4" spans="1:15" ht="15.75" customHeight="1" thickBot="1" x14ac:dyDescent="0.4">
      <c r="A4" s="43"/>
      <c r="B4" s="44"/>
      <c r="C4" s="45"/>
      <c r="D4" s="52"/>
      <c r="E4" s="53"/>
      <c r="F4" s="53"/>
      <c r="G4" s="53"/>
      <c r="H4" s="53"/>
      <c r="I4" s="53"/>
      <c r="J4" s="53"/>
      <c r="K4" s="54"/>
      <c r="L4" s="63" t="s">
        <v>57</v>
      </c>
      <c r="M4" s="64"/>
      <c r="N4" s="65" t="s">
        <v>58</v>
      </c>
      <c r="O4" s="66"/>
    </row>
    <row r="5" spans="1:15" ht="19.899999999999999" customHeight="1" thickBot="1" x14ac:dyDescent="0.4">
      <c r="A5" s="67" t="s">
        <v>59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9"/>
    </row>
    <row r="6" spans="1:15" ht="22.15" customHeight="1" x14ac:dyDescent="0.35">
      <c r="A6" s="70" t="s">
        <v>60</v>
      </c>
      <c r="B6" s="71"/>
      <c r="C6" s="72" t="s">
        <v>160</v>
      </c>
      <c r="D6" s="72"/>
      <c r="E6" s="71" t="s">
        <v>61</v>
      </c>
      <c r="F6" s="71"/>
      <c r="G6" s="73">
        <v>46118</v>
      </c>
      <c r="H6" s="72"/>
      <c r="I6" s="71" t="s">
        <v>62</v>
      </c>
      <c r="J6" s="71"/>
      <c r="K6" s="72" t="s">
        <v>159</v>
      </c>
      <c r="L6" s="72"/>
      <c r="M6" s="71" t="s">
        <v>63</v>
      </c>
      <c r="N6" s="71"/>
      <c r="O6" s="13" t="s">
        <v>112</v>
      </c>
    </row>
    <row r="7" spans="1:15" ht="22.15" customHeight="1" x14ac:dyDescent="0.35">
      <c r="A7" s="70" t="s">
        <v>64</v>
      </c>
      <c r="B7" s="71"/>
      <c r="C7" s="75" t="s">
        <v>106</v>
      </c>
      <c r="D7" s="72"/>
      <c r="E7" s="72"/>
      <c r="F7" s="72"/>
      <c r="G7" s="72"/>
      <c r="H7" s="72"/>
      <c r="I7" s="71" t="s">
        <v>65</v>
      </c>
      <c r="J7" s="71"/>
      <c r="K7" s="75" t="s">
        <v>111</v>
      </c>
      <c r="L7" s="72"/>
      <c r="M7" s="72"/>
      <c r="N7" s="72"/>
      <c r="O7" s="76"/>
    </row>
    <row r="8" spans="1:15" ht="22.15" customHeight="1" x14ac:dyDescent="0.35">
      <c r="A8" s="70" t="s">
        <v>66</v>
      </c>
      <c r="B8" s="71"/>
      <c r="C8" s="75" t="s">
        <v>111</v>
      </c>
      <c r="D8" s="72"/>
      <c r="E8" s="72"/>
      <c r="F8" s="72"/>
      <c r="G8" s="72"/>
      <c r="H8" s="72"/>
      <c r="I8" s="71" t="s">
        <v>67</v>
      </c>
      <c r="J8" s="71"/>
      <c r="K8" s="75" t="s">
        <v>115</v>
      </c>
      <c r="L8" s="72"/>
      <c r="M8" s="71" t="s">
        <v>68</v>
      </c>
      <c r="N8" s="71"/>
      <c r="O8" s="13" t="s">
        <v>114</v>
      </c>
    </row>
    <row r="9" spans="1:15" ht="22.15" customHeight="1" x14ac:dyDescent="0.35">
      <c r="A9" s="70" t="s">
        <v>69</v>
      </c>
      <c r="B9" s="71"/>
      <c r="C9" s="75" t="s">
        <v>113</v>
      </c>
      <c r="D9" s="72"/>
      <c r="E9" s="71" t="s">
        <v>70</v>
      </c>
      <c r="F9" s="71"/>
      <c r="G9" s="75" t="s">
        <v>114</v>
      </c>
      <c r="H9" s="72"/>
      <c r="I9" s="71" t="s">
        <v>71</v>
      </c>
      <c r="J9" s="71"/>
      <c r="K9" s="75" t="s">
        <v>116</v>
      </c>
      <c r="L9" s="72"/>
      <c r="M9" s="71" t="s">
        <v>72</v>
      </c>
      <c r="N9" s="71"/>
      <c r="O9" s="2">
        <v>46153</v>
      </c>
    </row>
    <row r="10" spans="1:15" ht="22.15" customHeight="1" x14ac:dyDescent="0.35">
      <c r="A10" s="70" t="s">
        <v>73</v>
      </c>
      <c r="B10" s="71"/>
      <c r="C10" s="77" t="s">
        <v>143</v>
      </c>
      <c r="D10" s="72"/>
      <c r="E10" s="71" t="s">
        <v>74</v>
      </c>
      <c r="F10" s="71"/>
      <c r="G10" s="72"/>
      <c r="H10" s="72"/>
      <c r="I10" s="71" t="s">
        <v>75</v>
      </c>
      <c r="J10" s="71"/>
      <c r="K10" s="72"/>
      <c r="L10" s="72"/>
      <c r="M10" s="71" t="s">
        <v>76</v>
      </c>
      <c r="N10" s="71"/>
      <c r="O10" s="13" t="s">
        <v>117</v>
      </c>
    </row>
    <row r="11" spans="1:15" ht="15" thickBot="1" x14ac:dyDescent="0.4">
      <c r="A11" s="3" t="s">
        <v>144</v>
      </c>
      <c r="O11" s="4"/>
    </row>
    <row r="12" spans="1:15" ht="34.15" customHeight="1" thickBot="1" x14ac:dyDescent="0.4">
      <c r="A12" s="5" t="s">
        <v>77</v>
      </c>
      <c r="B12" s="15" t="s">
        <v>78</v>
      </c>
      <c r="C12" s="15" t="s">
        <v>79</v>
      </c>
      <c r="D12" s="15" t="s">
        <v>80</v>
      </c>
      <c r="E12" s="15" t="s">
        <v>81</v>
      </c>
      <c r="F12" s="15" t="s">
        <v>82</v>
      </c>
      <c r="G12" s="15" t="s">
        <v>83</v>
      </c>
      <c r="H12" s="15" t="s">
        <v>84</v>
      </c>
      <c r="I12" s="15" t="s">
        <v>85</v>
      </c>
      <c r="J12" s="15" t="s">
        <v>86</v>
      </c>
      <c r="K12" s="15" t="s">
        <v>87</v>
      </c>
      <c r="L12" s="15" t="s">
        <v>88</v>
      </c>
      <c r="M12" s="15" t="s">
        <v>89</v>
      </c>
      <c r="N12" s="15" t="s">
        <v>90</v>
      </c>
      <c r="O12" s="22" t="s">
        <v>91</v>
      </c>
    </row>
    <row r="13" spans="1:15" ht="21" customHeight="1" x14ac:dyDescent="0.35">
      <c r="A13" s="21">
        <v>1</v>
      </c>
      <c r="B13" s="18"/>
      <c r="C13" s="33" t="s">
        <v>46</v>
      </c>
      <c r="D13" s="16" t="s">
        <v>123</v>
      </c>
      <c r="E13" s="16" t="s">
        <v>146</v>
      </c>
      <c r="F13" s="16" t="s">
        <v>115</v>
      </c>
      <c r="G13" s="16">
        <v>8</v>
      </c>
      <c r="H13" s="16" t="s">
        <v>118</v>
      </c>
      <c r="I13" s="16" t="s">
        <v>119</v>
      </c>
      <c r="J13" s="16">
        <v>6900</v>
      </c>
      <c r="K13" s="16">
        <v>1500</v>
      </c>
      <c r="L13" s="16">
        <v>8</v>
      </c>
      <c r="M13" s="16">
        <v>5200</v>
      </c>
      <c r="N13" s="26"/>
      <c r="O13" s="27"/>
    </row>
    <row r="14" spans="1:15" ht="21" customHeight="1" x14ac:dyDescent="0.35">
      <c r="A14" s="21">
        <v>2</v>
      </c>
      <c r="B14" s="18"/>
      <c r="C14" s="17" t="s">
        <v>47</v>
      </c>
      <c r="D14" s="14" t="s">
        <v>123</v>
      </c>
      <c r="E14" s="14" t="s">
        <v>146</v>
      </c>
      <c r="F14" s="14" t="s">
        <v>115</v>
      </c>
      <c r="G14" s="14">
        <v>8</v>
      </c>
      <c r="H14" s="14" t="s">
        <v>118</v>
      </c>
      <c r="I14" s="14" t="s">
        <v>119</v>
      </c>
      <c r="J14" s="14">
        <v>6900</v>
      </c>
      <c r="K14" s="14">
        <v>1500</v>
      </c>
      <c r="L14" s="14">
        <v>8</v>
      </c>
      <c r="M14" s="14">
        <v>5207</v>
      </c>
      <c r="N14" s="26"/>
      <c r="O14" s="27"/>
    </row>
    <row r="15" spans="1:15" ht="21" customHeight="1" x14ac:dyDescent="0.35">
      <c r="A15" s="21">
        <v>3</v>
      </c>
      <c r="B15" s="18"/>
      <c r="C15" s="17" t="s">
        <v>48</v>
      </c>
      <c r="D15" s="14" t="s">
        <v>124</v>
      </c>
      <c r="E15" s="14" t="s">
        <v>146</v>
      </c>
      <c r="F15" s="14" t="s">
        <v>115</v>
      </c>
      <c r="G15" s="14">
        <v>6</v>
      </c>
      <c r="H15" s="14" t="s">
        <v>118</v>
      </c>
      <c r="I15" s="14" t="s">
        <v>119</v>
      </c>
      <c r="J15" s="14">
        <v>6900</v>
      </c>
      <c r="K15" s="14">
        <v>1500</v>
      </c>
      <c r="L15" s="14">
        <v>10</v>
      </c>
      <c r="M15" s="14">
        <v>4884</v>
      </c>
      <c r="N15" s="26"/>
      <c r="O15" s="27"/>
    </row>
    <row r="16" spans="1:15" ht="21" customHeight="1" x14ac:dyDescent="0.35">
      <c r="A16" s="21">
        <v>4</v>
      </c>
      <c r="B16" s="18"/>
      <c r="C16" s="17" t="s">
        <v>49</v>
      </c>
      <c r="D16" s="14" t="s">
        <v>127</v>
      </c>
      <c r="E16" s="14" t="s">
        <v>145</v>
      </c>
      <c r="F16" s="14" t="s">
        <v>115</v>
      </c>
      <c r="G16" s="14">
        <v>5</v>
      </c>
      <c r="H16" s="14" t="s">
        <v>118</v>
      </c>
      <c r="I16" s="14" t="s">
        <v>119</v>
      </c>
      <c r="J16" s="14">
        <v>6900</v>
      </c>
      <c r="K16" s="14">
        <v>1500</v>
      </c>
      <c r="L16" s="14">
        <v>12</v>
      </c>
      <c r="M16" s="14">
        <v>4880</v>
      </c>
      <c r="N16" s="26"/>
      <c r="O16" s="27"/>
    </row>
    <row r="17" spans="1:15" ht="21" customHeight="1" x14ac:dyDescent="0.35">
      <c r="A17" s="21">
        <v>5</v>
      </c>
      <c r="B17" s="18"/>
      <c r="C17" s="17" t="s">
        <v>50</v>
      </c>
      <c r="D17" s="14" t="s">
        <v>127</v>
      </c>
      <c r="E17" s="14" t="s">
        <v>145</v>
      </c>
      <c r="F17" s="14" t="s">
        <v>115</v>
      </c>
      <c r="G17" s="14">
        <v>5</v>
      </c>
      <c r="H17" s="14" t="s">
        <v>118</v>
      </c>
      <c r="I17" s="14" t="s">
        <v>119</v>
      </c>
      <c r="J17" s="14">
        <v>6900</v>
      </c>
      <c r="K17" s="14">
        <v>1500</v>
      </c>
      <c r="L17" s="14">
        <v>12</v>
      </c>
      <c r="M17" s="14">
        <v>4879</v>
      </c>
      <c r="N17" s="26"/>
      <c r="O17" s="27"/>
    </row>
    <row r="18" spans="1:15" ht="21" customHeight="1" x14ac:dyDescent="0.35">
      <c r="A18" s="21">
        <v>6</v>
      </c>
      <c r="B18" s="28"/>
      <c r="C18" s="17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29"/>
      <c r="O18" s="27"/>
    </row>
    <row r="19" spans="1:15" ht="21" customHeight="1" x14ac:dyDescent="0.35">
      <c r="A19" s="21">
        <v>7</v>
      </c>
      <c r="B19" s="28"/>
      <c r="C19" s="28"/>
      <c r="D19" s="28"/>
      <c r="E19" s="28"/>
      <c r="F19" s="28"/>
      <c r="G19" s="29"/>
      <c r="H19" s="28"/>
      <c r="I19" s="28"/>
      <c r="J19" s="30"/>
      <c r="K19" s="30"/>
      <c r="L19" s="30"/>
      <c r="M19" s="29"/>
      <c r="N19" s="29"/>
      <c r="O19" s="32" t="str">
        <f t="shared" ref="O19:O22" si="0">IF(COUNTA(J19:L19)=3,J19*K19*L19/1000000,"")</f>
        <v/>
      </c>
    </row>
    <row r="20" spans="1:15" ht="21" customHeight="1" x14ac:dyDescent="0.35">
      <c r="A20" s="21">
        <v>8</v>
      </c>
      <c r="B20" s="28"/>
      <c r="C20" s="28"/>
      <c r="D20" s="28"/>
      <c r="E20" s="28"/>
      <c r="F20" s="28"/>
      <c r="G20" s="29"/>
      <c r="H20" s="28"/>
      <c r="I20" s="28"/>
      <c r="J20" s="30"/>
      <c r="K20" s="30"/>
      <c r="L20" s="30"/>
      <c r="M20" s="29"/>
      <c r="N20" s="29"/>
      <c r="O20" s="32" t="str">
        <f t="shared" si="0"/>
        <v/>
      </c>
    </row>
    <row r="21" spans="1:15" ht="21" customHeight="1" x14ac:dyDescent="0.35">
      <c r="A21" s="21">
        <v>9</v>
      </c>
      <c r="B21" s="28"/>
      <c r="C21" s="28"/>
      <c r="D21" s="28"/>
      <c r="E21" s="28"/>
      <c r="F21" s="28"/>
      <c r="G21" s="29"/>
      <c r="H21" s="28"/>
      <c r="I21" s="28"/>
      <c r="J21" s="30"/>
      <c r="K21" s="30"/>
      <c r="L21" s="30"/>
      <c r="M21" s="29"/>
      <c r="N21" s="29"/>
      <c r="O21" s="32" t="str">
        <f t="shared" si="0"/>
        <v/>
      </c>
    </row>
    <row r="22" spans="1:15" ht="21" customHeight="1" thickBot="1" x14ac:dyDescent="0.4">
      <c r="A22" s="21">
        <v>10</v>
      </c>
      <c r="B22" s="28"/>
      <c r="C22" s="28"/>
      <c r="D22" s="28"/>
      <c r="E22" s="28"/>
      <c r="F22" s="28"/>
      <c r="G22" s="29"/>
      <c r="H22" s="28"/>
      <c r="I22" s="28"/>
      <c r="J22" s="30"/>
      <c r="K22" s="30"/>
      <c r="L22" s="30"/>
      <c r="M22" s="29"/>
      <c r="N22" s="29"/>
      <c r="O22" s="32" t="str">
        <f t="shared" si="0"/>
        <v/>
      </c>
    </row>
    <row r="23" spans="1:15" ht="22.15" customHeight="1" thickBot="1" x14ac:dyDescent="0.4">
      <c r="A23" s="74" t="s">
        <v>92</v>
      </c>
      <c r="B23" s="68"/>
      <c r="C23" s="68"/>
      <c r="D23" s="68"/>
      <c r="E23" s="68"/>
      <c r="F23" s="68"/>
      <c r="G23" s="23">
        <f>SUM(G13:G22)</f>
        <v>32</v>
      </c>
      <c r="H23" s="24"/>
      <c r="I23" s="24"/>
      <c r="J23" s="24"/>
      <c r="K23" s="24"/>
      <c r="L23" s="24"/>
      <c r="M23" s="23">
        <f>SUM(M13:M22)</f>
        <v>25050</v>
      </c>
      <c r="N23" s="23">
        <f>SUM(N13:N22)</f>
        <v>0</v>
      </c>
      <c r="O23" s="25">
        <f>SUM(O13:O22)</f>
        <v>0</v>
      </c>
    </row>
    <row r="24" spans="1:15" x14ac:dyDescent="0.35">
      <c r="A24" s="3"/>
      <c r="O24" s="4"/>
    </row>
    <row r="25" spans="1:15" ht="22.15" customHeight="1" x14ac:dyDescent="0.35">
      <c r="A25" s="70" t="s">
        <v>93</v>
      </c>
      <c r="B25" s="71"/>
      <c r="C25" s="6">
        <f>COUNTA(B13:B22)</f>
        <v>0</v>
      </c>
      <c r="D25" s="71" t="s">
        <v>94</v>
      </c>
      <c r="E25" s="71"/>
      <c r="F25" s="7">
        <f>SUM(G13:G22)</f>
        <v>32</v>
      </c>
      <c r="G25" s="71" t="s">
        <v>95</v>
      </c>
      <c r="H25" s="71"/>
      <c r="I25" s="7">
        <f>SUM(M13:M22)</f>
        <v>25050</v>
      </c>
      <c r="J25" s="71" t="s">
        <v>96</v>
      </c>
      <c r="K25" s="71"/>
      <c r="L25" s="7">
        <f>SUM(N13:N22)</f>
        <v>0</v>
      </c>
      <c r="M25" s="71" t="s">
        <v>97</v>
      </c>
      <c r="N25" s="71"/>
      <c r="O25" s="8">
        <f>SUM(O13:O22)</f>
        <v>0</v>
      </c>
    </row>
    <row r="26" spans="1:15" ht="15" thickBot="1" x14ac:dyDescent="0.4">
      <c r="A26" s="3"/>
      <c r="O26" s="4"/>
    </row>
    <row r="27" spans="1:15" ht="19.899999999999999" customHeight="1" thickBot="1" x14ac:dyDescent="0.4">
      <c r="A27" s="78" t="s">
        <v>98</v>
      </c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80"/>
    </row>
    <row r="28" spans="1:15" ht="24" customHeight="1" thickBot="1" x14ac:dyDescent="0.4">
      <c r="A28" s="81" t="s">
        <v>99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80"/>
    </row>
    <row r="29" spans="1:15" ht="24" customHeight="1" thickBot="1" x14ac:dyDescent="0.4">
      <c r="A29" s="82"/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80"/>
    </row>
    <row r="30" spans="1:15" ht="15" thickBot="1" x14ac:dyDescent="0.4">
      <c r="A30" s="3"/>
      <c r="O30" s="4"/>
    </row>
    <row r="31" spans="1:15" ht="19.899999999999999" customHeight="1" thickBot="1" x14ac:dyDescent="0.4">
      <c r="A31" s="78" t="s">
        <v>100</v>
      </c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80"/>
    </row>
    <row r="32" spans="1:15" ht="22.15" customHeight="1" thickBot="1" x14ac:dyDescent="0.4">
      <c r="A32" s="83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5"/>
    </row>
    <row r="33" spans="1:15" ht="19.899999999999999" customHeight="1" x14ac:dyDescent="0.35">
      <c r="A33" s="92" t="s">
        <v>101</v>
      </c>
      <c r="B33" s="93"/>
      <c r="C33" s="93"/>
      <c r="D33" s="94" t="s">
        <v>102</v>
      </c>
      <c r="E33" s="93"/>
      <c r="F33" s="93"/>
      <c r="G33" s="94" t="s">
        <v>103</v>
      </c>
      <c r="H33" s="93"/>
      <c r="I33" s="93"/>
      <c r="J33" s="94" t="s">
        <v>104</v>
      </c>
      <c r="K33" s="93"/>
      <c r="L33" s="93"/>
      <c r="M33" s="94" t="s">
        <v>105</v>
      </c>
      <c r="N33" s="93"/>
      <c r="O33" s="95"/>
    </row>
    <row r="34" spans="1:15" ht="19.899999999999999" customHeight="1" x14ac:dyDescent="0.35">
      <c r="A34" s="9"/>
      <c r="B34" s="10"/>
      <c r="C34" s="10"/>
      <c r="D34" s="11"/>
      <c r="E34" s="10"/>
      <c r="F34" s="10"/>
      <c r="G34" s="11"/>
      <c r="H34" s="10"/>
      <c r="I34" s="10"/>
      <c r="J34" s="11"/>
      <c r="K34" s="10"/>
      <c r="L34" s="10"/>
      <c r="M34" s="11"/>
      <c r="N34" s="10"/>
      <c r="O34" s="12"/>
    </row>
    <row r="35" spans="1:15" ht="19.899999999999999" customHeight="1" x14ac:dyDescent="0.35">
      <c r="A35" s="9"/>
      <c r="B35" s="10"/>
      <c r="C35" s="10"/>
      <c r="D35" s="11"/>
      <c r="E35" s="10"/>
      <c r="F35" s="10"/>
      <c r="G35" s="11"/>
      <c r="H35" s="10"/>
      <c r="I35" s="10"/>
      <c r="J35" s="11"/>
      <c r="K35" s="10"/>
      <c r="L35" s="10"/>
      <c r="M35" s="11"/>
      <c r="N35" s="10"/>
      <c r="O35" s="12"/>
    </row>
    <row r="36" spans="1:15" ht="19.899999999999999" customHeight="1" thickBot="1" x14ac:dyDescent="0.4">
      <c r="A36" s="9"/>
      <c r="B36" s="10"/>
      <c r="C36" s="10"/>
      <c r="D36" s="11"/>
      <c r="E36" s="10"/>
      <c r="F36" s="10"/>
      <c r="G36" s="11"/>
      <c r="H36" s="10"/>
      <c r="I36" s="10"/>
      <c r="J36" s="11"/>
      <c r="K36" s="10"/>
      <c r="L36" s="10"/>
      <c r="M36" s="11"/>
      <c r="N36" s="10"/>
      <c r="O36" s="12"/>
    </row>
    <row r="37" spans="1:15" ht="18.5" x14ac:dyDescent="0.35">
      <c r="A37" s="96" t="s">
        <v>106</v>
      </c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8"/>
    </row>
    <row r="38" spans="1:15" ht="14.5" customHeight="1" x14ac:dyDescent="0.35">
      <c r="A38" s="86" t="s">
        <v>107</v>
      </c>
      <c r="B38" s="87"/>
      <c r="C38" s="87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8"/>
    </row>
    <row r="39" spans="1:15" ht="15" thickBot="1" x14ac:dyDescent="0.4">
      <c r="A39" s="89"/>
      <c r="B39" s="90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1"/>
    </row>
  </sheetData>
  <mergeCells count="62">
    <mergeCell ref="A38:O39"/>
    <mergeCell ref="A33:C33"/>
    <mergeCell ref="D33:F33"/>
    <mergeCell ref="G33:I33"/>
    <mergeCell ref="J33:L33"/>
    <mergeCell ref="M33:O33"/>
    <mergeCell ref="A37:O37"/>
    <mergeCell ref="A28:O29"/>
    <mergeCell ref="A31:O31"/>
    <mergeCell ref="A32:C32"/>
    <mergeCell ref="D32:F32"/>
    <mergeCell ref="G32:I32"/>
    <mergeCell ref="J32:L32"/>
    <mergeCell ref="M32:O32"/>
    <mergeCell ref="A25:B25"/>
    <mergeCell ref="D25:E25"/>
    <mergeCell ref="G25:H25"/>
    <mergeCell ref="J25:K25"/>
    <mergeCell ref="A27:O27"/>
    <mergeCell ref="M25:N25"/>
    <mergeCell ref="K10:L10"/>
    <mergeCell ref="M10:N10"/>
    <mergeCell ref="A9:B9"/>
    <mergeCell ref="C9:D9"/>
    <mergeCell ref="E9:F9"/>
    <mergeCell ref="G9:H9"/>
    <mergeCell ref="I9:J9"/>
    <mergeCell ref="K9:L9"/>
    <mergeCell ref="A23:F23"/>
    <mergeCell ref="A7:B7"/>
    <mergeCell ref="C7:H7"/>
    <mergeCell ref="I7:J7"/>
    <mergeCell ref="K7:O7"/>
    <mergeCell ref="A8:B8"/>
    <mergeCell ref="C8:H8"/>
    <mergeCell ref="I8:J8"/>
    <mergeCell ref="K8:L8"/>
    <mergeCell ref="M8:N8"/>
    <mergeCell ref="M9:N9"/>
    <mergeCell ref="A10:B10"/>
    <mergeCell ref="C10:D10"/>
    <mergeCell ref="E10:F10"/>
    <mergeCell ref="G10:H10"/>
    <mergeCell ref="I10:J10"/>
    <mergeCell ref="A5:O5"/>
    <mergeCell ref="A6:B6"/>
    <mergeCell ref="C6:D6"/>
    <mergeCell ref="E6:F6"/>
    <mergeCell ref="G6:H6"/>
    <mergeCell ref="I6:J6"/>
    <mergeCell ref="K6:L6"/>
    <mergeCell ref="M6:N6"/>
    <mergeCell ref="A1:C4"/>
    <mergeCell ref="D1:K4"/>
    <mergeCell ref="L1:M1"/>
    <mergeCell ref="N1:O1"/>
    <mergeCell ref="L2:M2"/>
    <mergeCell ref="N2:O2"/>
    <mergeCell ref="L3:M3"/>
    <mergeCell ref="N3:O3"/>
    <mergeCell ref="L4:M4"/>
    <mergeCell ref="N4:O4"/>
  </mergeCells>
  <pageMargins left="0.7" right="0.7" top="0.75" bottom="0.75" header="0.3" footer="0.3"/>
  <pageSetup paperSize="9" scale="48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11</vt:i4>
      </vt:variant>
      <vt:variant>
        <vt:lpstr>Adlandırılmış Aralıklar</vt:lpstr>
      </vt:variant>
      <vt:variant>
        <vt:i4>11</vt:i4>
      </vt:variant>
    </vt:vector>
  </HeadingPairs>
  <TitlesOfParts>
    <vt:vector size="22" baseType="lpstr">
      <vt:lpstr>sum</vt:lpstr>
      <vt:lpstr>TEXU157632-4</vt:lpstr>
      <vt:lpstr>TRIU052057-7</vt:lpstr>
      <vt:lpstr>TCLU714897-6</vt:lpstr>
      <vt:lpstr>TCLU706964-5</vt:lpstr>
      <vt:lpstr>TCLU715830-0</vt:lpstr>
      <vt:lpstr>TRIU053641-8</vt:lpstr>
      <vt:lpstr>TEXU158527-0</vt:lpstr>
      <vt:lpstr>TRIU056682-9</vt:lpstr>
      <vt:lpstr>TCLU716779-1</vt:lpstr>
      <vt:lpstr>TRIU056653-6</vt:lpstr>
      <vt:lpstr>'TRIU053641-8'!Yazdırma_Alanı</vt:lpstr>
      <vt:lpstr>'TCLU706964-5'!Yazdırma_Başlıkları</vt:lpstr>
      <vt:lpstr>'TCLU714897-6'!Yazdırma_Başlıkları</vt:lpstr>
      <vt:lpstr>'TCLU715830-0'!Yazdırma_Başlıkları</vt:lpstr>
      <vt:lpstr>'TCLU716779-1'!Yazdırma_Başlıkları</vt:lpstr>
      <vt:lpstr>'TEXU157632-4'!Yazdırma_Başlıkları</vt:lpstr>
      <vt:lpstr>'TEXU158527-0'!Yazdırma_Başlıkları</vt:lpstr>
      <vt:lpstr>'TRIU052057-7'!Yazdırma_Başlıkları</vt:lpstr>
      <vt:lpstr>'TRIU053641-8'!Yazdırma_Başlıkları</vt:lpstr>
      <vt:lpstr>'TRIU056653-6'!Yazdırma_Başlıkları</vt:lpstr>
      <vt:lpstr>'TRIU056682-9'!Yazdırma_Başlıkları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Burcu ADIGÜZEL</dc:creator>
  <cp:lastModifiedBy>Burcu ADIGÜZEL</cp:lastModifiedBy>
  <cp:lastPrinted>2026-04-07T11:08:52Z</cp:lastPrinted>
  <dcterms:created xsi:type="dcterms:W3CDTF">2026-03-13T12:45:47Z</dcterms:created>
  <dcterms:modified xsi:type="dcterms:W3CDTF">2026-08-13T10:10:07Z</dcterms:modified>
</cp:coreProperties>
</file>