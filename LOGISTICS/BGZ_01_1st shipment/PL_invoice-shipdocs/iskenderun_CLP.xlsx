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1st shipment/"/>
    </mc:Choice>
  </mc:AlternateContent>
  <xr:revisionPtr revIDLastSave="1153" documentId="13_ncr:1_{AFCB54F0-22E8-40B6-8E1C-C6467B05AB08}" xr6:coauthVersionLast="47" xr6:coauthVersionMax="47" xr10:uidLastSave="{2F98908B-1536-4593-869C-52DA895AF5E6}"/>
  <bookViews>
    <workbookView xWindow="-110" yWindow="-110" windowWidth="19420" windowHeight="10300" firstSheet="2" activeTab="2" xr2:uid="{45036DCF-1C36-4BEA-83C2-F9BA1C1831A9}"/>
  </bookViews>
  <sheets>
    <sheet name="ABC_26.03_504.500kg" sheetId="3" state="hidden" r:id="rId1"/>
    <sheet name="6.4.26özel" sheetId="6" r:id="rId2"/>
    <sheet name="6-7.4.26_Trucks" sheetId="5" r:id="rId3"/>
    <sheet name="TRIU052057-7" sheetId="4" state="hidden" r:id="rId4"/>
    <sheet name="TCLU714897-6" sheetId="7" state="hidden" r:id="rId5"/>
    <sheet name="TCLU706964-5" sheetId="12" state="hidden" r:id="rId6"/>
    <sheet name="TCLU715830-0" sheetId="10" state="hidden" r:id="rId7"/>
    <sheet name="TRIU053641-8" sheetId="14" state="hidden" r:id="rId8"/>
    <sheet name="TEXU158527-0" sheetId="9" state="hidden" r:id="rId9"/>
    <sheet name="TRIU056682-9" sheetId="13" state="hidden" r:id="rId10"/>
    <sheet name="TCLU716779-1" sheetId="11" state="hidden" r:id="rId11"/>
    <sheet name="TRIU056653-6" sheetId="15" state="hidden" r:id="rId12"/>
    <sheet name="3.4.2026_CLP" sheetId="2" r:id="rId13"/>
    <sheet name="TCLU7139589" sheetId="8" state="hidden" r:id="rId14"/>
    <sheet name="TCLU7112490" sheetId="16" state="hidden" r:id="rId15"/>
    <sheet name="TEXU1581022" sheetId="17" state="hidden" r:id="rId16"/>
    <sheet name="TLLU1265510" sheetId="18" state="hidden" r:id="rId17"/>
    <sheet name="TRIU0520849" sheetId="19" state="hidden" r:id="rId18"/>
    <sheet name="TLLU1263332" sheetId="20" state="hidden" r:id="rId19"/>
    <sheet name="SEGU734199-1" sheetId="21" state="hidden" r:id="rId20"/>
    <sheet name="TCLU700218-0" sheetId="22" state="hidden" r:id="rId21"/>
    <sheet name="TRLU641946-0" sheetId="23" state="hidden" r:id="rId22"/>
    <sheet name="TCLU716284-5" sheetId="24" state="hidden" r:id="rId23"/>
    <sheet name="TCLU7063591" sheetId="25" state="hidden" r:id="rId24"/>
  </sheets>
  <definedNames>
    <definedName name="_xlnm._FilterDatabase" localSheetId="12" hidden="1">'3.4.2026_CLP'!$A$2:$X$103</definedName>
    <definedName name="_xlnm._FilterDatabase" localSheetId="0" hidden="1">'ABC_26.03_504.500kg'!$A$1:$J$103</definedName>
    <definedName name="_xlnm._FilterDatabase" localSheetId="19" hidden="1">'SEGU734199-1'!$A$12:$O$22</definedName>
    <definedName name="_xlnm._FilterDatabase" localSheetId="20" hidden="1">'TCLU700218-0'!$A$12:$O$22</definedName>
    <definedName name="_xlnm._FilterDatabase" localSheetId="23" hidden="1">TCLU7063591!$A$12:$O$22</definedName>
    <definedName name="_xlnm._FilterDatabase" localSheetId="5" hidden="1">'TCLU706964-5'!$A$12:$O$22</definedName>
    <definedName name="_xlnm._FilterDatabase" localSheetId="14" hidden="1">TCLU7112490!$A$12:$O$22</definedName>
    <definedName name="_xlnm._FilterDatabase" localSheetId="13" hidden="1">TCLU7139589!$A$12:$O$22</definedName>
    <definedName name="_xlnm._FilterDatabase" localSheetId="4" hidden="1">'TCLU714897-6'!$A$12:$O$22</definedName>
    <definedName name="_xlnm._FilterDatabase" localSheetId="6" hidden="1">'TCLU715830-0'!$A$12:$O$22</definedName>
    <definedName name="_xlnm._FilterDatabase" localSheetId="22" hidden="1">'TCLU716284-5'!$A$12:$O$22</definedName>
    <definedName name="_xlnm._FilterDatabase" localSheetId="10" hidden="1">'TCLU716779-1'!$A$12:$O$22</definedName>
    <definedName name="_xlnm._FilterDatabase" localSheetId="15" hidden="1">TEXU1581022!$A$12:$O$22</definedName>
    <definedName name="_xlnm._FilterDatabase" localSheetId="8" hidden="1">'TEXU158527-0'!$A$12:$O$22</definedName>
    <definedName name="_xlnm._FilterDatabase" localSheetId="18" hidden="1">TLLU1263332!$A$12:$O$22</definedName>
    <definedName name="_xlnm._FilterDatabase" localSheetId="16" hidden="1">TLLU1265510!$A$12:$O$22</definedName>
    <definedName name="_xlnm._FilterDatabase" localSheetId="3" hidden="1">'TRIU052057-7'!$A$12:$O$22</definedName>
    <definedName name="_xlnm._FilterDatabase" localSheetId="17" hidden="1">TRIU0520849!$A$12:$O$22</definedName>
    <definedName name="_xlnm._FilterDatabase" localSheetId="7" hidden="1">'TRIU053641-8'!$A$12:$O$22</definedName>
    <definedName name="_xlnm._FilterDatabase" localSheetId="11" hidden="1">'TRIU056653-6'!$A$12:$O$22</definedName>
    <definedName name="_xlnm._FilterDatabase" localSheetId="9" hidden="1">'TRIU056682-9'!$A$12:$O$22</definedName>
    <definedName name="_xlnm._FilterDatabase" localSheetId="21" hidden="1">'TRLU641946-0'!$A$12:$O$22</definedName>
    <definedName name="_xlnm.Print_Area" localSheetId="12">'3.4.2026_CLP'!$B$2:$O$103</definedName>
    <definedName name="_xlnm.Print_Area" localSheetId="1">'6.4.26özel'!$B$2:$N$53</definedName>
    <definedName name="_xlnm.Print_Area" localSheetId="7">'TRIU053641-8'!$A$1:$O$39</definedName>
    <definedName name="_xlnm.Print_Titles" localSheetId="19">'SEGU734199-1'!$1:$12</definedName>
    <definedName name="_xlnm.Print_Titles" localSheetId="20">'TCLU700218-0'!$1:$12</definedName>
    <definedName name="_xlnm.Print_Titles" localSheetId="23">TCLU7063591!$1:$12</definedName>
    <definedName name="_xlnm.Print_Titles" localSheetId="5">'TCLU706964-5'!$1:$12</definedName>
    <definedName name="_xlnm.Print_Titles" localSheetId="14">TCLU7112490!$1:$12</definedName>
    <definedName name="_xlnm.Print_Titles" localSheetId="13">TCLU7139589!$1:$12</definedName>
    <definedName name="_xlnm.Print_Titles" localSheetId="4">'TCLU714897-6'!$1:$12</definedName>
    <definedName name="_xlnm.Print_Titles" localSheetId="6">'TCLU715830-0'!$1:$12</definedName>
    <definedName name="_xlnm.Print_Titles" localSheetId="22">'TCLU716284-5'!$1:$12</definedName>
    <definedName name="_xlnm.Print_Titles" localSheetId="10">'TCLU716779-1'!$1:$12</definedName>
    <definedName name="_xlnm.Print_Titles" localSheetId="15">TEXU1581022!$1:$12</definedName>
    <definedName name="_xlnm.Print_Titles" localSheetId="8">'TEXU158527-0'!$1:$12</definedName>
    <definedName name="_xlnm.Print_Titles" localSheetId="18">TLLU1263332!$1:$12</definedName>
    <definedName name="_xlnm.Print_Titles" localSheetId="16">TLLU1265510!$1:$12</definedName>
    <definedName name="_xlnm.Print_Titles" localSheetId="3">'TRIU052057-7'!$1:$12</definedName>
    <definedName name="_xlnm.Print_Titles" localSheetId="17">TRIU0520849!$1:$12</definedName>
    <definedName name="_xlnm.Print_Titles" localSheetId="7">'TRIU053641-8'!$1:$12</definedName>
    <definedName name="_xlnm.Print_Titles" localSheetId="11">'TRIU056653-6'!$1:$12</definedName>
    <definedName name="_xlnm.Print_Titles" localSheetId="9">'TRIU056682-9'!$1:$12</definedName>
    <definedName name="_xlnm.Print_Titles" localSheetId="21">'TRLU641946-0'!$1:$12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25" l="1"/>
  <c r="I25" i="25"/>
  <c r="F25" i="25"/>
  <c r="C25" i="25"/>
  <c r="O23" i="25"/>
  <c r="N23" i="25"/>
  <c r="M23" i="25"/>
  <c r="G23" i="25"/>
  <c r="O22" i="25"/>
  <c r="O21" i="25"/>
  <c r="O20" i="25"/>
  <c r="O19" i="25"/>
  <c r="O25" i="25" s="1"/>
  <c r="L25" i="24"/>
  <c r="I25" i="24"/>
  <c r="F25" i="24"/>
  <c r="C25" i="24"/>
  <c r="N23" i="24"/>
  <c r="M23" i="24"/>
  <c r="G23" i="24"/>
  <c r="O22" i="24"/>
  <c r="O21" i="24"/>
  <c r="O20" i="24"/>
  <c r="O19" i="24"/>
  <c r="O25" i="24" s="1"/>
  <c r="L25" i="23"/>
  <c r="I25" i="23"/>
  <c r="F25" i="23"/>
  <c r="C25" i="23"/>
  <c r="O23" i="23"/>
  <c r="N23" i="23"/>
  <c r="M23" i="23"/>
  <c r="G23" i="23"/>
  <c r="O22" i="23"/>
  <c r="O21" i="23"/>
  <c r="O20" i="23"/>
  <c r="O19" i="23"/>
  <c r="L25" i="22"/>
  <c r="I25" i="22"/>
  <c r="F25" i="22"/>
  <c r="C25" i="22"/>
  <c r="N23" i="22"/>
  <c r="M23" i="22"/>
  <c r="G23" i="22"/>
  <c r="O22" i="22"/>
  <c r="O21" i="22"/>
  <c r="O23" i="22" s="1"/>
  <c r="O20" i="22"/>
  <c r="O19" i="22"/>
  <c r="L25" i="21"/>
  <c r="I25" i="21"/>
  <c r="F25" i="21"/>
  <c r="C25" i="21"/>
  <c r="N23" i="21"/>
  <c r="M23" i="21"/>
  <c r="G23" i="21"/>
  <c r="O22" i="21"/>
  <c r="O21" i="21"/>
  <c r="O20" i="21"/>
  <c r="O19" i="21"/>
  <c r="O23" i="21" s="1"/>
  <c r="L25" i="20"/>
  <c r="I25" i="20"/>
  <c r="F25" i="20"/>
  <c r="C25" i="20"/>
  <c r="N23" i="20"/>
  <c r="M23" i="20"/>
  <c r="G23" i="20"/>
  <c r="O22" i="20"/>
  <c r="O21" i="20"/>
  <c r="O20" i="20"/>
  <c r="O19" i="20"/>
  <c r="O23" i="20" s="1"/>
  <c r="L25" i="19"/>
  <c r="I25" i="19"/>
  <c r="F25" i="19"/>
  <c r="C25" i="19"/>
  <c r="O23" i="19"/>
  <c r="N23" i="19"/>
  <c r="M23" i="19"/>
  <c r="G23" i="19"/>
  <c r="O22" i="19"/>
  <c r="O21" i="19"/>
  <c r="O20" i="19"/>
  <c r="O19" i="19"/>
  <c r="O25" i="19" s="1"/>
  <c r="O25" i="18"/>
  <c r="L25" i="18"/>
  <c r="I25" i="18"/>
  <c r="F25" i="18"/>
  <c r="C25" i="18"/>
  <c r="O23" i="18"/>
  <c r="N23" i="18"/>
  <c r="M23" i="18"/>
  <c r="G23" i="18"/>
  <c r="O22" i="18"/>
  <c r="O21" i="18"/>
  <c r="O20" i="18"/>
  <c r="O19" i="18"/>
  <c r="O104" i="2"/>
  <c r="L25" i="17"/>
  <c r="I25" i="17"/>
  <c r="F25" i="17"/>
  <c r="C25" i="17"/>
  <c r="N23" i="17"/>
  <c r="M23" i="17"/>
  <c r="G23" i="17"/>
  <c r="O22" i="17"/>
  <c r="O21" i="17"/>
  <c r="O20" i="17"/>
  <c r="O19" i="17"/>
  <c r="O25" i="17" s="1"/>
  <c r="L25" i="16"/>
  <c r="I25" i="16"/>
  <c r="F25" i="16"/>
  <c r="C25" i="16"/>
  <c r="N23" i="16"/>
  <c r="M23" i="16"/>
  <c r="G23" i="16"/>
  <c r="O22" i="16"/>
  <c r="O21" i="16"/>
  <c r="O23" i="16" s="1"/>
  <c r="O20" i="16"/>
  <c r="O19" i="16"/>
  <c r="O23" i="24" l="1"/>
  <c r="O25" i="23"/>
  <c r="O25" i="22"/>
  <c r="O25" i="21"/>
  <c r="O25" i="20"/>
  <c r="O23" i="17"/>
  <c r="O25" i="16"/>
  <c r="O25" i="15"/>
  <c r="L25" i="15"/>
  <c r="I25" i="15"/>
  <c r="F25" i="15"/>
  <c r="C25" i="15"/>
  <c r="O23" i="15"/>
  <c r="N23" i="15"/>
  <c r="M23" i="15"/>
  <c r="G23" i="15"/>
  <c r="O22" i="15"/>
  <c r="O21" i="15"/>
  <c r="O20" i="15"/>
  <c r="O19" i="15"/>
  <c r="L25" i="14"/>
  <c r="I25" i="14"/>
  <c r="F25" i="14"/>
  <c r="C25" i="14"/>
  <c r="O23" i="14"/>
  <c r="N23" i="14"/>
  <c r="M23" i="14"/>
  <c r="G23" i="14"/>
  <c r="O22" i="14"/>
  <c r="O21" i="14"/>
  <c r="O20" i="14"/>
  <c r="O19" i="14"/>
  <c r="O25" i="14" s="1"/>
  <c r="L25" i="13"/>
  <c r="I25" i="13"/>
  <c r="F25" i="13"/>
  <c r="C25" i="13"/>
  <c r="N23" i="13"/>
  <c r="M23" i="13"/>
  <c r="G23" i="13"/>
  <c r="O22" i="13"/>
  <c r="O21" i="13"/>
  <c r="O20" i="13"/>
  <c r="O19" i="13"/>
  <c r="O25" i="13" s="1"/>
  <c r="L25" i="12"/>
  <c r="I25" i="12"/>
  <c r="F25" i="12"/>
  <c r="C25" i="12"/>
  <c r="N23" i="12"/>
  <c r="M23" i="12"/>
  <c r="G23" i="12"/>
  <c r="O22" i="12"/>
  <c r="O21" i="12"/>
  <c r="O20" i="12"/>
  <c r="O19" i="12"/>
  <c r="O23" i="12" s="1"/>
  <c r="L25" i="11"/>
  <c r="I25" i="11"/>
  <c r="F25" i="11"/>
  <c r="C25" i="11"/>
  <c r="N23" i="11"/>
  <c r="M23" i="11"/>
  <c r="G23" i="11"/>
  <c r="O22" i="11"/>
  <c r="O21" i="11"/>
  <c r="O20" i="11"/>
  <c r="O23" i="11" s="1"/>
  <c r="O19" i="11"/>
  <c r="O25" i="11" s="1"/>
  <c r="L25" i="10"/>
  <c r="I25" i="10"/>
  <c r="F25" i="10"/>
  <c r="C25" i="10"/>
  <c r="N23" i="10"/>
  <c r="M23" i="10"/>
  <c r="G23" i="10"/>
  <c r="O22" i="10"/>
  <c r="O21" i="10"/>
  <c r="O20" i="10"/>
  <c r="O23" i="10" s="1"/>
  <c r="O19" i="10"/>
  <c r="O25" i="10" s="1"/>
  <c r="L25" i="9"/>
  <c r="I25" i="9"/>
  <c r="F25" i="9"/>
  <c r="C25" i="9"/>
  <c r="N23" i="9"/>
  <c r="M23" i="9"/>
  <c r="G23" i="9"/>
  <c r="O22" i="9"/>
  <c r="O21" i="9"/>
  <c r="O20" i="9"/>
  <c r="O19" i="9"/>
  <c r="O25" i="9"/>
  <c r="L25" i="8"/>
  <c r="I25" i="8"/>
  <c r="F25" i="8"/>
  <c r="C25" i="8"/>
  <c r="N23" i="8"/>
  <c r="M23" i="8"/>
  <c r="G23" i="8"/>
  <c r="O22" i="8"/>
  <c r="O21" i="8"/>
  <c r="O20" i="8"/>
  <c r="O19" i="8"/>
  <c r="O23" i="8" s="1"/>
  <c r="L25" i="7"/>
  <c r="I25" i="7"/>
  <c r="F25" i="7"/>
  <c r="C25" i="7"/>
  <c r="N23" i="7"/>
  <c r="M23" i="7"/>
  <c r="G23" i="7"/>
  <c r="O22" i="7"/>
  <c r="O21" i="7"/>
  <c r="O20" i="7"/>
  <c r="O19" i="7"/>
  <c r="O18" i="7"/>
  <c r="O17" i="7"/>
  <c r="O16" i="7"/>
  <c r="O15" i="7"/>
  <c r="O14" i="7"/>
  <c r="O13" i="7"/>
  <c r="N49" i="6"/>
  <c r="N44" i="6"/>
  <c r="N39" i="6"/>
  <c r="N34" i="6"/>
  <c r="N29" i="6"/>
  <c r="N24" i="6"/>
  <c r="N19" i="6"/>
  <c r="N13" i="6"/>
  <c r="N8" i="6"/>
  <c r="N3" i="6"/>
  <c r="O44" i="2"/>
  <c r="O23" i="13" l="1"/>
  <c r="O25" i="12"/>
  <c r="O23" i="9"/>
  <c r="O25" i="8"/>
  <c r="O25" i="7"/>
  <c r="O23" i="7"/>
  <c r="L25" i="4"/>
  <c r="I25" i="4"/>
  <c r="F25" i="4"/>
  <c r="C25" i="4"/>
  <c r="N23" i="4"/>
  <c r="M23" i="4"/>
  <c r="G23" i="4"/>
  <c r="O22" i="4"/>
  <c r="O21" i="4"/>
  <c r="O20" i="4"/>
  <c r="O19" i="4"/>
  <c r="O18" i="4"/>
  <c r="O17" i="4"/>
  <c r="O16" i="4"/>
  <c r="O15" i="4"/>
  <c r="O14" i="4"/>
  <c r="O13" i="4"/>
  <c r="O25" i="4" l="1"/>
  <c r="O23" i="4"/>
  <c r="O13" i="2"/>
  <c r="O99" i="2"/>
  <c r="O94" i="2"/>
  <c r="O89" i="2"/>
  <c r="O84" i="2"/>
  <c r="O79" i="2"/>
  <c r="O74" i="2"/>
  <c r="O69" i="2"/>
  <c r="O64" i="2"/>
  <c r="O59" i="2"/>
  <c r="O54" i="2"/>
  <c r="O49" i="2"/>
  <c r="O29" i="2"/>
  <c r="O39" i="2"/>
  <c r="O19" i="2"/>
  <c r="O24" i="2"/>
  <c r="O34" i="2"/>
  <c r="O8" i="2"/>
  <c r="O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3CE57EB-8279-44C5-BC5E-AF68392A049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9230D680-E36C-4B5C-90F8-117899043F10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2FF21D7-0CDA-4EBA-B44F-6C013480E9B2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C1D189A-336E-4A36-9663-B67ED23A23F5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BD121087-DEBE-42EB-9AB3-B6B8B669BC37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E1CD0178-B82F-4347-8277-FE815B0E0A13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215D8B95-580F-4A09-B4F3-7E644BC0EAC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31DD26E1-5997-4F7A-BBEA-3D04C8695FC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5760E3D-2C5C-4FC3-986E-CC82B65E356F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27D13FF1-85CB-4861-B5F8-0B2D1017E054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D4549DCA-FE5E-47D7-AA56-E65DA2F90FC6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D79AD91F-273B-4575-A095-F1AA9717441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5132AF07-F13C-4912-82B7-0E6642C8D6A4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51C9CD2-2AB8-487B-A08F-3C24F7B6E8F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888ED9AA-3943-45EC-8C4E-B73DFD32F5C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948C518-57AB-41B1-91BA-31FB699CFF47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DC24D398-3B04-4E40-9BDD-EBAA5A96C46D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9581BC2-3B0B-46AC-A7DF-919527F70189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2BC4A9A4-7C18-4314-84E5-295961176FC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E39A659-7F93-49FE-BE4D-7423B7B9A61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8B7532CB-ABC4-4471-BB93-9456800DD93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E2932957-0984-43BB-996C-6F9A83E16D8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FDE44F5D-BB01-4240-B570-98BDDBE24A47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D771B00-2958-4D07-9176-3556FB0D1B6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4862B19D-A4D5-4A0F-9628-8D14BAEE86BB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A9841203-BE65-4A0A-A5C9-C21545B60740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A78B3D38-6696-4351-BEE4-E33C9E6E5A6D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F3F410F3-07DB-4D6F-A97C-6B6A4867F17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443ABEF-C4D5-4570-A628-F1EEF831190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A2BCE29-E64A-4167-8DD3-E94DB5805739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605AF38A-6808-4E8E-8091-BD054A95F248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510C2D0-2C0B-49B8-99F0-078E9EFF08BC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73A35DC6-3737-4635-A2D1-883EAFC88BCE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037FA48-2709-4879-8112-21A35A1C7122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5EFF09B0-9AC8-4E2E-A686-8A8D8773DA4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936902B-ED90-40FE-B6F0-FEE003BF4A8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C9F282B6-971E-4021-9556-93F882C5844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174C8F48-8981-410C-996D-91FF11638796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<sst xmlns="http://schemas.openxmlformats.org/spreadsheetml/2006/main" count="4020" uniqueCount="436">
  <si>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</si>
  <si>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</si>
  <si>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</si>
  <si>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</si>
  <si>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</si>
  <si>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</si>
  <si>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</si>
  <si>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</si>
  <si>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</si>
  <si>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</si>
  <si>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</si>
  <si>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Container</t>
  </si>
  <si>
    <t>Parti</t>
  </si>
  <si>
    <t>Tanım</t>
  </si>
  <si>
    <t>Balya Ağırlığı (kg)</t>
  </si>
  <si>
    <t>Container Toplam (kg)</t>
  </si>
  <si>
    <t>2613H40044</t>
  </si>
  <si>
    <t>HRL 4275 4,00X1500X8000-14</t>
  </si>
  <si>
    <t>2613H30074</t>
  </si>
  <si>
    <t>HRL 4237 10,00X1500X6900-2</t>
  </si>
  <si>
    <t>2611H30298</t>
  </si>
  <si>
    <t>HRL S235JR 12,00X1500X8000-4</t>
  </si>
  <si>
    <t>2613H30100</t>
  </si>
  <si>
    <t>HRL 4237 12,00X1500X8000-4</t>
  </si>
  <si>
    <t>2613H30101</t>
  </si>
  <si>
    <t>2613H30106</t>
  </si>
  <si>
    <t>2613H30028</t>
  </si>
  <si>
    <t>HRL 4275 6,00X1500X6900-11</t>
  </si>
  <si>
    <t>2611H30324</t>
  </si>
  <si>
    <t>HRL S235JR 12,00X1500X8000-6</t>
  </si>
  <si>
    <t>2613H30108</t>
  </si>
  <si>
    <t>2613H30109</t>
  </si>
  <si>
    <t>HRL 4237 12,00X1500X8000-3</t>
  </si>
  <si>
    <t>2613H30110</t>
  </si>
  <si>
    <t>HRL 4237 12,00X1500X6900-5</t>
  </si>
  <si>
    <t>2611H30237</t>
  </si>
  <si>
    <t>HRL S235JR 8,00X1500X6900-8</t>
  </si>
  <si>
    <t>2611H30256</t>
  </si>
  <si>
    <t>2611H30261</t>
  </si>
  <si>
    <t>HRL S235JR 10,00X1500X6900-6</t>
  </si>
  <si>
    <t>2611H30267</t>
  </si>
  <si>
    <t>2611H30268</t>
  </si>
  <si>
    <t>2613H40010</t>
  </si>
  <si>
    <t>HRL 4275 3,00X1500X8000-17</t>
  </si>
  <si>
    <t>2611H30271</t>
  </si>
  <si>
    <t>HRL S235JR 10,00X1500X6900-5</t>
  </si>
  <si>
    <t>2611H30312</t>
  </si>
  <si>
    <t>HRL S235JR 12,00X1500X6900-5</t>
  </si>
  <si>
    <t>2611H30321</t>
  </si>
  <si>
    <t>HRL S235JR 12,00X1500X8000-5</t>
  </si>
  <si>
    <t>2611H30322</t>
  </si>
  <si>
    <t>2612H30044</t>
  </si>
  <si>
    <t>HRL 4275 6,00X1500X6000-12</t>
  </si>
  <si>
    <t>2611H30273</t>
  </si>
  <si>
    <t>2611H30296</t>
  </si>
  <si>
    <t>2611H30299</t>
  </si>
  <si>
    <t>2611H30319</t>
  </si>
  <si>
    <t>2613H40009</t>
  </si>
  <si>
    <t>2611H30263</t>
  </si>
  <si>
    <t>2611H30264</t>
  </si>
  <si>
    <t>2611H30269</t>
  </si>
  <si>
    <t>2611H30325</t>
  </si>
  <si>
    <t>2613H40042</t>
  </si>
  <si>
    <t>2613H40045</t>
  </si>
  <si>
    <t>HRL 4275 4,00X1500X8000-12</t>
  </si>
  <si>
    <t>2611H30241</t>
  </si>
  <si>
    <t>2611H30246</t>
  </si>
  <si>
    <t>2613H30104</t>
  </si>
  <si>
    <t>2613H40043</t>
  </si>
  <si>
    <t>2611H30248</t>
  </si>
  <si>
    <t>2611H30262</t>
  </si>
  <si>
    <t>2611H30265</t>
  </si>
  <si>
    <t>2611H30294</t>
  </si>
  <si>
    <t>2613H40002</t>
  </si>
  <si>
    <t>2611H30252</t>
  </si>
  <si>
    <t>2611H30315</t>
  </si>
  <si>
    <t>2611H30323</t>
  </si>
  <si>
    <t>2613H30102</t>
  </si>
  <si>
    <t>2611H30243</t>
  </si>
  <si>
    <t>2611H30257</t>
  </si>
  <si>
    <t>2611H30270</t>
  </si>
  <si>
    <t>2611H30314</t>
  </si>
  <si>
    <t>2611H30318</t>
  </si>
  <si>
    <t>2613H40030</t>
  </si>
  <si>
    <t>2611H30292</t>
  </si>
  <si>
    <t>2611H30320</t>
  </si>
  <si>
    <t>HRL S235JR 12,00X1500X6900-4</t>
  </si>
  <si>
    <t>2611H30328</t>
  </si>
  <si>
    <t>2613H30103</t>
  </si>
  <si>
    <t>2613H40008</t>
  </si>
  <si>
    <t>2613H30030</t>
  </si>
  <si>
    <t>2611H30247</t>
  </si>
  <si>
    <t>2611H30251</t>
  </si>
  <si>
    <t>2611H30291</t>
  </si>
  <si>
    <t>2613H40041</t>
  </si>
  <si>
    <t>2611H30238</t>
  </si>
  <si>
    <t>2611H30253</t>
  </si>
  <si>
    <t>2611H30290</t>
  </si>
  <si>
    <t>2611H30317</t>
  </si>
  <si>
    <t>2613H40004</t>
  </si>
  <si>
    <t>2611H30242</t>
  </si>
  <si>
    <t>2611H30293</t>
  </si>
  <si>
    <t>2611H30313</t>
  </si>
  <si>
    <t>2611H30327</t>
  </si>
  <si>
    <t>2613H40003</t>
  </si>
  <si>
    <t>2613H40011</t>
  </si>
  <si>
    <t>2613H40032</t>
  </si>
  <si>
    <t>2612H30043</t>
  </si>
  <si>
    <t>HRL 4275 6,00X1500X6900-7</t>
  </si>
  <si>
    <t>2611H30310</t>
  </si>
  <si>
    <t>2613H40033</t>
  </si>
  <si>
    <t>2611H30236</t>
  </si>
  <si>
    <t>2611H30259</t>
  </si>
  <si>
    <t>HRL S235JR 8,00X1500X6000-9</t>
  </si>
  <si>
    <t>2611H30297</t>
  </si>
  <si>
    <t>2611H30309</t>
  </si>
  <si>
    <t>2611H30254</t>
  </si>
  <si>
    <t>2611H30295</t>
  </si>
  <si>
    <t>2611H30311</t>
  </si>
  <si>
    <t>2611H30316</t>
  </si>
  <si>
    <t>2611H30326</t>
  </si>
  <si>
    <t>2613H40005</t>
  </si>
  <si>
    <t>2613H40031</t>
  </si>
  <si>
    <t>2612H30042</t>
  </si>
  <si>
    <t>HRL 4275 6,00X1500X6900-10</t>
  </si>
  <si>
    <t>2613H30031</t>
  </si>
  <si>
    <t>2611H30258</t>
  </si>
  <si>
    <t>2613H40029</t>
  </si>
  <si>
    <t>2612H30040</t>
  </si>
  <si>
    <t>2612H30041</t>
  </si>
  <si>
    <t>2613H30029</t>
  </si>
  <si>
    <t>2613H30107</t>
  </si>
  <si>
    <t>2613H40052</t>
  </si>
  <si>
    <t>HRL 4275 4,00X1500X6000-8</t>
  </si>
  <si>
    <t>2611H30274</t>
  </si>
  <si>
    <t>HRL S235JR 10,00X1500X6900-7</t>
  </si>
  <si>
    <t>2611H30275</t>
  </si>
  <si>
    <t>2611H30307</t>
  </si>
  <si>
    <t>2611H30308</t>
  </si>
  <si>
    <t>Kalınlık</t>
  </si>
  <si>
    <t>Genişlik</t>
  </si>
  <si>
    <t>Boy</t>
  </si>
  <si>
    <t>Tahditsiz klnb.</t>
  </si>
  <si>
    <t/>
  </si>
  <si>
    <t>Container NO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</si>
  <si>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</si>
  <si>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</si>
  <si>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</si>
  <si>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</si>
  <si>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</si>
  <si>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</si>
  <si>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</si>
  <si>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</si>
  <si>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</si>
  <si>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</si>
  <si>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</si>
  <si>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</si>
  <si>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</si>
  <si>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</si>
  <si>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</si>
  <si>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</si>
  <si>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</si>
  <si>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</si>
  <si>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</si>
  <si>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</si>
  <si>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</si>
  <si>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</si>
  <si>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</si>
  <si>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</si>
  <si>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</si>
  <si>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</si>
  <si>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</si>
  <si>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</si>
  <si>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</si>
  <si>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</si>
  <si>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</si>
  <si>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</si>
  <si>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</si>
  <si>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</si>
  <si>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</si>
  <si>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</si>
  <si>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</si>
  <si>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</si>
  <si>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</si>
  <si>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</si>
  <si>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</si>
  <si>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</si>
  <si>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</si>
  <si>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</si>
  <si>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</si>
  <si>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</si>
  <si>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</si>
  <si>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</si>
  <si>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</si>
  <si>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</si>
  <si>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</si>
  <si>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</si>
  <si>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</si>
  <si>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</si>
  <si>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</si>
  <si>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</si>
  <si>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</si>
  <si>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</si>
  <si>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</si>
  <si>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</si>
  <si>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</si>
  <si>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</si>
  <si>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</si>
  <si>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</si>
  <si>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</si>
  <si>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</si>
  <si>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Konteyner</t>
  </si>
  <si>
    <t>Tip</t>
  </si>
  <si>
    <t>Konteyner Mührü</t>
  </si>
  <si>
    <t>Çadır Mührü</t>
  </si>
  <si>
    <t>Şoför</t>
  </si>
  <si>
    <t>Plaka</t>
  </si>
  <si>
    <t>Dorse</t>
  </si>
  <si>
    <t>Telefon</t>
  </si>
  <si>
    <t>TEXU157632-4</t>
  </si>
  <si>
    <t>400T</t>
  </si>
  <si>
    <t>M2794105</t>
  </si>
  <si>
    <t>EM4092443</t>
  </si>
  <si>
    <t>MEHMET ALİ ABA</t>
  </si>
  <si>
    <t>31ADC357</t>
  </si>
  <si>
    <t>31AFF019</t>
  </si>
  <si>
    <t>TRIU052057-7</t>
  </si>
  <si>
    <t>M2765382</t>
  </si>
  <si>
    <t>EM4093008</t>
  </si>
  <si>
    <t>RIDVAN ŞAHİN</t>
  </si>
  <si>
    <t>31ADC711</t>
  </si>
  <si>
    <t>31ACM593</t>
  </si>
  <si>
    <t>TCLU714897-6</t>
  </si>
  <si>
    <t>M2765360</t>
  </si>
  <si>
    <t>EM4093007</t>
  </si>
  <si>
    <t>HARUN AKTEPE</t>
  </si>
  <si>
    <t>31APH364</t>
  </si>
  <si>
    <t>31APE283</t>
  </si>
  <si>
    <t>TCLU706964-5</t>
  </si>
  <si>
    <t>M2794687</t>
  </si>
  <si>
    <t>EM4093024</t>
  </si>
  <si>
    <t>EŞREF ÇELTİK</t>
  </si>
  <si>
    <t>31B4211</t>
  </si>
  <si>
    <t>31ARE005</t>
  </si>
  <si>
    <t>TCLU715830-0</t>
  </si>
  <si>
    <t>M2794697</t>
  </si>
  <si>
    <t>EM4093021</t>
  </si>
  <si>
    <t>HALİT ERDEM</t>
  </si>
  <si>
    <t>31B4214</t>
  </si>
  <si>
    <t>31ARE765</t>
  </si>
  <si>
    <t>TEXU158527-0</t>
  </si>
  <si>
    <t>M2794672</t>
  </si>
  <si>
    <t>EM4093022</t>
  </si>
  <si>
    <t>FERHAT KILIÇ</t>
  </si>
  <si>
    <t>31ADC11</t>
  </si>
  <si>
    <t>31ATG346</t>
  </si>
  <si>
    <t>TRIU053641-8</t>
  </si>
  <si>
    <t>M2793473</t>
  </si>
  <si>
    <t>EM4093026</t>
  </si>
  <si>
    <t>TCLU716779-1</t>
  </si>
  <si>
    <t>M2794677</t>
  </si>
  <si>
    <t>EM4093029</t>
  </si>
  <si>
    <t>OĞUZHAN İNCE</t>
  </si>
  <si>
    <t>31ADC356</t>
  </si>
  <si>
    <t>31ACM572</t>
  </si>
  <si>
    <t>TRIU056653-6</t>
  </si>
  <si>
    <t>M2794103</t>
  </si>
  <si>
    <t>EM4093023</t>
  </si>
  <si>
    <t>MEHMET SÜRER</t>
  </si>
  <si>
    <t>31ADC557</t>
  </si>
  <si>
    <t>31ATG344</t>
  </si>
  <si>
    <t>TRIU056682-9</t>
  </si>
  <si>
    <t>M2794128</t>
  </si>
  <si>
    <t>EM4093025</t>
  </si>
  <si>
    <t>MUZAFFER GARİPOĞLU</t>
  </si>
  <si>
    <t>31ADC355</t>
  </si>
  <si>
    <t>31ACM585</t>
  </si>
  <si>
    <t>Atakaş Toplam (kg)</t>
  </si>
  <si>
    <t>Atakaş</t>
  </si>
  <si>
    <t xml:space="preserve">Africa Road for Asphalt and Petroleum Insulation Industries </t>
  </si>
  <si>
    <t>VMP-S01064</t>
  </si>
  <si>
    <t>CIF</t>
  </si>
  <si>
    <t>Limak Port İskenderun</t>
  </si>
  <si>
    <t>Bingazi Port</t>
  </si>
  <si>
    <t>Türkiye</t>
  </si>
  <si>
    <t>CMA CGM NANSHA / 0NVLPN1MA</t>
  </si>
  <si>
    <t>EUR</t>
  </si>
  <si>
    <t>Description</t>
  </si>
  <si>
    <t>Quantity</t>
  </si>
  <si>
    <t>Unit</t>
  </si>
  <si>
    <t>Pcs</t>
  </si>
  <si>
    <t>Bundle</t>
  </si>
  <si>
    <t>7208.51.20.00.00</t>
  </si>
  <si>
    <t>Kantar Giriş</t>
  </si>
  <si>
    <t>Kantar Çıkış</t>
  </si>
  <si>
    <t>Gross (kg)</t>
  </si>
  <si>
    <t>Net(kg)</t>
  </si>
  <si>
    <t>17.43</t>
  </si>
  <si>
    <t>18.36</t>
  </si>
  <si>
    <t>Sıra</t>
  </si>
  <si>
    <t>12.47</t>
  </si>
  <si>
    <t>14.46</t>
  </si>
  <si>
    <t>16.38</t>
  </si>
  <si>
    <t>17.58</t>
  </si>
  <si>
    <t>16.35</t>
  </si>
  <si>
    <t>17.49</t>
  </si>
  <si>
    <t>25120</t>
  </si>
  <si>
    <t>15.38</t>
  </si>
  <si>
    <t>17.17</t>
  </si>
  <si>
    <t>25180</t>
  </si>
  <si>
    <t>12.45</t>
  </si>
  <si>
    <t>14.45</t>
  </si>
  <si>
    <t>14.42</t>
  </si>
  <si>
    <t>16.31</t>
  </si>
  <si>
    <t>25160</t>
  </si>
  <si>
    <t>09.09</t>
  </si>
  <si>
    <t>11.50</t>
  </si>
  <si>
    <t>24240</t>
  </si>
  <si>
    <t>17.21</t>
  </si>
  <si>
    <t>18.19</t>
  </si>
  <si>
    <t>14.15</t>
  </si>
  <si>
    <t>15.37</t>
  </si>
  <si>
    <t>25300</t>
  </si>
  <si>
    <t>L
(mm)</t>
  </si>
  <si>
    <t>W
(mm)</t>
  </si>
  <si>
    <t>H
(mm)</t>
  </si>
  <si>
    <t>L (mm)</t>
  </si>
  <si>
    <t>W (mm)</t>
  </si>
  <si>
    <t>H (mm)</t>
  </si>
  <si>
    <t>St37 Steel Sheet 6x1500x6900 mm</t>
  </si>
  <si>
    <t>St37 Steel Sheet 12x1500x8000  mm</t>
  </si>
  <si>
    <t>St37 Steel Sheet 12x1500x6900  mm</t>
  </si>
  <si>
    <t>St37 Steel Sheet 8x1500x6900 mm</t>
  </si>
  <si>
    <t>St37 Steel Sheet 10x1500x6900 mm</t>
  </si>
  <si>
    <t>St37 Steel Sheet 4x1500x8000 mm</t>
  </si>
  <si>
    <t>St37 Steel Sheet 12x1500x8000 mm</t>
  </si>
  <si>
    <t>St37 Steel Sheet 12x1500x6900 mm</t>
  </si>
  <si>
    <t>St37 Steel Sheet 6x1500x6000 mm</t>
  </si>
  <si>
    <t>St37 Steel Sheet 3x1500x8000 mm</t>
  </si>
  <si>
    <t>Tarih</t>
  </si>
  <si>
    <t>TCLU7139589</t>
  </si>
  <si>
    <t>M2792116</t>
  </si>
  <si>
    <t>EM4093043</t>
  </si>
  <si>
    <t>TCLU7112490</t>
  </si>
  <si>
    <t>M2794145</t>
  </si>
  <si>
    <t>EM4093049</t>
  </si>
  <si>
    <t>TEXU1581022</t>
  </si>
  <si>
    <t>M2794110</t>
  </si>
  <si>
    <t>EM4093050</t>
  </si>
  <si>
    <t>TLLU1265510</t>
  </si>
  <si>
    <t>M2794637</t>
  </si>
  <si>
    <t>EM4093044</t>
  </si>
  <si>
    <t>CELAL AKYOL</t>
  </si>
  <si>
    <t>31ADC011</t>
  </si>
  <si>
    <t>31ACM546</t>
  </si>
  <si>
    <t>TRIU0520849</t>
  </si>
  <si>
    <t>M2792117</t>
  </si>
  <si>
    <t>EM4093048</t>
  </si>
  <si>
    <t>MUZAFFER GARİOĞLU</t>
  </si>
  <si>
    <t>TLLU1263332</t>
  </si>
  <si>
    <t>M2792125</t>
  </si>
  <si>
    <t>EM4093047</t>
  </si>
  <si>
    <t>SEGU734199-1</t>
  </si>
  <si>
    <t>M2792224</t>
  </si>
  <si>
    <t>EM4093042</t>
  </si>
  <si>
    <t>ENES KILIÇ</t>
  </si>
  <si>
    <t>31ADC344</t>
  </si>
  <si>
    <t>31APJ338</t>
  </si>
  <si>
    <t>11.34</t>
  </si>
  <si>
    <t>10.33</t>
  </si>
  <si>
    <t>10.17</t>
  </si>
  <si>
    <t>11.18</t>
  </si>
  <si>
    <t>9.33</t>
  </si>
  <si>
    <t>10.11</t>
  </si>
  <si>
    <t>8.48</t>
  </si>
  <si>
    <t>9.55</t>
  </si>
  <si>
    <t>9.07</t>
  </si>
  <si>
    <t>10.31</t>
  </si>
  <si>
    <t>9.59</t>
  </si>
  <si>
    <t>11.09</t>
  </si>
  <si>
    <t>ABC sıra</t>
  </si>
  <si>
    <t>İRSALİYE NO</t>
  </si>
  <si>
    <t>FATURA NO</t>
  </si>
  <si>
    <t>ASM2026000000541</t>
  </si>
  <si>
    <t>ASM2026000000538</t>
  </si>
  <si>
    <t>ASM2026000000542</t>
  </si>
  <si>
    <t>ASM2026000000546</t>
  </si>
  <si>
    <t>ASM2026000000545</t>
  </si>
  <si>
    <t>ASM2026000000548</t>
  </si>
  <si>
    <t>ASM2026000000543</t>
  </si>
  <si>
    <t>ASM2026000000549</t>
  </si>
  <si>
    <t>ASM2026000000547</t>
  </si>
  <si>
    <t>ASM2026000000550</t>
  </si>
  <si>
    <t>ASM2026000000557</t>
  </si>
  <si>
    <t>ASM2026000000556</t>
  </si>
  <si>
    <t>ASM2026000000558</t>
  </si>
  <si>
    <t>VMP-S01064 X</t>
  </si>
  <si>
    <t>TRIU052057-7 (ASM2026000000538)</t>
  </si>
  <si>
    <t>TCLU714897-6 (ASM2026000000542)</t>
  </si>
  <si>
    <t>TCLU706964-5 (ASM2026000000546)</t>
  </si>
  <si>
    <t>TCLU715830-0 (ASM2026000000545)</t>
  </si>
  <si>
    <t>TRIU053641-8 (ASM2026000000548)</t>
  </si>
  <si>
    <t>TEXU158527-0 (ASM2026000000543)</t>
  </si>
  <si>
    <t>TRIU056682-9 (ASM2026000000549)</t>
  </si>
  <si>
    <t>TCLU716779-1 (ASM2026000000547)</t>
  </si>
  <si>
    <t>TRIU056653-6 (ASM2026000000550)</t>
  </si>
  <si>
    <t>40OT</t>
  </si>
  <si>
    <t>TCLU700218-0</t>
  </si>
  <si>
    <t>M2794706</t>
  </si>
  <si>
    <t>EM4093051</t>
  </si>
  <si>
    <t>TRLU641946-0</t>
  </si>
  <si>
    <t>M2794715</t>
  </si>
  <si>
    <t>EM4093059</t>
  </si>
  <si>
    <t>TCLU716284-5</t>
  </si>
  <si>
    <t>M2794750</t>
  </si>
  <si>
    <t>EM4093060</t>
  </si>
  <si>
    <t>TCLU7063591</t>
  </si>
  <si>
    <t>M2794120</t>
  </si>
  <si>
    <t>EM4093058</t>
  </si>
  <si>
    <t>7208.51.20.90.19</t>
  </si>
  <si>
    <t>7208.40.00.10.19</t>
  </si>
  <si>
    <t>ASM2026000000560</t>
  </si>
  <si>
    <t>ASM2026000000561</t>
  </si>
  <si>
    <t>St37 Steel Sheet 8x1500x6000 mm</t>
  </si>
  <si>
    <t>ASM2026000000571</t>
  </si>
  <si>
    <t>HRL 4237 12,00X1500X6900-6</t>
  </si>
  <si>
    <t>2615H30001</t>
  </si>
  <si>
    <t>2615H30002</t>
  </si>
  <si>
    <t>2615H30003</t>
  </si>
  <si>
    <t>2615H30004</t>
  </si>
  <si>
    <t>St37 Steel Sheet 4x1500x6000 mm</t>
  </si>
  <si>
    <t>ASM2026000000559</t>
  </si>
  <si>
    <t>ASM2026000000563</t>
  </si>
  <si>
    <t>ASM2026000000569</t>
  </si>
  <si>
    <t>ASM2026000000565</t>
  </si>
  <si>
    <t>ASM2026000000570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</si>
</sst>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"/>
    <numFmt numFmtId="166" formatCode="yyyy\-mm\-dd"/>
    <numFmt numFmtId="167" formatCode="[$-F400]h:mm:ss\ AM/PM"/>
  </numFmts>
  <fonts count="2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</font>
    <font>
      <b/>
      <sz val="18"/>
      <color rgb="FF1F4E78"/>
      <name val="Calibri"/>
    </font>
    <font>
      <b/>
      <sz val="10"/>
      <name val="Calibri"/>
      <family val="2"/>
      <charset val="162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666666"/>
      <name val="Calibri"/>
    </font>
    <font>
      <i/>
      <sz val="9"/>
      <color rgb="FF666666"/>
      <name val="Calibri"/>
    </font>
    <font>
      <b/>
      <sz val="14"/>
      <color rgb="FF1F4E78"/>
      <name val="Calibri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8"/>
      <name val="Aptos Narrow"/>
      <family val="2"/>
      <charset val="162"/>
      <scheme val="minor"/>
    </font>
    <font>
      <b/>
      <sz val="10"/>
      <color rgb="FFFFFFFF"/>
      <name val="Calibri"/>
      <family val="2"/>
      <charset val="162"/>
    </font>
    <font>
      <b/>
      <sz val="10"/>
      <color theme="1"/>
      <name val="Aptos Narrow"/>
      <family val="2"/>
      <scheme val="minor"/>
    </font>
    <font>
      <sz val="11"/>
      <color rgb="FF1F497D"/>
      <name val="Calibri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E1E9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8D8C6"/>
        <bgColor indexed="64"/>
      </patternFill>
    </fill>
    <fill>
      <patternFill patternType="solid">
        <fgColor rgb="FFE6EEB4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17F9D"/>
        <bgColor indexed="64"/>
      </patternFill>
    </fill>
    <fill>
      <patternFill patternType="solid">
        <fgColor rgb="FF6F9FB5"/>
        <bgColor indexed="64"/>
      </patternFill>
    </fill>
    <fill>
      <patternFill patternType="solid">
        <fgColor rgb="FFABD1B1"/>
        <bgColor indexed="64"/>
      </patternFill>
    </fill>
    <fill>
      <patternFill patternType="solid">
        <fgColor rgb="FFAA785A"/>
        <bgColor indexed="64"/>
      </patternFill>
    </fill>
    <fill>
      <patternFill patternType="solid">
        <fgColor rgb="FFA5739A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30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top"/>
    </xf>
    <xf numFmtId="0" fontId="2" fillId="0" borderId="0" xfId="1" applyAlignment="1">
      <alignment vertical="center"/>
    </xf>
    <xf numFmtId="0" fontId="2" fillId="0" borderId="0" xfId="1" applyAlignment="1">
      <alignment horizontal="center" vertical="center"/>
    </xf>
    <xf numFmtId="0" fontId="2" fillId="5" borderId="1" xfId="1" applyFill="1" applyBorder="1" applyAlignment="1">
      <alignment vertical="center"/>
    </xf>
    <xf numFmtId="3" fontId="2" fillId="5" borderId="1" xfId="1" applyNumberFormat="1" applyFill="1" applyBorder="1" applyAlignment="1">
      <alignment horizontal="center" vertical="center"/>
    </xf>
    <xf numFmtId="0" fontId="2" fillId="3" borderId="0" xfId="1" applyFill="1" applyAlignment="1">
      <alignment vertical="top"/>
    </xf>
    <xf numFmtId="0" fontId="2" fillId="6" borderId="0" xfId="1" applyFill="1" applyAlignment="1">
      <alignment vertical="center"/>
    </xf>
    <xf numFmtId="164" fontId="2" fillId="6" borderId="0" xfId="1" applyNumberFormat="1" applyFill="1" applyAlignment="1">
      <alignment horizontal="center" vertical="center"/>
    </xf>
    <xf numFmtId="165" fontId="2" fillId="6" borderId="0" xfId="1" applyNumberFormat="1" applyFill="1" applyAlignment="1">
      <alignment horizontal="center" vertical="center"/>
    </xf>
    <xf numFmtId="3" fontId="2" fillId="6" borderId="0" xfId="1" applyNumberFormat="1" applyFill="1" applyAlignment="1">
      <alignment horizontal="center" vertical="center"/>
    </xf>
    <xf numFmtId="0" fontId="2" fillId="7" borderId="0" xfId="1" applyFill="1" applyAlignment="1">
      <alignment vertical="center"/>
    </xf>
    <xf numFmtId="164" fontId="2" fillId="7" borderId="0" xfId="1" applyNumberFormat="1" applyFill="1" applyAlignment="1">
      <alignment horizontal="center" vertical="center"/>
    </xf>
    <xf numFmtId="165" fontId="2" fillId="7" borderId="0" xfId="1" applyNumberFormat="1" applyFill="1" applyAlignment="1">
      <alignment horizontal="center" vertical="center"/>
    </xf>
    <xf numFmtId="3" fontId="2" fillId="7" borderId="0" xfId="1" applyNumberFormat="1" applyFill="1" applyAlignment="1">
      <alignment horizontal="center" vertical="center"/>
    </xf>
    <xf numFmtId="0" fontId="2" fillId="8" borderId="0" xfId="1" applyFill="1" applyAlignment="1">
      <alignment vertical="center"/>
    </xf>
    <xf numFmtId="164" fontId="2" fillId="8" borderId="0" xfId="1" applyNumberFormat="1" applyFill="1" applyAlignment="1">
      <alignment horizontal="center" vertical="center"/>
    </xf>
    <xf numFmtId="165" fontId="2" fillId="8" borderId="0" xfId="1" applyNumberFormat="1" applyFill="1" applyAlignment="1">
      <alignment horizontal="center" vertical="center"/>
    </xf>
    <xf numFmtId="3" fontId="2" fillId="8" borderId="0" xfId="1" applyNumberFormat="1" applyFill="1" applyAlignment="1">
      <alignment horizontal="center" vertical="center"/>
    </xf>
    <xf numFmtId="0" fontId="2" fillId="9" borderId="0" xfId="1" applyFill="1" applyAlignment="1">
      <alignment vertical="center"/>
    </xf>
    <xf numFmtId="164" fontId="2" fillId="9" borderId="0" xfId="1" applyNumberFormat="1" applyFill="1" applyAlignment="1">
      <alignment horizontal="center" vertical="center"/>
    </xf>
    <xf numFmtId="165" fontId="2" fillId="9" borderId="0" xfId="1" applyNumberFormat="1" applyFill="1" applyAlignment="1">
      <alignment horizontal="center" vertical="center"/>
    </xf>
    <xf numFmtId="3" fontId="2" fillId="9" borderId="0" xfId="1" applyNumberFormat="1" applyFill="1" applyAlignment="1">
      <alignment horizontal="center" vertical="center"/>
    </xf>
    <xf numFmtId="0" fontId="2" fillId="10" borderId="0" xfId="1" applyFill="1" applyAlignment="1">
      <alignment vertical="center"/>
    </xf>
    <xf numFmtId="164" fontId="2" fillId="10" borderId="0" xfId="1" applyNumberFormat="1" applyFill="1" applyAlignment="1">
      <alignment horizontal="center" vertical="center"/>
    </xf>
    <xf numFmtId="165" fontId="2" fillId="10" borderId="0" xfId="1" applyNumberFormat="1" applyFill="1" applyAlignment="1">
      <alignment horizontal="center" vertical="center"/>
    </xf>
    <xf numFmtId="3" fontId="2" fillId="10" borderId="0" xfId="1" applyNumberFormat="1" applyFill="1" applyAlignment="1">
      <alignment horizontal="center" vertical="center"/>
    </xf>
    <xf numFmtId="0" fontId="2" fillId="11" borderId="0" xfId="1" applyFill="1" applyAlignment="1">
      <alignment vertical="center"/>
    </xf>
    <xf numFmtId="164" fontId="2" fillId="11" borderId="0" xfId="1" applyNumberFormat="1" applyFill="1" applyAlignment="1">
      <alignment horizontal="center" vertical="center"/>
    </xf>
    <xf numFmtId="165" fontId="2" fillId="11" borderId="0" xfId="1" applyNumberFormat="1" applyFill="1" applyAlignment="1">
      <alignment horizontal="center" vertical="center"/>
    </xf>
    <xf numFmtId="3" fontId="2" fillId="11" borderId="0" xfId="1" applyNumberFormat="1" applyFill="1" applyAlignment="1">
      <alignment horizontal="center" vertical="center"/>
    </xf>
    <xf numFmtId="0" fontId="2" fillId="12" borderId="0" xfId="1" applyFill="1" applyAlignment="1">
      <alignment vertical="center"/>
    </xf>
    <xf numFmtId="164" fontId="2" fillId="12" borderId="0" xfId="1" applyNumberFormat="1" applyFill="1" applyAlignment="1">
      <alignment horizontal="center" vertical="center"/>
    </xf>
    <xf numFmtId="165" fontId="2" fillId="12" borderId="0" xfId="1" applyNumberFormat="1" applyFill="1" applyAlignment="1">
      <alignment horizontal="center" vertical="center"/>
    </xf>
    <xf numFmtId="3" fontId="2" fillId="12" borderId="0" xfId="1" applyNumberFormat="1" applyFill="1" applyAlignment="1">
      <alignment horizontal="center" vertical="center"/>
    </xf>
    <xf numFmtId="0" fontId="2" fillId="13" borderId="0" xfId="1" applyFill="1" applyAlignment="1">
      <alignment vertical="center"/>
    </xf>
    <xf numFmtId="164" fontId="2" fillId="13" borderId="0" xfId="1" applyNumberFormat="1" applyFill="1" applyAlignment="1">
      <alignment horizontal="center" vertical="center"/>
    </xf>
    <xf numFmtId="165" fontId="2" fillId="13" borderId="0" xfId="1" applyNumberFormat="1" applyFill="1" applyAlignment="1">
      <alignment horizontal="center" vertical="center"/>
    </xf>
    <xf numFmtId="3" fontId="2" fillId="13" borderId="0" xfId="1" applyNumberFormat="1" applyFill="1" applyAlignment="1">
      <alignment horizontal="center" vertical="center"/>
    </xf>
    <xf numFmtId="0" fontId="2" fillId="14" borderId="0" xfId="1" applyFill="1" applyAlignment="1">
      <alignment vertical="center"/>
    </xf>
    <xf numFmtId="164" fontId="2" fillId="14" borderId="0" xfId="1" applyNumberFormat="1" applyFill="1" applyAlignment="1">
      <alignment horizontal="center" vertical="center"/>
    </xf>
    <xf numFmtId="165" fontId="2" fillId="14" borderId="0" xfId="1" applyNumberFormat="1" applyFill="1" applyAlignment="1">
      <alignment horizontal="center" vertical="center"/>
    </xf>
    <xf numFmtId="3" fontId="2" fillId="14" borderId="0" xfId="1" applyNumberFormat="1" applyFill="1" applyAlignment="1">
      <alignment horizontal="center" vertical="center"/>
    </xf>
    <xf numFmtId="0" fontId="2" fillId="15" borderId="0" xfId="1" applyFill="1" applyAlignment="1">
      <alignment vertical="center"/>
    </xf>
    <xf numFmtId="164" fontId="2" fillId="15" borderId="0" xfId="1" applyNumberFormat="1" applyFill="1" applyAlignment="1">
      <alignment horizontal="center" vertical="center"/>
    </xf>
    <xf numFmtId="165" fontId="2" fillId="15" borderId="0" xfId="1" applyNumberFormat="1" applyFill="1" applyAlignment="1">
      <alignment horizontal="center" vertical="center"/>
    </xf>
    <xf numFmtId="3" fontId="2" fillId="15" borderId="0" xfId="1" applyNumberFormat="1" applyFill="1" applyAlignment="1">
      <alignment horizontal="center" vertical="center"/>
    </xf>
    <xf numFmtId="0" fontId="2" fillId="16" borderId="0" xfId="1" applyFill="1" applyAlignment="1">
      <alignment vertical="center"/>
    </xf>
    <xf numFmtId="164" fontId="2" fillId="16" borderId="0" xfId="1" applyNumberFormat="1" applyFill="1" applyAlignment="1">
      <alignment horizontal="center" vertical="center"/>
    </xf>
    <xf numFmtId="165" fontId="2" fillId="16" borderId="0" xfId="1" applyNumberFormat="1" applyFill="1" applyAlignment="1">
      <alignment horizontal="center" vertical="center"/>
    </xf>
    <xf numFmtId="3" fontId="2" fillId="16" borderId="0" xfId="1" applyNumberFormat="1" applyFill="1" applyAlignment="1">
      <alignment horizontal="center" vertical="center"/>
    </xf>
    <xf numFmtId="0" fontId="2" fillId="17" borderId="0" xfId="1" applyFill="1" applyAlignment="1">
      <alignment vertical="center"/>
    </xf>
    <xf numFmtId="164" fontId="2" fillId="17" borderId="0" xfId="1" applyNumberFormat="1" applyFill="1" applyAlignment="1">
      <alignment horizontal="center" vertical="center"/>
    </xf>
    <xf numFmtId="165" fontId="2" fillId="17" borderId="0" xfId="1" applyNumberFormat="1" applyFill="1" applyAlignment="1">
      <alignment horizontal="center" vertical="center"/>
    </xf>
    <xf numFmtId="3" fontId="2" fillId="17" borderId="0" xfId="1" applyNumberFormat="1" applyFill="1" applyAlignment="1">
      <alignment horizontal="center" vertical="center"/>
    </xf>
    <xf numFmtId="0" fontId="2" fillId="18" borderId="0" xfId="1" applyFill="1" applyAlignment="1">
      <alignment vertical="center"/>
    </xf>
    <xf numFmtId="164" fontId="2" fillId="18" borderId="0" xfId="1" applyNumberFormat="1" applyFill="1" applyAlignment="1">
      <alignment horizontal="center" vertical="center"/>
    </xf>
    <xf numFmtId="165" fontId="2" fillId="18" borderId="0" xfId="1" applyNumberFormat="1" applyFill="1" applyAlignment="1">
      <alignment horizontal="center" vertical="center"/>
    </xf>
    <xf numFmtId="3" fontId="2" fillId="18" borderId="0" xfId="1" applyNumberFormat="1" applyFill="1" applyAlignment="1">
      <alignment horizontal="center" vertical="center"/>
    </xf>
    <xf numFmtId="0" fontId="2" fillId="19" borderId="0" xfId="1" applyFill="1" applyAlignment="1">
      <alignment vertical="center"/>
    </xf>
    <xf numFmtId="164" fontId="2" fillId="19" borderId="0" xfId="1" applyNumberFormat="1" applyFill="1" applyAlignment="1">
      <alignment horizontal="center" vertical="center"/>
    </xf>
    <xf numFmtId="165" fontId="2" fillId="19" borderId="0" xfId="1" applyNumberFormat="1" applyFill="1" applyAlignment="1">
      <alignment horizontal="center" vertical="center"/>
    </xf>
    <xf numFmtId="3" fontId="2" fillId="19" borderId="0" xfId="1" applyNumberFormat="1" applyFill="1" applyAlignment="1">
      <alignment horizontal="center" vertical="center"/>
    </xf>
    <xf numFmtId="0" fontId="2" fillId="20" borderId="0" xfId="1" applyFill="1" applyAlignment="1">
      <alignment vertical="center"/>
    </xf>
    <xf numFmtId="164" fontId="2" fillId="20" borderId="0" xfId="1" applyNumberFormat="1" applyFill="1" applyAlignment="1">
      <alignment horizontal="center" vertical="center"/>
    </xf>
    <xf numFmtId="165" fontId="2" fillId="20" borderId="0" xfId="1" applyNumberFormat="1" applyFill="1" applyAlignment="1">
      <alignment horizontal="center" vertical="center"/>
    </xf>
    <xf numFmtId="3" fontId="2" fillId="20" borderId="0" xfId="1" applyNumberFormat="1" applyFill="1" applyAlignment="1">
      <alignment horizontal="center" vertical="center"/>
    </xf>
    <xf numFmtId="0" fontId="2" fillId="21" borderId="0" xfId="1" applyFill="1" applyAlignment="1">
      <alignment vertical="center"/>
    </xf>
    <xf numFmtId="164" fontId="2" fillId="21" borderId="0" xfId="1" applyNumberFormat="1" applyFill="1" applyAlignment="1">
      <alignment horizontal="center" vertical="center"/>
    </xf>
    <xf numFmtId="165" fontId="2" fillId="21" borderId="0" xfId="1" applyNumberFormat="1" applyFill="1" applyAlignment="1">
      <alignment horizontal="center" vertical="center"/>
    </xf>
    <xf numFmtId="3" fontId="2" fillId="21" borderId="0" xfId="1" applyNumberFormat="1" applyFill="1" applyAlignment="1">
      <alignment horizontal="center" vertical="center"/>
    </xf>
    <xf numFmtId="0" fontId="2" fillId="22" borderId="0" xfId="1" applyFill="1" applyAlignment="1">
      <alignment vertical="center"/>
    </xf>
    <xf numFmtId="164" fontId="2" fillId="22" borderId="0" xfId="1" applyNumberFormat="1" applyFill="1" applyAlignment="1">
      <alignment horizontal="center" vertical="center"/>
    </xf>
    <xf numFmtId="165" fontId="2" fillId="22" borderId="0" xfId="1" applyNumberFormat="1" applyFill="1" applyAlignment="1">
      <alignment horizontal="center" vertical="center"/>
    </xf>
    <xf numFmtId="3" fontId="2" fillId="22" borderId="0" xfId="1" applyNumberFormat="1" applyFill="1" applyAlignment="1">
      <alignment horizontal="center" vertical="center"/>
    </xf>
    <xf numFmtId="0" fontId="2" fillId="23" borderId="0" xfId="1" applyFill="1" applyAlignment="1">
      <alignment vertical="center"/>
    </xf>
    <xf numFmtId="164" fontId="2" fillId="23" borderId="0" xfId="1" applyNumberFormat="1" applyFill="1" applyAlignment="1">
      <alignment horizontal="center" vertical="center"/>
    </xf>
    <xf numFmtId="165" fontId="2" fillId="23" borderId="0" xfId="1" applyNumberFormat="1" applyFill="1" applyAlignment="1">
      <alignment horizontal="center" vertical="center"/>
    </xf>
    <xf numFmtId="3" fontId="2" fillId="23" borderId="0" xfId="1" applyNumberFormat="1" applyFill="1" applyAlignment="1">
      <alignment horizontal="center" vertical="center"/>
    </xf>
    <xf numFmtId="0" fontId="2" fillId="24" borderId="0" xfId="1" applyFill="1" applyAlignment="1">
      <alignment vertical="center"/>
    </xf>
    <xf numFmtId="164" fontId="2" fillId="24" borderId="0" xfId="1" applyNumberFormat="1" applyFill="1" applyAlignment="1">
      <alignment horizontal="center" vertical="center"/>
    </xf>
    <xf numFmtId="165" fontId="2" fillId="24" borderId="0" xfId="1" applyNumberFormat="1" applyFill="1" applyAlignment="1">
      <alignment horizontal="center" vertical="center"/>
    </xf>
    <xf numFmtId="3" fontId="2" fillId="24" borderId="0" xfId="1" applyNumberFormat="1" applyFill="1" applyAlignment="1">
      <alignment horizontal="center" vertical="center"/>
    </xf>
    <xf numFmtId="0" fontId="2" fillId="25" borderId="0" xfId="1" applyFill="1" applyAlignment="1">
      <alignment vertical="center"/>
    </xf>
    <xf numFmtId="164" fontId="2" fillId="25" borderId="0" xfId="1" applyNumberFormat="1" applyFill="1" applyAlignment="1">
      <alignment horizontal="center" vertical="center"/>
    </xf>
    <xf numFmtId="165" fontId="2" fillId="25" borderId="0" xfId="1" applyNumberFormat="1" applyFill="1" applyAlignment="1">
      <alignment horizontal="center" vertical="center"/>
    </xf>
    <xf numFmtId="3" fontId="2" fillId="25" borderId="0" xfId="1" applyNumberForma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14" borderId="0" xfId="1" applyFont="1" applyFill="1" applyAlignment="1">
      <alignment horizontal="center" vertical="center"/>
    </xf>
    <xf numFmtId="0" fontId="3" fillId="20" borderId="0" xfId="1" applyFont="1" applyFill="1" applyAlignment="1">
      <alignment horizontal="center" vertical="center"/>
    </xf>
    <xf numFmtId="0" fontId="3" fillId="19" borderId="0" xfId="1" applyFont="1" applyFill="1" applyAlignment="1">
      <alignment horizontal="center" vertical="center"/>
    </xf>
    <xf numFmtId="0" fontId="3" fillId="23" borderId="0" xfId="1" applyFont="1" applyFill="1" applyAlignment="1">
      <alignment horizontal="center" vertical="center"/>
    </xf>
    <xf numFmtId="0" fontId="3" fillId="17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0" fontId="3" fillId="24" borderId="0" xfId="1" applyFont="1" applyFill="1" applyAlignment="1">
      <alignment horizontal="center" vertical="center"/>
    </xf>
    <xf numFmtId="0" fontId="3" fillId="16" borderId="0" xfId="1" applyFont="1" applyFill="1" applyAlignment="1">
      <alignment horizontal="center" vertical="center"/>
    </xf>
    <xf numFmtId="0" fontId="3" fillId="21" borderId="0" xfId="1" applyFont="1" applyFill="1" applyAlignment="1">
      <alignment horizontal="center" vertical="center"/>
    </xf>
    <xf numFmtId="0" fontId="3" fillId="18" borderId="0" xfId="1" applyFont="1" applyFill="1" applyAlignment="1">
      <alignment horizontal="center" vertical="center"/>
    </xf>
    <xf numFmtId="0" fontId="3" fillId="12" borderId="0" xfId="1" applyFont="1" applyFill="1" applyAlignment="1">
      <alignment horizontal="center" vertical="center"/>
    </xf>
    <xf numFmtId="0" fontId="3" fillId="13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3" fillId="25" borderId="0" xfId="1" applyFont="1" applyFill="1" applyAlignment="1">
      <alignment horizontal="center" vertical="center"/>
    </xf>
    <xf numFmtId="0" fontId="3" fillId="10" borderId="0" xfId="1" applyFont="1" applyFill="1" applyAlignment="1">
      <alignment horizontal="center" vertical="center"/>
    </xf>
    <xf numFmtId="0" fontId="3" fillId="7" borderId="0" xfId="1" applyFont="1" applyFill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3" fillId="15" borderId="0" xfId="1" applyFont="1" applyFill="1" applyAlignment="1">
      <alignment horizontal="center" vertical="center"/>
    </xf>
    <xf numFmtId="0" fontId="3" fillId="22" borderId="0" xfId="1" applyFont="1" applyFill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2"/>
    <xf numFmtId="166" fontId="10" fillId="28" borderId="19" xfId="2" applyNumberFormat="1" applyFont="1" applyFill="1" applyBorder="1" applyAlignment="1">
      <alignment horizontal="left" vertical="center" wrapText="1"/>
    </xf>
    <xf numFmtId="0" fontId="4" fillId="0" borderId="5" xfId="2" applyBorder="1"/>
    <xf numFmtId="0" fontId="4" fillId="0" borderId="6" xfId="2" applyBorder="1"/>
    <xf numFmtId="0" fontId="8" fillId="29" borderId="29" xfId="2" applyFont="1" applyFill="1" applyBorder="1" applyAlignment="1">
      <alignment horizontal="center" vertical="center" wrapText="1"/>
    </xf>
    <xf numFmtId="0" fontId="8" fillId="29" borderId="30" xfId="2" applyFont="1" applyFill="1" applyBorder="1" applyAlignment="1">
      <alignment horizontal="center" vertical="center" wrapText="1"/>
    </xf>
    <xf numFmtId="0" fontId="12" fillId="26" borderId="18" xfId="2" applyFont="1" applyFill="1" applyBorder="1" applyAlignment="1">
      <alignment horizontal="right" vertical="center"/>
    </xf>
    <xf numFmtId="4" fontId="12" fillId="26" borderId="18" xfId="2" applyNumberFormat="1" applyFont="1" applyFill="1" applyBorder="1" applyAlignment="1">
      <alignment horizontal="right" vertical="center"/>
    </xf>
    <xf numFmtId="164" fontId="12" fillId="26" borderId="19" xfId="2" applyNumberFormat="1" applyFont="1" applyFill="1" applyBorder="1" applyAlignment="1">
      <alignment horizontal="right" vertical="center"/>
    </xf>
    <xf numFmtId="0" fontId="14" fillId="26" borderId="5" xfId="2" applyFont="1" applyFill="1" applyBorder="1" applyAlignment="1">
      <alignment horizontal="center" vertical="center"/>
    </xf>
    <xf numFmtId="0" fontId="13" fillId="26" borderId="0" xfId="2" applyFont="1" applyFill="1" applyAlignment="1">
      <alignment horizontal="left" vertical="center" wrapText="1"/>
    </xf>
    <xf numFmtId="0" fontId="14" fillId="26" borderId="0" xfId="2" applyFont="1" applyFill="1" applyAlignment="1">
      <alignment horizontal="center" vertical="center"/>
    </xf>
    <xf numFmtId="0" fontId="13" fillId="26" borderId="6" xfId="2" applyFont="1" applyFill="1" applyBorder="1" applyAlignment="1">
      <alignment horizontal="left" vertical="center" wrapText="1"/>
    </xf>
    <xf numFmtId="0" fontId="17" fillId="0" borderId="0" xfId="0" applyFont="1"/>
    <xf numFmtId="0" fontId="17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8" fillId="28" borderId="19" xfId="2" applyFont="1" applyFill="1" applyBorder="1" applyAlignment="1">
      <alignment horizontal="left" vertical="center" wrapText="1"/>
    </xf>
    <xf numFmtId="167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1" fillId="29" borderId="30" xfId="2" applyFont="1" applyFill="1" applyBorder="1" applyAlignment="1">
      <alignment horizontal="center" vertical="center" wrapText="1"/>
    </xf>
    <xf numFmtId="0" fontId="8" fillId="29" borderId="36" xfId="2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17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17" fillId="0" borderId="3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27" borderId="43" xfId="2" applyFont="1" applyFill="1" applyBorder="1" applyAlignment="1">
      <alignment horizontal="center" vertical="center"/>
    </xf>
    <xf numFmtId="0" fontId="8" fillId="29" borderId="44" xfId="2" applyFont="1" applyFill="1" applyBorder="1" applyAlignment="1">
      <alignment horizontal="center" vertical="center" wrapText="1"/>
    </xf>
    <xf numFmtId="4" fontId="12" fillId="26" borderId="26" xfId="2" applyNumberFormat="1" applyFont="1" applyFill="1" applyBorder="1" applyAlignment="1">
      <alignment horizontal="right" vertical="center"/>
    </xf>
    <xf numFmtId="0" fontId="12" fillId="26" borderId="26" xfId="2" applyFont="1" applyFill="1" applyBorder="1" applyAlignment="1">
      <alignment horizontal="right" vertical="center"/>
    </xf>
    <xf numFmtId="164" fontId="12" fillId="26" borderId="27" xfId="2" applyNumberFormat="1" applyFont="1" applyFill="1" applyBorder="1" applyAlignment="1">
      <alignment horizontal="right" vertical="center"/>
    </xf>
    <xf numFmtId="4" fontId="10" fillId="3" borderId="1" xfId="2" applyNumberFormat="1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4" fontId="10" fillId="3" borderId="1" xfId="2" applyNumberFormat="1" applyFont="1" applyFill="1" applyBorder="1" applyAlignment="1">
      <alignment horizontal="right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9" fillId="3" borderId="1" xfId="2" applyNumberFormat="1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right" vertical="center"/>
    </xf>
    <xf numFmtId="0" fontId="0" fillId="32" borderId="38" xfId="0" applyFill="1" applyBorder="1" applyAlignment="1">
      <alignment horizontal="center"/>
    </xf>
    <xf numFmtId="0" fontId="17" fillId="32" borderId="39" xfId="0" applyFont="1" applyFill="1" applyBorder="1" applyAlignment="1">
      <alignment horizontal="center" vertical="center" wrapText="1"/>
    </xf>
    <xf numFmtId="0" fontId="1" fillId="32" borderId="39" xfId="0" applyFont="1" applyFill="1" applyBorder="1" applyAlignment="1">
      <alignment horizontal="center"/>
    </xf>
    <xf numFmtId="0" fontId="0" fillId="32" borderId="39" xfId="0" applyFill="1" applyBorder="1" applyAlignment="1">
      <alignment horizontal="center"/>
    </xf>
    <xf numFmtId="0" fontId="0" fillId="32" borderId="39" xfId="0" applyFill="1" applyBorder="1" applyAlignment="1">
      <alignment horizontal="center" vertical="center"/>
    </xf>
    <xf numFmtId="49" fontId="17" fillId="32" borderId="39" xfId="0" applyNumberFormat="1" applyFont="1" applyFill="1" applyBorder="1" applyAlignment="1">
      <alignment horizontal="center" vertical="center" wrapText="1"/>
    </xf>
    <xf numFmtId="0" fontId="0" fillId="32" borderId="3" xfId="0" applyFill="1" applyBorder="1"/>
    <xf numFmtId="0" fontId="0" fillId="32" borderId="40" xfId="0" applyFill="1" applyBorder="1" applyAlignment="1">
      <alignment horizontal="center"/>
    </xf>
    <xf numFmtId="0" fontId="17" fillId="32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0" fillId="32" borderId="0" xfId="0" applyFill="1"/>
    <xf numFmtId="0" fontId="0" fillId="32" borderId="41" xfId="0" applyFill="1" applyBorder="1" applyAlignment="1">
      <alignment horizontal="center"/>
    </xf>
    <xf numFmtId="0" fontId="17" fillId="32" borderId="42" xfId="0" applyFont="1" applyFill="1" applyBorder="1" applyAlignment="1">
      <alignment horizontal="center" vertical="center" wrapText="1"/>
    </xf>
    <xf numFmtId="0" fontId="1" fillId="32" borderId="42" xfId="0" applyFont="1" applyFill="1" applyBorder="1" applyAlignment="1">
      <alignment horizontal="center"/>
    </xf>
    <xf numFmtId="0" fontId="0" fillId="32" borderId="42" xfId="0" applyFill="1" applyBorder="1" applyAlignment="1">
      <alignment horizontal="center"/>
    </xf>
    <xf numFmtId="0" fontId="0" fillId="32" borderId="42" xfId="0" applyFill="1" applyBorder="1" applyAlignment="1">
      <alignment horizontal="center" vertical="center"/>
    </xf>
    <xf numFmtId="0" fontId="0" fillId="32" borderId="8" xfId="0" applyFill="1" applyBorder="1"/>
    <xf numFmtId="0" fontId="1" fillId="0" borderId="37" xfId="0" applyFont="1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17" fillId="7" borderId="39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39" xfId="0" applyFill="1" applyBorder="1" applyAlignment="1">
      <alignment horizontal="center" vertical="center"/>
    </xf>
    <xf numFmtId="49" fontId="17" fillId="7" borderId="39" xfId="0" applyNumberFormat="1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40" xfId="0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0" fillId="7" borderId="41" xfId="0" applyFill="1" applyBorder="1" applyAlignment="1">
      <alignment horizontal="center"/>
    </xf>
    <xf numFmtId="0" fontId="17" fillId="7" borderId="42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42" xfId="0" applyFill="1" applyBorder="1" applyAlignment="1">
      <alignment horizontal="center" vertical="center"/>
    </xf>
    <xf numFmtId="0" fontId="0" fillId="7" borderId="8" xfId="0" applyFill="1" applyBorder="1"/>
    <xf numFmtId="0" fontId="0" fillId="33" borderId="38" xfId="0" applyFill="1" applyBorder="1" applyAlignment="1">
      <alignment horizontal="center"/>
    </xf>
    <xf numFmtId="0" fontId="17" fillId="33" borderId="39" xfId="0" applyFont="1" applyFill="1" applyBorder="1" applyAlignment="1">
      <alignment horizontal="center" vertical="center" wrapText="1"/>
    </xf>
    <xf numFmtId="0" fontId="1" fillId="33" borderId="39" xfId="0" applyFont="1" applyFill="1" applyBorder="1" applyAlignment="1">
      <alignment horizontal="center"/>
    </xf>
    <xf numFmtId="0" fontId="0" fillId="33" borderId="39" xfId="0" applyFill="1" applyBorder="1" applyAlignment="1">
      <alignment horizontal="center"/>
    </xf>
    <xf numFmtId="0" fontId="0" fillId="33" borderId="39" xfId="0" applyFill="1" applyBorder="1" applyAlignment="1">
      <alignment horizontal="center" vertical="center"/>
    </xf>
    <xf numFmtId="49" fontId="17" fillId="33" borderId="39" xfId="0" applyNumberFormat="1" applyFont="1" applyFill="1" applyBorder="1" applyAlignment="1">
      <alignment horizontal="center" vertical="center" wrapText="1"/>
    </xf>
    <xf numFmtId="0" fontId="0" fillId="33" borderId="3" xfId="0" applyFill="1" applyBorder="1"/>
    <xf numFmtId="0" fontId="0" fillId="33" borderId="40" xfId="0" applyFill="1" applyBorder="1" applyAlignment="1">
      <alignment horizontal="center"/>
    </xf>
    <xf numFmtId="0" fontId="17" fillId="33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0" fillId="33" borderId="1" xfId="0" applyFill="1" applyBorder="1" applyAlignment="1">
      <alignment horizontal="center" vertical="center"/>
    </xf>
    <xf numFmtId="0" fontId="0" fillId="33" borderId="0" xfId="0" applyFill="1"/>
    <xf numFmtId="0" fontId="0" fillId="33" borderId="41" xfId="0" applyFill="1" applyBorder="1" applyAlignment="1">
      <alignment horizontal="center"/>
    </xf>
    <xf numFmtId="0" fontId="17" fillId="33" borderId="42" xfId="0" applyFont="1" applyFill="1" applyBorder="1" applyAlignment="1">
      <alignment horizontal="center" vertical="center" wrapText="1"/>
    </xf>
    <xf numFmtId="0" fontId="1" fillId="33" borderId="42" xfId="0" applyFont="1" applyFill="1" applyBorder="1" applyAlignment="1">
      <alignment horizontal="center"/>
    </xf>
    <xf numFmtId="0" fontId="0" fillId="33" borderId="42" xfId="0" applyFill="1" applyBorder="1" applyAlignment="1">
      <alignment horizontal="center"/>
    </xf>
    <xf numFmtId="0" fontId="0" fillId="33" borderId="42" xfId="0" applyFill="1" applyBorder="1" applyAlignment="1">
      <alignment horizontal="center" vertical="center"/>
    </xf>
    <xf numFmtId="0" fontId="0" fillId="33" borderId="8" xfId="0" applyFill="1" applyBorder="1"/>
    <xf numFmtId="14" fontId="17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6" fillId="34" borderId="1" xfId="0" applyFont="1" applyFill="1" applyBorder="1" applyAlignment="1">
      <alignment horizontal="center" vertical="center" wrapText="1"/>
    </xf>
    <xf numFmtId="0" fontId="22" fillId="34" borderId="1" xfId="0" applyFont="1" applyFill="1" applyBorder="1" applyAlignment="1">
      <alignment horizontal="center" vertical="center" wrapText="1"/>
    </xf>
    <xf numFmtId="0" fontId="4" fillId="0" borderId="1" xfId="2" applyBorder="1"/>
    <xf numFmtId="0" fontId="4" fillId="0" borderId="1" xfId="2" applyBorder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6" borderId="2" xfId="2" applyFont="1" applyFill="1" applyBorder="1" applyAlignment="1">
      <alignment horizontal="center" vertical="center" wrapText="1"/>
    </xf>
    <xf numFmtId="0" fontId="5" fillId="26" borderId="3" xfId="2" applyFont="1" applyFill="1" applyBorder="1" applyAlignment="1">
      <alignment horizontal="center" vertical="center" wrapText="1"/>
    </xf>
    <xf numFmtId="0" fontId="5" fillId="26" borderId="4" xfId="2" applyFont="1" applyFill="1" applyBorder="1" applyAlignment="1">
      <alignment horizontal="center" vertical="center" wrapText="1"/>
    </xf>
    <xf numFmtId="0" fontId="5" fillId="26" borderId="5" xfId="2" applyFont="1" applyFill="1" applyBorder="1" applyAlignment="1">
      <alignment horizontal="center" vertical="center" wrapText="1"/>
    </xf>
    <xf numFmtId="0" fontId="5" fillId="26" borderId="0" xfId="2" applyFont="1" applyFill="1" applyAlignment="1">
      <alignment horizontal="center" vertical="center" wrapText="1"/>
    </xf>
    <xf numFmtId="0" fontId="5" fillId="26" borderId="6" xfId="2" applyFont="1" applyFill="1" applyBorder="1" applyAlignment="1">
      <alignment horizontal="center" vertical="center" wrapText="1"/>
    </xf>
    <xf numFmtId="0" fontId="5" fillId="26" borderId="7" xfId="2" applyFont="1" applyFill="1" applyBorder="1" applyAlignment="1">
      <alignment horizontal="center" vertical="center" wrapText="1"/>
    </xf>
    <xf numFmtId="0" fontId="5" fillId="26" borderId="8" xfId="2" applyFont="1" applyFill="1" applyBorder="1" applyAlignment="1">
      <alignment horizontal="center" vertical="center" wrapText="1"/>
    </xf>
    <xf numFmtId="0" fontId="5" fillId="26" borderId="9" xfId="2" applyFont="1" applyFill="1" applyBorder="1" applyAlignment="1">
      <alignment horizontal="center" vertical="center" wrapText="1"/>
    </xf>
    <xf numFmtId="0" fontId="6" fillId="27" borderId="2" xfId="2" applyFont="1" applyFill="1" applyBorder="1" applyAlignment="1">
      <alignment horizontal="center" vertical="center" wrapText="1"/>
    </xf>
    <xf numFmtId="0" fontId="6" fillId="27" borderId="3" xfId="2" applyFont="1" applyFill="1" applyBorder="1" applyAlignment="1">
      <alignment horizontal="center" vertical="center" wrapText="1"/>
    </xf>
    <xf numFmtId="0" fontId="6" fillId="27" borderId="10" xfId="2" applyFont="1" applyFill="1" applyBorder="1" applyAlignment="1">
      <alignment horizontal="center" vertical="center" wrapText="1"/>
    </xf>
    <xf numFmtId="0" fontId="6" fillId="27" borderId="5" xfId="2" applyFont="1" applyFill="1" applyBorder="1" applyAlignment="1">
      <alignment horizontal="center" vertical="center" wrapText="1"/>
    </xf>
    <xf numFmtId="0" fontId="6" fillId="27" borderId="0" xfId="2" applyFont="1" applyFill="1" applyAlignment="1">
      <alignment horizontal="center" vertical="center" wrapText="1"/>
    </xf>
    <xf numFmtId="0" fontId="6" fillId="27" borderId="15" xfId="2" applyFont="1" applyFill="1" applyBorder="1" applyAlignment="1">
      <alignment horizontal="center" vertical="center" wrapText="1"/>
    </xf>
    <xf numFmtId="0" fontId="6" fillId="27" borderId="7" xfId="2" applyFont="1" applyFill="1" applyBorder="1" applyAlignment="1">
      <alignment horizontal="center" vertical="center" wrapText="1"/>
    </xf>
    <xf numFmtId="0" fontId="6" fillId="27" borderId="8" xfId="2" applyFont="1" applyFill="1" applyBorder="1" applyAlignment="1">
      <alignment horizontal="center" vertical="center" wrapText="1"/>
    </xf>
    <xf numFmtId="0" fontId="6" fillId="27" borderId="20" xfId="2" applyFont="1" applyFill="1" applyBorder="1" applyAlignment="1">
      <alignment horizontal="center" vertical="center" wrapText="1"/>
    </xf>
    <xf numFmtId="3" fontId="7" fillId="28" borderId="11" xfId="2" applyNumberFormat="1" applyFont="1" applyFill="1" applyBorder="1" applyAlignment="1">
      <alignment horizontal="left" vertical="center"/>
    </xf>
    <xf numFmtId="3" fontId="7" fillId="28" borderId="12" xfId="2" applyNumberFormat="1" applyFont="1" applyFill="1" applyBorder="1" applyAlignment="1">
      <alignment horizontal="left" vertical="center"/>
    </xf>
    <xf numFmtId="14" fontId="7" fillId="28" borderId="13" xfId="2" applyNumberFormat="1" applyFont="1" applyFill="1" applyBorder="1" applyAlignment="1">
      <alignment horizontal="left" vertical="center" wrapText="1"/>
    </xf>
    <xf numFmtId="14" fontId="7" fillId="28" borderId="14" xfId="2" applyNumberFormat="1" applyFont="1" applyFill="1" applyBorder="1" applyAlignment="1">
      <alignment horizontal="left" vertical="center" wrapText="1"/>
    </xf>
    <xf numFmtId="3" fontId="7" fillId="28" borderId="16" xfId="2" applyNumberFormat="1" applyFont="1" applyFill="1" applyBorder="1" applyAlignment="1">
      <alignment horizontal="left" vertical="center"/>
    </xf>
    <xf numFmtId="3" fontId="7" fillId="28" borderId="17" xfId="2" applyNumberFormat="1" applyFont="1" applyFill="1" applyBorder="1" applyAlignment="1">
      <alignment horizontal="left" vertical="center"/>
    </xf>
    <xf numFmtId="166" fontId="7" fillId="28" borderId="18" xfId="2" applyNumberFormat="1" applyFont="1" applyFill="1" applyBorder="1" applyAlignment="1">
      <alignment horizontal="left" vertical="center" wrapText="1"/>
    </xf>
    <xf numFmtId="0" fontId="7" fillId="28" borderId="19" xfId="2" applyFont="1" applyFill="1" applyBorder="1" applyAlignment="1">
      <alignment horizontal="left" vertical="center" wrapText="1"/>
    </xf>
    <xf numFmtId="3" fontId="7" fillId="28" borderId="21" xfId="2" applyNumberFormat="1" applyFont="1" applyFill="1" applyBorder="1" applyAlignment="1">
      <alignment horizontal="left" vertical="center"/>
    </xf>
    <xf numFmtId="3" fontId="7" fillId="28" borderId="22" xfId="2" applyNumberFormat="1" applyFont="1" applyFill="1" applyBorder="1" applyAlignment="1">
      <alignment horizontal="left" vertical="center"/>
    </xf>
    <xf numFmtId="49" fontId="7" fillId="28" borderId="23" xfId="2" applyNumberFormat="1" applyFont="1" applyFill="1" applyBorder="1" applyAlignment="1">
      <alignment horizontal="left" vertical="center" wrapText="1"/>
    </xf>
    <xf numFmtId="49" fontId="7" fillId="28" borderId="24" xfId="2" applyNumberFormat="1" applyFont="1" applyFill="1" applyBorder="1" applyAlignment="1">
      <alignment horizontal="left" vertical="center" wrapText="1"/>
    </xf>
    <xf numFmtId="0" fontId="8" fillId="29" borderId="25" xfId="2" applyFont="1" applyFill="1" applyBorder="1" applyAlignment="1">
      <alignment horizontal="left" vertical="center"/>
    </xf>
    <xf numFmtId="0" fontId="4" fillId="0" borderId="26" xfId="2" applyBorder="1"/>
    <xf numFmtId="0" fontId="4" fillId="0" borderId="27" xfId="2" applyBorder="1"/>
    <xf numFmtId="0" fontId="9" fillId="30" borderId="28" xfId="2" applyFont="1" applyFill="1" applyBorder="1" applyAlignment="1">
      <alignment horizontal="left" vertical="center" wrapText="1"/>
    </xf>
    <xf numFmtId="0" fontId="9" fillId="30" borderId="18" xfId="2" applyFont="1" applyFill="1" applyBorder="1" applyAlignment="1">
      <alignment horizontal="left" vertical="center" wrapText="1"/>
    </xf>
    <xf numFmtId="0" fontId="18" fillId="28" borderId="18" xfId="2" applyFont="1" applyFill="1" applyBorder="1" applyAlignment="1">
      <alignment horizontal="left" vertical="center" wrapText="1"/>
    </xf>
    <xf numFmtId="0" fontId="10" fillId="28" borderId="18" xfId="2" applyFont="1" applyFill="1" applyBorder="1" applyAlignment="1">
      <alignment horizontal="left" vertical="center" wrapText="1"/>
    </xf>
    <xf numFmtId="166" fontId="10" fillId="28" borderId="18" xfId="2" applyNumberFormat="1" applyFont="1" applyFill="1" applyBorder="1" applyAlignment="1">
      <alignment horizontal="left" vertical="center" wrapText="1"/>
    </xf>
    <xf numFmtId="0" fontId="10" fillId="28" borderId="19" xfId="2" applyFont="1" applyFill="1" applyBorder="1" applyAlignment="1">
      <alignment horizontal="left" vertical="center" wrapText="1"/>
    </xf>
    <xf numFmtId="0" fontId="8" fillId="29" borderId="29" xfId="2" applyFont="1" applyFill="1" applyBorder="1" applyAlignment="1">
      <alignment horizontal="left" vertical="center"/>
    </xf>
    <xf numFmtId="0" fontId="4" fillId="0" borderId="30" xfId="2" applyBorder="1"/>
    <xf numFmtId="0" fontId="4" fillId="0" borderId="31" xfId="2" applyBorder="1"/>
    <xf numFmtId="0" fontId="9" fillId="26" borderId="29" xfId="2" applyFont="1" applyFill="1" applyBorder="1" applyAlignment="1">
      <alignment horizontal="right" vertical="center"/>
    </xf>
    <xf numFmtId="0" fontId="19" fillId="28" borderId="18" xfId="2" applyFont="1" applyFill="1" applyBorder="1" applyAlignment="1">
      <alignment horizontal="left" vertical="center" wrapText="1"/>
    </xf>
    <xf numFmtId="0" fontId="13" fillId="31" borderId="29" xfId="2" applyFont="1" applyFill="1" applyBorder="1" applyAlignment="1">
      <alignment horizontal="left" vertical="center" wrapText="1"/>
    </xf>
    <xf numFmtId="0" fontId="4" fillId="0" borderId="29" xfId="2" applyBorder="1"/>
    <xf numFmtId="0" fontId="10" fillId="28" borderId="32" xfId="2" applyFont="1" applyFill="1" applyBorder="1" applyAlignment="1">
      <alignment horizontal="left" vertical="center" wrapText="1"/>
    </xf>
    <xf numFmtId="0" fontId="10" fillId="28" borderId="33" xfId="2" applyFont="1" applyFill="1" applyBorder="1" applyAlignment="1">
      <alignment horizontal="left" vertical="center" wrapText="1"/>
    </xf>
    <xf numFmtId="0" fontId="10" fillId="28" borderId="34" xfId="2" applyFont="1" applyFill="1" applyBorder="1" applyAlignment="1">
      <alignment horizontal="left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4" fillId="26" borderId="28" xfId="2" applyFont="1" applyFill="1" applyBorder="1" applyAlignment="1">
      <alignment horizontal="center" vertical="center"/>
    </xf>
    <xf numFmtId="0" fontId="13" fillId="26" borderId="18" xfId="2" applyFont="1" applyFill="1" applyBorder="1" applyAlignment="1">
      <alignment horizontal="left" vertical="center" wrapText="1"/>
    </xf>
    <xf numFmtId="0" fontId="14" fillId="26" borderId="18" xfId="2" applyFont="1" applyFill="1" applyBorder="1" applyAlignment="1">
      <alignment horizontal="center" vertical="center"/>
    </xf>
    <xf numFmtId="0" fontId="13" fillId="26" borderId="19" xfId="2" applyFont="1" applyFill="1" applyBorder="1" applyAlignment="1">
      <alignment horizontal="left" vertical="center" wrapText="1"/>
    </xf>
    <xf numFmtId="0" fontId="15" fillId="0" borderId="2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0"/>
  <tableStyles count="0" defaultTableStyle="TableStyleMedium2" defaultPivotStyle="PivotStyleLight16"/>
  <colors>
    <mruColors>
      <color rgb="FFA5739A"/>
      <color rgb="FFAA785A"/>
      <color rgb="FFABD1B1"/>
      <color rgb="FF6F9FB5"/>
      <color rgb="FFF17F9D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703AD4E-36A4-4729-BC94-55FC7EC27B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0810" cy="7442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B331B3A-F428-4403-9A66-36848A0EAF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47025" cy="7394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4BE0DE92-1EE6-45EC-9FA6-7C3B5FBB5A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51DD094-A0E6-4293-A688-04AA6EBF2B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31DC142-B07F-439A-8DC7-69C4E56A69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8F63C49-9573-460E-93C4-C8E0B14A9C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5EC389F5-F5D9-4923-9056-4F86D82D62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0245C0B-F32D-4EC3-A224-26AACC9BB2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4ADEC0-6BE6-44B2-A224-69B37C5F25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7AA30B4A-AC23-4015-9AD3-AA4A27B2B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E4666B8C-14A6-46C1-A4FF-32824A724E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D02A018-DB25-46BC-9438-53498805B2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5F10012-A913-483B-85E1-82931777E4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CD45605-6E7A-4812-B922-DB72ECEF4E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DBCF6291-03C4-4A26-98CD-386895F64D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D5DBE06-FE07-4EF8-B517-5C8F183945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DC03C21-D77A-4DD4-B17B-AE7F5E1907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A33A384-924B-4297-8C70-BB7635B2B3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2A82D63-54F6-425E-8FB4-4C59F034B5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B474708B-3D78-414C-B78E-1CFA089896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19C888B-DD9D-428F-B9EF-CD283759F3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15917275-F98B-4523-868B-529049507A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363561AE-7E6C-4155-858E-855533CCF0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9D7CE978-713F-4462-80AC-5EEA597B54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11F33C9-1FF3-4DD8-ABC4-35F677A2C2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FEC0CBAB-A5FD-4CFB-8633-2B27F61542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A7EF80B-D444-4A2D-8E9C-A1C4C4E9B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068EF9B-E5A6-4C8B-A214-EFB1F14500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C57B4647-3EEF-4BF1-A100-1B27437138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35410EDD-9804-4493-8F89-01B70054B3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47F1EA29-2EEC-4934-956C-3190CF84B4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B658E58B-3576-44F5-83BF-5C37748FC7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1028D951-5042-4576-B121-2794C8E64E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1803901-E26B-4535-952B-5F7B85E939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6827664D-D9F8-4D3B-A38C-88478029A3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73DF464-5CEF-43AC-AB3C-412C61DC80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FC47411-5345-43B2-A4A6-70C4990035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5CA01967-6120-4619-8ED1-64F5A45702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3BE2FEFF-AE63-4884-8AE0-6B119C3CA6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DA5197F-DA53-4359-8159-E1F8A4D10C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46A62F7-B9BA-496D-831D-8005726BC6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9C169FAA-D54C-44BC-84B4-181D592361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DCCEAE65-0355-46C9-B2AD-F4924E8DF7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C9C23FA-7736-46F6-93CB-6BB70B197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D5F13FB8-00FA-42AF-9450-2C3491D60A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6E81D7E3-41C0-4CCE-9EEB-4DC31C13B6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F0D88E88-1524-4F3B-A733-02E89FD3B9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61B0289-9E9A-4A38-92F4-6300D5DD7B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772157B-E9A6-47B0-AB74-5EF834A965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B5299B7-9CBA-432F-B34B-FBD88D56D4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B1DA726D-789F-4C5E-93A5-E859D135E0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86B5668-4FAA-40D5-87A0-8CB82CF2EF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D09D757-D988-46D2-AE2A-875858EDD5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EEC21893-DF5A-49C1-8CFA-6826F342F1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F8C3A69-0A80-44EC-87FD-BF83919C04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6DD8E3D3-7975-4A62-B7F7-913F9D03FD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510278F6-05D9-4392-AE1B-059AFBB89C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3BA9253-B310-4358-8ADF-6DFCAAD7F2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941195F-D325-4477-9393-1700A7C9A5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F48DBE96-3A8B-4732-8475-963419E4A0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6128B10-FD42-4A5B-8C6F-6CD82D65A6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47CA75AA-BCB7-47AE-9216-86CBE12AF7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4936740-8C50-4953-AF73-ADEA626E7E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E59C71B1-EBC4-4DF3-8174-F31AAC1186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638CE201-ED78-48F8-8239-585AE44366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EC63725-D1C5-43A5-9346-8EBFEFDB6E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2A28DD7-2415-453C-9B15-FE1AD53283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2A78A12A-1792-49CC-AC92-D063E9A220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37899446-0EDE-4FBD-B79C-F7A58BE972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63244966-B086-4F0E-8532-A51F99B0A3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4DDC2C-0B3C-4940-8B42-DFBD8C1AC5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9191DC77-C791-4C87-AAE7-29CDA593F5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F28F6F22-0433-4CE9-AD8D-6DB96A43C1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50A5DA3-80C9-455E-A7EF-EC45C0E3DD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D18EEA46-E8E5-4F50-88A0-A232CE479C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2F976B89-9C51-4015-95E5-F2CCCBA7CB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3E64-DA07-4883-A016-459300EBB471}">
  <dimension ref="A1:G103"/>
  <sheetViews>
    <sheetView workbookViewId="0">
      <pane ySplit="1" topLeftCell="A2" activePane="bottomLeft" state="frozen"/>
      <selection pane="bottomLeft" activeCell="I11" sqref="I11"/>
    </sheetView>
  </sheetViews>
  <sheetFormatPr defaultRowHeight="13" x14ac:dyDescent="0.35"/>
  <cols>
    <col min="1" max="1" width="30" style="4" bestFit="1" customWidth="1"/>
    <col min="2" max="3" width="10" style="5" customWidth="1"/>
    <col min="4" max="4" width="8" style="5" customWidth="1"/>
    <col min="5" max="5" width="13.453125" style="5" customWidth="1"/>
    <col min="6" max="6" width="12" style="111" customWidth="1"/>
    <col min="7" max="7" width="12.453125" style="111" customWidth="1"/>
    <col min="8" max="16384" width="8.7265625" style="3"/>
  </cols>
  <sheetData>
    <row r="1" spans="1:7" ht="20.5" customHeight="1" x14ac:dyDescent="0.35">
      <c r="A1" s="89" t="s">
        <v>13</v>
      </c>
      <c r="B1" s="89" t="s">
        <v>139</v>
      </c>
      <c r="C1" s="89" t="s">
        <v>140</v>
      </c>
      <c r="D1" s="89" t="s">
        <v>141</v>
      </c>
      <c r="E1" s="89" t="s">
        <v>142</v>
      </c>
      <c r="F1" s="89" t="s">
        <v>12</v>
      </c>
      <c r="G1" s="89" t="s">
        <v>144</v>
      </c>
    </row>
    <row r="2" spans="1:7" x14ac:dyDescent="0.35">
      <c r="A2" s="41" t="s">
        <v>43</v>
      </c>
      <c r="B2" s="42">
        <v>3</v>
      </c>
      <c r="C2" s="43">
        <v>1500</v>
      </c>
      <c r="D2" s="43">
        <v>8000</v>
      </c>
      <c r="E2" s="44">
        <v>4790</v>
      </c>
      <c r="F2" s="90" t="s">
        <v>73</v>
      </c>
      <c r="G2" s="90" t="s">
        <v>153</v>
      </c>
    </row>
    <row r="3" spans="1:7" x14ac:dyDescent="0.35">
      <c r="A3" s="65" t="s">
        <v>43</v>
      </c>
      <c r="B3" s="66">
        <v>3</v>
      </c>
      <c r="C3" s="67">
        <v>1500</v>
      </c>
      <c r="D3" s="67">
        <v>8000</v>
      </c>
      <c r="E3" s="68">
        <v>4790</v>
      </c>
      <c r="F3" s="91" t="s">
        <v>104</v>
      </c>
      <c r="G3" s="91" t="s">
        <v>5</v>
      </c>
    </row>
    <row r="4" spans="1:7" x14ac:dyDescent="0.35">
      <c r="A4" s="61" t="s">
        <v>43</v>
      </c>
      <c r="B4" s="62">
        <v>3</v>
      </c>
      <c r="C4" s="63">
        <v>1500</v>
      </c>
      <c r="D4" s="63">
        <v>8000</v>
      </c>
      <c r="E4" s="64">
        <v>4790</v>
      </c>
      <c r="F4" s="92" t="s">
        <v>99</v>
      </c>
      <c r="G4" s="92" t="s">
        <v>6</v>
      </c>
    </row>
    <row r="5" spans="1:7" x14ac:dyDescent="0.35">
      <c r="A5" s="77" t="s">
        <v>43</v>
      </c>
      <c r="B5" s="78">
        <v>3</v>
      </c>
      <c r="C5" s="79">
        <v>1500</v>
      </c>
      <c r="D5" s="79">
        <v>8000</v>
      </c>
      <c r="E5" s="80">
        <v>4790</v>
      </c>
      <c r="F5" s="93" t="s">
        <v>121</v>
      </c>
      <c r="G5" s="93" t="s">
        <v>2</v>
      </c>
    </row>
    <row r="6" spans="1:7" x14ac:dyDescent="0.35">
      <c r="A6" s="53" t="s">
        <v>43</v>
      </c>
      <c r="B6" s="54">
        <v>3</v>
      </c>
      <c r="C6" s="55">
        <v>1500</v>
      </c>
      <c r="D6" s="55">
        <v>8000</v>
      </c>
      <c r="E6" s="56">
        <v>4780</v>
      </c>
      <c r="F6" s="94" t="s">
        <v>89</v>
      </c>
      <c r="G6" s="94" t="s">
        <v>8</v>
      </c>
    </row>
    <row r="7" spans="1:7" x14ac:dyDescent="0.35">
      <c r="A7" s="29" t="s">
        <v>43</v>
      </c>
      <c r="B7" s="30">
        <v>3</v>
      </c>
      <c r="C7" s="31">
        <v>1500</v>
      </c>
      <c r="D7" s="31">
        <v>8000</v>
      </c>
      <c r="E7" s="32">
        <v>4780</v>
      </c>
      <c r="F7" s="95" t="s">
        <v>57</v>
      </c>
      <c r="G7" s="95" t="s">
        <v>150</v>
      </c>
    </row>
    <row r="8" spans="1:7" x14ac:dyDescent="0.35">
      <c r="A8" s="21" t="s">
        <v>43</v>
      </c>
      <c r="B8" s="22">
        <v>3</v>
      </c>
      <c r="C8" s="23">
        <v>1500</v>
      </c>
      <c r="D8" s="23">
        <v>8000</v>
      </c>
      <c r="E8" s="24">
        <v>4780</v>
      </c>
      <c r="F8" s="96" t="s">
        <v>42</v>
      </c>
      <c r="G8" s="96" t="s">
        <v>148</v>
      </c>
    </row>
    <row r="9" spans="1:7" x14ac:dyDescent="0.35">
      <c r="A9" s="65" t="s">
        <v>43</v>
      </c>
      <c r="B9" s="66">
        <v>3</v>
      </c>
      <c r="C9" s="67">
        <v>1500</v>
      </c>
      <c r="D9" s="67">
        <v>8000</v>
      </c>
      <c r="E9" s="68">
        <v>4780</v>
      </c>
      <c r="F9" s="91" t="s">
        <v>105</v>
      </c>
      <c r="G9" s="91" t="s">
        <v>5</v>
      </c>
    </row>
    <row r="10" spans="1:7" x14ac:dyDescent="0.35">
      <c r="A10" s="81" t="s">
        <v>17</v>
      </c>
      <c r="B10" s="82">
        <v>4</v>
      </c>
      <c r="C10" s="83">
        <v>1500</v>
      </c>
      <c r="D10" s="83">
        <v>8000</v>
      </c>
      <c r="E10" s="84">
        <v>5330</v>
      </c>
      <c r="F10" s="97" t="s">
        <v>127</v>
      </c>
      <c r="G10" s="97" t="s">
        <v>1</v>
      </c>
    </row>
    <row r="11" spans="1:7" x14ac:dyDescent="0.35">
      <c r="A11" s="49" t="s">
        <v>17</v>
      </c>
      <c r="B11" s="50">
        <v>4</v>
      </c>
      <c r="C11" s="51">
        <v>1500</v>
      </c>
      <c r="D11" s="51">
        <v>8000</v>
      </c>
      <c r="E11" s="52">
        <v>5320</v>
      </c>
      <c r="F11" s="98" t="s">
        <v>83</v>
      </c>
      <c r="G11" s="98" t="s">
        <v>9</v>
      </c>
    </row>
    <row r="12" spans="1:7" x14ac:dyDescent="0.35">
      <c r="A12" s="77" t="s">
        <v>17</v>
      </c>
      <c r="B12" s="78">
        <v>4</v>
      </c>
      <c r="C12" s="79">
        <v>1500</v>
      </c>
      <c r="D12" s="79">
        <v>8000</v>
      </c>
      <c r="E12" s="80">
        <v>5320</v>
      </c>
      <c r="F12" s="93" t="s">
        <v>122</v>
      </c>
      <c r="G12" s="93" t="s">
        <v>2</v>
      </c>
    </row>
    <row r="13" spans="1:7" x14ac:dyDescent="0.35">
      <c r="A13" s="65" t="s">
        <v>17</v>
      </c>
      <c r="B13" s="66">
        <v>4</v>
      </c>
      <c r="C13" s="67">
        <v>1500</v>
      </c>
      <c r="D13" s="67">
        <v>8000</v>
      </c>
      <c r="E13" s="68">
        <v>5320</v>
      </c>
      <c r="F13" s="91" t="s">
        <v>106</v>
      </c>
      <c r="G13" s="91" t="s">
        <v>5</v>
      </c>
    </row>
    <row r="14" spans="1:7" x14ac:dyDescent="0.35">
      <c r="A14" s="69" t="s">
        <v>64</v>
      </c>
      <c r="B14" s="70">
        <v>4</v>
      </c>
      <c r="C14" s="71">
        <v>1500</v>
      </c>
      <c r="D14" s="71">
        <v>8000</v>
      </c>
      <c r="E14" s="72">
        <v>4560</v>
      </c>
      <c r="F14" s="99" t="s">
        <v>110</v>
      </c>
      <c r="G14" s="99" t="s">
        <v>4</v>
      </c>
    </row>
    <row r="15" spans="1:7" x14ac:dyDescent="0.35">
      <c r="A15" s="57" t="s">
        <v>17</v>
      </c>
      <c r="B15" s="58">
        <v>4</v>
      </c>
      <c r="C15" s="59">
        <v>1500</v>
      </c>
      <c r="D15" s="59">
        <v>8000</v>
      </c>
      <c r="E15" s="60">
        <v>5300</v>
      </c>
      <c r="F15" s="100" t="s">
        <v>94</v>
      </c>
      <c r="G15" s="100" t="s">
        <v>7</v>
      </c>
    </row>
    <row r="16" spans="1:7" x14ac:dyDescent="0.35">
      <c r="A16" s="33" t="s">
        <v>17</v>
      </c>
      <c r="B16" s="34">
        <v>4</v>
      </c>
      <c r="C16" s="35">
        <v>1500</v>
      </c>
      <c r="D16" s="35">
        <v>8000</v>
      </c>
      <c r="E16" s="36">
        <v>5300</v>
      </c>
      <c r="F16" s="101" t="s">
        <v>62</v>
      </c>
      <c r="G16" s="101" t="s">
        <v>151</v>
      </c>
    </row>
    <row r="17" spans="1:7" x14ac:dyDescent="0.35">
      <c r="A17" s="37" t="s">
        <v>17</v>
      </c>
      <c r="B17" s="38">
        <v>4</v>
      </c>
      <c r="C17" s="39">
        <v>1500</v>
      </c>
      <c r="D17" s="39">
        <v>8000</v>
      </c>
      <c r="E17" s="40">
        <v>5300</v>
      </c>
      <c r="F17" s="102" t="s">
        <v>68</v>
      </c>
      <c r="G17" s="102" t="s">
        <v>152</v>
      </c>
    </row>
    <row r="18" spans="1:7" x14ac:dyDescent="0.35">
      <c r="A18" s="9" t="s">
        <v>17</v>
      </c>
      <c r="B18" s="10">
        <v>4</v>
      </c>
      <c r="C18" s="11">
        <v>1500</v>
      </c>
      <c r="D18" s="11">
        <v>8000</v>
      </c>
      <c r="E18" s="12">
        <v>5300</v>
      </c>
      <c r="F18" s="103" t="s">
        <v>16</v>
      </c>
      <c r="G18" s="103" t="s">
        <v>145</v>
      </c>
    </row>
    <row r="19" spans="1:7" x14ac:dyDescent="0.35">
      <c r="A19" s="33" t="s">
        <v>64</v>
      </c>
      <c r="B19" s="34">
        <v>4</v>
      </c>
      <c r="C19" s="35">
        <v>1500</v>
      </c>
      <c r="D19" s="35">
        <v>8000</v>
      </c>
      <c r="E19" s="36">
        <v>4540</v>
      </c>
      <c r="F19" s="101" t="s">
        <v>63</v>
      </c>
      <c r="G19" s="101" t="s">
        <v>151</v>
      </c>
    </row>
    <row r="20" spans="1:7" x14ac:dyDescent="0.35">
      <c r="A20" s="85" t="s">
        <v>133</v>
      </c>
      <c r="B20" s="86">
        <v>4</v>
      </c>
      <c r="C20" s="87">
        <v>1500</v>
      </c>
      <c r="D20" s="87">
        <v>6000</v>
      </c>
      <c r="E20" s="88">
        <v>2280</v>
      </c>
      <c r="F20" s="104" t="s">
        <v>132</v>
      </c>
      <c r="G20" s="104" t="s">
        <v>0</v>
      </c>
    </row>
    <row r="21" spans="1:7" x14ac:dyDescent="0.35">
      <c r="A21" s="81" t="s">
        <v>124</v>
      </c>
      <c r="B21" s="82">
        <v>6</v>
      </c>
      <c r="C21" s="83">
        <v>1500</v>
      </c>
      <c r="D21" s="83">
        <v>6900</v>
      </c>
      <c r="E21" s="84">
        <v>4940</v>
      </c>
      <c r="F21" s="97" t="s">
        <v>128</v>
      </c>
      <c r="G21" s="97" t="s">
        <v>1</v>
      </c>
    </row>
    <row r="22" spans="1:7" x14ac:dyDescent="0.35">
      <c r="A22" s="81" t="s">
        <v>124</v>
      </c>
      <c r="B22" s="82">
        <v>6</v>
      </c>
      <c r="C22" s="83">
        <v>1500</v>
      </c>
      <c r="D22" s="83">
        <v>6900</v>
      </c>
      <c r="E22" s="84">
        <v>4940</v>
      </c>
      <c r="F22" s="97" t="s">
        <v>129</v>
      </c>
      <c r="G22" s="97" t="s">
        <v>1</v>
      </c>
    </row>
    <row r="23" spans="1:7" x14ac:dyDescent="0.35">
      <c r="A23" s="77" t="s">
        <v>124</v>
      </c>
      <c r="B23" s="78">
        <v>6</v>
      </c>
      <c r="C23" s="79">
        <v>1500</v>
      </c>
      <c r="D23" s="79">
        <v>6900</v>
      </c>
      <c r="E23" s="80">
        <v>4940</v>
      </c>
      <c r="F23" s="93" t="s">
        <v>123</v>
      </c>
      <c r="G23" s="93" t="s">
        <v>2</v>
      </c>
    </row>
    <row r="24" spans="1:7" x14ac:dyDescent="0.35">
      <c r="A24" s="65" t="s">
        <v>108</v>
      </c>
      <c r="B24" s="66">
        <v>6</v>
      </c>
      <c r="C24" s="67">
        <v>1500</v>
      </c>
      <c r="D24" s="67">
        <v>6900</v>
      </c>
      <c r="E24" s="68">
        <v>3460</v>
      </c>
      <c r="F24" s="91" t="s">
        <v>107</v>
      </c>
      <c r="G24" s="91" t="s">
        <v>5</v>
      </c>
    </row>
    <row r="25" spans="1:7" x14ac:dyDescent="0.35">
      <c r="A25" s="25" t="s">
        <v>52</v>
      </c>
      <c r="B25" s="26">
        <v>6</v>
      </c>
      <c r="C25" s="27">
        <v>1500</v>
      </c>
      <c r="D25" s="27">
        <v>6000</v>
      </c>
      <c r="E25" s="28">
        <v>5160</v>
      </c>
      <c r="F25" s="105" t="s">
        <v>51</v>
      </c>
      <c r="G25" s="105" t="s">
        <v>149</v>
      </c>
    </row>
    <row r="26" spans="1:7" x14ac:dyDescent="0.35">
      <c r="A26" s="13" t="s">
        <v>27</v>
      </c>
      <c r="B26" s="14">
        <v>6</v>
      </c>
      <c r="C26" s="15">
        <v>1500</v>
      </c>
      <c r="D26" s="15">
        <v>6900</v>
      </c>
      <c r="E26" s="16">
        <v>5430</v>
      </c>
      <c r="F26" s="106" t="s">
        <v>26</v>
      </c>
      <c r="G26" s="106" t="s">
        <v>146</v>
      </c>
    </row>
    <row r="27" spans="1:7" x14ac:dyDescent="0.35">
      <c r="A27" s="81" t="s">
        <v>27</v>
      </c>
      <c r="B27" s="82">
        <v>6</v>
      </c>
      <c r="C27" s="83">
        <v>1500</v>
      </c>
      <c r="D27" s="83">
        <v>6900</v>
      </c>
      <c r="E27" s="84">
        <v>5430</v>
      </c>
      <c r="F27" s="97" t="s">
        <v>130</v>
      </c>
      <c r="G27" s="97" t="s">
        <v>1</v>
      </c>
    </row>
    <row r="28" spans="1:7" x14ac:dyDescent="0.35">
      <c r="A28" s="53" t="s">
        <v>27</v>
      </c>
      <c r="B28" s="54">
        <v>6</v>
      </c>
      <c r="C28" s="55">
        <v>1500</v>
      </c>
      <c r="D28" s="55">
        <v>6900</v>
      </c>
      <c r="E28" s="56">
        <v>5430</v>
      </c>
      <c r="F28" s="94" t="s">
        <v>90</v>
      </c>
      <c r="G28" s="94" t="s">
        <v>8</v>
      </c>
    </row>
    <row r="29" spans="1:7" x14ac:dyDescent="0.35">
      <c r="A29" s="77" t="s">
        <v>124</v>
      </c>
      <c r="B29" s="78">
        <v>6</v>
      </c>
      <c r="C29" s="79">
        <v>1500</v>
      </c>
      <c r="D29" s="79">
        <v>6900</v>
      </c>
      <c r="E29" s="80">
        <v>4930</v>
      </c>
      <c r="F29" s="93" t="s">
        <v>125</v>
      </c>
      <c r="G29" s="93" t="s">
        <v>2</v>
      </c>
    </row>
    <row r="30" spans="1:7" x14ac:dyDescent="0.35">
      <c r="A30" s="69" t="s">
        <v>36</v>
      </c>
      <c r="B30" s="70">
        <v>8</v>
      </c>
      <c r="C30" s="71">
        <v>1500</v>
      </c>
      <c r="D30" s="71">
        <v>6900</v>
      </c>
      <c r="E30" s="72">
        <v>5240</v>
      </c>
      <c r="F30" s="99" t="s">
        <v>111</v>
      </c>
      <c r="G30" s="99" t="s">
        <v>4</v>
      </c>
    </row>
    <row r="31" spans="1:7" x14ac:dyDescent="0.35">
      <c r="A31" s="17" t="s">
        <v>36</v>
      </c>
      <c r="B31" s="18">
        <v>8</v>
      </c>
      <c r="C31" s="19">
        <v>1500</v>
      </c>
      <c r="D31" s="19">
        <v>6900</v>
      </c>
      <c r="E31" s="20">
        <v>5240</v>
      </c>
      <c r="F31" s="107" t="s">
        <v>35</v>
      </c>
      <c r="G31" s="107" t="s">
        <v>147</v>
      </c>
    </row>
    <row r="32" spans="1:7" x14ac:dyDescent="0.35">
      <c r="A32" s="57" t="s">
        <v>36</v>
      </c>
      <c r="B32" s="58">
        <v>8</v>
      </c>
      <c r="C32" s="59">
        <v>1500</v>
      </c>
      <c r="D32" s="59">
        <v>6900</v>
      </c>
      <c r="E32" s="60">
        <v>5240</v>
      </c>
      <c r="F32" s="100" t="s">
        <v>95</v>
      </c>
      <c r="G32" s="100" t="s">
        <v>7</v>
      </c>
    </row>
    <row r="33" spans="1:7" x14ac:dyDescent="0.35">
      <c r="A33" s="33" t="s">
        <v>36</v>
      </c>
      <c r="B33" s="34">
        <v>8</v>
      </c>
      <c r="C33" s="35">
        <v>1500</v>
      </c>
      <c r="D33" s="35">
        <v>6900</v>
      </c>
      <c r="E33" s="36">
        <v>5240</v>
      </c>
      <c r="F33" s="101" t="s">
        <v>65</v>
      </c>
      <c r="G33" s="101" t="s">
        <v>151</v>
      </c>
    </row>
    <row r="34" spans="1:7" x14ac:dyDescent="0.35">
      <c r="A34" s="61" t="s">
        <v>36</v>
      </c>
      <c r="B34" s="62">
        <v>8</v>
      </c>
      <c r="C34" s="63">
        <v>1500</v>
      </c>
      <c r="D34" s="63">
        <v>6900</v>
      </c>
      <c r="E34" s="64">
        <v>5240</v>
      </c>
      <c r="F34" s="92" t="s">
        <v>100</v>
      </c>
      <c r="G34" s="92" t="s">
        <v>6</v>
      </c>
    </row>
    <row r="35" spans="1:7" x14ac:dyDescent="0.35">
      <c r="A35" s="45" t="s">
        <v>36</v>
      </c>
      <c r="B35" s="46">
        <v>8</v>
      </c>
      <c r="C35" s="47">
        <v>1500</v>
      </c>
      <c r="D35" s="47">
        <v>6900</v>
      </c>
      <c r="E35" s="48">
        <v>5240</v>
      </c>
      <c r="F35" s="108" t="s">
        <v>78</v>
      </c>
      <c r="G35" s="108" t="s">
        <v>10</v>
      </c>
    </row>
    <row r="36" spans="1:7" x14ac:dyDescent="0.35">
      <c r="A36" s="33" t="s">
        <v>36</v>
      </c>
      <c r="B36" s="34">
        <v>8</v>
      </c>
      <c r="C36" s="35">
        <v>1500</v>
      </c>
      <c r="D36" s="35">
        <v>6900</v>
      </c>
      <c r="E36" s="36">
        <v>5230</v>
      </c>
      <c r="F36" s="101" t="s">
        <v>66</v>
      </c>
      <c r="G36" s="101" t="s">
        <v>151</v>
      </c>
    </row>
    <row r="37" spans="1:7" x14ac:dyDescent="0.35">
      <c r="A37" s="53" t="s">
        <v>36</v>
      </c>
      <c r="B37" s="54">
        <v>8</v>
      </c>
      <c r="C37" s="55">
        <v>1500</v>
      </c>
      <c r="D37" s="55">
        <v>6900</v>
      </c>
      <c r="E37" s="56">
        <v>5230</v>
      </c>
      <c r="F37" s="94" t="s">
        <v>91</v>
      </c>
      <c r="G37" s="94" t="s">
        <v>8</v>
      </c>
    </row>
    <row r="38" spans="1:7" x14ac:dyDescent="0.35">
      <c r="A38" s="37" t="s">
        <v>36</v>
      </c>
      <c r="B38" s="38">
        <v>8</v>
      </c>
      <c r="C38" s="39">
        <v>1500</v>
      </c>
      <c r="D38" s="39">
        <v>6900</v>
      </c>
      <c r="E38" s="40">
        <v>5230</v>
      </c>
      <c r="F38" s="102" t="s">
        <v>69</v>
      </c>
      <c r="G38" s="102" t="s">
        <v>152</v>
      </c>
    </row>
    <row r="39" spans="1:7" x14ac:dyDescent="0.35">
      <c r="A39" s="53" t="s">
        <v>36</v>
      </c>
      <c r="B39" s="54">
        <v>8</v>
      </c>
      <c r="C39" s="55">
        <v>1500</v>
      </c>
      <c r="D39" s="55">
        <v>6900</v>
      </c>
      <c r="E39" s="56">
        <v>5230</v>
      </c>
      <c r="F39" s="94" t="s">
        <v>92</v>
      </c>
      <c r="G39" s="94" t="s">
        <v>8</v>
      </c>
    </row>
    <row r="40" spans="1:7" x14ac:dyDescent="0.35">
      <c r="A40" s="41" t="s">
        <v>36</v>
      </c>
      <c r="B40" s="42">
        <v>8</v>
      </c>
      <c r="C40" s="43">
        <v>1500</v>
      </c>
      <c r="D40" s="43">
        <v>6900</v>
      </c>
      <c r="E40" s="44">
        <v>5230</v>
      </c>
      <c r="F40" s="90" t="s">
        <v>74</v>
      </c>
      <c r="G40" s="90" t="s">
        <v>153</v>
      </c>
    </row>
    <row r="41" spans="1:7" x14ac:dyDescent="0.35">
      <c r="A41" s="57" t="s">
        <v>36</v>
      </c>
      <c r="B41" s="58">
        <v>8</v>
      </c>
      <c r="C41" s="59">
        <v>1500</v>
      </c>
      <c r="D41" s="59">
        <v>6900</v>
      </c>
      <c r="E41" s="60">
        <v>5230</v>
      </c>
      <c r="F41" s="100" t="s">
        <v>96</v>
      </c>
      <c r="G41" s="100" t="s">
        <v>7</v>
      </c>
    </row>
    <row r="42" spans="1:7" x14ac:dyDescent="0.35">
      <c r="A42" s="73" t="s">
        <v>113</v>
      </c>
      <c r="B42" s="74">
        <v>8</v>
      </c>
      <c r="C42" s="75">
        <v>1500</v>
      </c>
      <c r="D42" s="75">
        <v>6000</v>
      </c>
      <c r="E42" s="76">
        <v>5120</v>
      </c>
      <c r="F42" s="109" t="s">
        <v>116</v>
      </c>
      <c r="G42" s="109" t="s">
        <v>3</v>
      </c>
    </row>
    <row r="43" spans="1:7" x14ac:dyDescent="0.35">
      <c r="A43" s="17" t="s">
        <v>36</v>
      </c>
      <c r="B43" s="18">
        <v>8</v>
      </c>
      <c r="C43" s="19">
        <v>1500</v>
      </c>
      <c r="D43" s="19">
        <v>6900</v>
      </c>
      <c r="E43" s="20">
        <v>5240</v>
      </c>
      <c r="F43" s="107" t="s">
        <v>37</v>
      </c>
      <c r="G43" s="107" t="s">
        <v>147</v>
      </c>
    </row>
    <row r="44" spans="1:7" x14ac:dyDescent="0.35">
      <c r="A44" s="45" t="s">
        <v>36</v>
      </c>
      <c r="B44" s="46">
        <v>8</v>
      </c>
      <c r="C44" s="47">
        <v>1500</v>
      </c>
      <c r="D44" s="47">
        <v>6900</v>
      </c>
      <c r="E44" s="48">
        <v>5240</v>
      </c>
      <c r="F44" s="108" t="s">
        <v>79</v>
      </c>
      <c r="G44" s="108" t="s">
        <v>10</v>
      </c>
    </row>
    <row r="45" spans="1:7" x14ac:dyDescent="0.35">
      <c r="A45" s="77" t="s">
        <v>36</v>
      </c>
      <c r="B45" s="78">
        <v>8</v>
      </c>
      <c r="C45" s="79">
        <v>1500</v>
      </c>
      <c r="D45" s="79">
        <v>6900</v>
      </c>
      <c r="E45" s="80">
        <v>5240</v>
      </c>
      <c r="F45" s="93" t="s">
        <v>126</v>
      </c>
      <c r="G45" s="93" t="s">
        <v>2</v>
      </c>
    </row>
    <row r="46" spans="1:7" x14ac:dyDescent="0.35">
      <c r="A46" s="69" t="s">
        <v>113</v>
      </c>
      <c r="B46" s="70">
        <v>8</v>
      </c>
      <c r="C46" s="71">
        <v>1500</v>
      </c>
      <c r="D46" s="71">
        <v>6000</v>
      </c>
      <c r="E46" s="72">
        <v>5130</v>
      </c>
      <c r="F46" s="99" t="s">
        <v>112</v>
      </c>
      <c r="G46" s="99" t="s">
        <v>4</v>
      </c>
    </row>
    <row r="47" spans="1:7" x14ac:dyDescent="0.35">
      <c r="A47" s="17" t="s">
        <v>39</v>
      </c>
      <c r="B47" s="18">
        <v>10</v>
      </c>
      <c r="C47" s="19">
        <v>1500</v>
      </c>
      <c r="D47" s="19">
        <v>6900</v>
      </c>
      <c r="E47" s="20">
        <v>4910</v>
      </c>
      <c r="F47" s="107" t="s">
        <v>38</v>
      </c>
      <c r="G47" s="107" t="s">
        <v>147</v>
      </c>
    </row>
    <row r="48" spans="1:7" x14ac:dyDescent="0.35">
      <c r="A48" s="37" t="s">
        <v>39</v>
      </c>
      <c r="B48" s="38">
        <v>10</v>
      </c>
      <c r="C48" s="39">
        <v>1500</v>
      </c>
      <c r="D48" s="39">
        <v>6900</v>
      </c>
      <c r="E48" s="40">
        <v>4910</v>
      </c>
      <c r="F48" s="102" t="s">
        <v>70</v>
      </c>
      <c r="G48" s="102" t="s">
        <v>152</v>
      </c>
    </row>
    <row r="49" spans="1:7" x14ac:dyDescent="0.35">
      <c r="A49" s="29" t="s">
        <v>39</v>
      </c>
      <c r="B49" s="30">
        <v>10</v>
      </c>
      <c r="C49" s="31">
        <v>1500</v>
      </c>
      <c r="D49" s="31">
        <v>6900</v>
      </c>
      <c r="E49" s="32">
        <v>4910</v>
      </c>
      <c r="F49" s="95" t="s">
        <v>58</v>
      </c>
      <c r="G49" s="95" t="s">
        <v>150</v>
      </c>
    </row>
    <row r="50" spans="1:7" x14ac:dyDescent="0.35">
      <c r="A50" s="29" t="s">
        <v>39</v>
      </c>
      <c r="B50" s="30">
        <v>10</v>
      </c>
      <c r="C50" s="31">
        <v>1500</v>
      </c>
      <c r="D50" s="31">
        <v>6900</v>
      </c>
      <c r="E50" s="32">
        <v>4910</v>
      </c>
      <c r="F50" s="95" t="s">
        <v>59</v>
      </c>
      <c r="G50" s="95" t="s">
        <v>150</v>
      </c>
    </row>
    <row r="51" spans="1:7" x14ac:dyDescent="0.35">
      <c r="A51" s="37" t="s">
        <v>45</v>
      </c>
      <c r="B51" s="38">
        <v>10</v>
      </c>
      <c r="C51" s="39">
        <v>1500</v>
      </c>
      <c r="D51" s="39">
        <v>6900</v>
      </c>
      <c r="E51" s="40">
        <v>4090</v>
      </c>
      <c r="F51" s="102" t="s">
        <v>71</v>
      </c>
      <c r="G51" s="102" t="s">
        <v>152</v>
      </c>
    </row>
    <row r="52" spans="1:7" x14ac:dyDescent="0.35">
      <c r="A52" s="17" t="s">
        <v>39</v>
      </c>
      <c r="B52" s="18">
        <v>10</v>
      </c>
      <c r="C52" s="19">
        <v>1500</v>
      </c>
      <c r="D52" s="19">
        <v>6900</v>
      </c>
      <c r="E52" s="20">
        <v>4920</v>
      </c>
      <c r="F52" s="107" t="s">
        <v>40</v>
      </c>
      <c r="G52" s="107" t="s">
        <v>147</v>
      </c>
    </row>
    <row r="53" spans="1:7" x14ac:dyDescent="0.35">
      <c r="A53" s="17" t="s">
        <v>39</v>
      </c>
      <c r="B53" s="18">
        <v>10</v>
      </c>
      <c r="C53" s="19">
        <v>1500</v>
      </c>
      <c r="D53" s="19">
        <v>6900</v>
      </c>
      <c r="E53" s="20">
        <v>4920</v>
      </c>
      <c r="F53" s="107" t="s">
        <v>41</v>
      </c>
      <c r="G53" s="107" t="s">
        <v>147</v>
      </c>
    </row>
    <row r="54" spans="1:7" x14ac:dyDescent="0.35">
      <c r="A54" s="29" t="s">
        <v>39</v>
      </c>
      <c r="B54" s="30">
        <v>10</v>
      </c>
      <c r="C54" s="31">
        <v>1500</v>
      </c>
      <c r="D54" s="31">
        <v>6900</v>
      </c>
      <c r="E54" s="32">
        <v>4920</v>
      </c>
      <c r="F54" s="95" t="s">
        <v>60</v>
      </c>
      <c r="G54" s="95" t="s">
        <v>150</v>
      </c>
    </row>
    <row r="55" spans="1:7" x14ac:dyDescent="0.35">
      <c r="A55" s="45" t="s">
        <v>39</v>
      </c>
      <c r="B55" s="46">
        <v>10</v>
      </c>
      <c r="C55" s="47">
        <v>1500</v>
      </c>
      <c r="D55" s="47">
        <v>6900</v>
      </c>
      <c r="E55" s="48">
        <v>4920</v>
      </c>
      <c r="F55" s="108" t="s">
        <v>80</v>
      </c>
      <c r="G55" s="108" t="s">
        <v>10</v>
      </c>
    </row>
    <row r="56" spans="1:7" x14ac:dyDescent="0.35">
      <c r="A56" s="21" t="s">
        <v>45</v>
      </c>
      <c r="B56" s="22">
        <v>10</v>
      </c>
      <c r="C56" s="23">
        <v>1500</v>
      </c>
      <c r="D56" s="23">
        <v>6900</v>
      </c>
      <c r="E56" s="24">
        <v>4100</v>
      </c>
      <c r="F56" s="96" t="s">
        <v>44</v>
      </c>
      <c r="G56" s="96" t="s">
        <v>148</v>
      </c>
    </row>
    <row r="57" spans="1:7" x14ac:dyDescent="0.35">
      <c r="A57" s="25" t="s">
        <v>39</v>
      </c>
      <c r="B57" s="26">
        <v>10</v>
      </c>
      <c r="C57" s="27">
        <v>1500</v>
      </c>
      <c r="D57" s="27">
        <v>6900</v>
      </c>
      <c r="E57" s="28">
        <v>4910</v>
      </c>
      <c r="F57" s="105" t="s">
        <v>53</v>
      </c>
      <c r="G57" s="105" t="s">
        <v>149</v>
      </c>
    </row>
    <row r="58" spans="1:7" x14ac:dyDescent="0.35">
      <c r="A58" s="85" t="s">
        <v>135</v>
      </c>
      <c r="B58" s="86">
        <v>10</v>
      </c>
      <c r="C58" s="87">
        <v>1500</v>
      </c>
      <c r="D58" s="87">
        <v>6900</v>
      </c>
      <c r="E58" s="88">
        <v>5730</v>
      </c>
      <c r="F58" s="104" t="s">
        <v>134</v>
      </c>
      <c r="G58" s="104" t="s">
        <v>0</v>
      </c>
    </row>
    <row r="59" spans="1:7" x14ac:dyDescent="0.35">
      <c r="A59" s="85" t="s">
        <v>135</v>
      </c>
      <c r="B59" s="86">
        <v>10</v>
      </c>
      <c r="C59" s="87">
        <v>1500</v>
      </c>
      <c r="D59" s="87">
        <v>6900</v>
      </c>
      <c r="E59" s="88">
        <v>5730</v>
      </c>
      <c r="F59" s="104" t="s">
        <v>136</v>
      </c>
      <c r="G59" s="104" t="s">
        <v>0</v>
      </c>
    </row>
    <row r="60" spans="1:7" x14ac:dyDescent="0.35">
      <c r="A60" s="9" t="s">
        <v>19</v>
      </c>
      <c r="B60" s="10">
        <v>10</v>
      </c>
      <c r="C60" s="11">
        <v>1500</v>
      </c>
      <c r="D60" s="11">
        <v>6900</v>
      </c>
      <c r="E60" s="12">
        <v>1650</v>
      </c>
      <c r="F60" s="103" t="s">
        <v>18</v>
      </c>
      <c r="G60" s="103" t="s">
        <v>145</v>
      </c>
    </row>
    <row r="61" spans="1:7" s="8" customFormat="1" x14ac:dyDescent="0.35">
      <c r="A61" s="57" t="s">
        <v>21</v>
      </c>
      <c r="B61" s="58">
        <v>12</v>
      </c>
      <c r="C61" s="59">
        <v>1500</v>
      </c>
      <c r="D61" s="59">
        <v>8000</v>
      </c>
      <c r="E61" s="60">
        <v>4555</v>
      </c>
      <c r="F61" s="100" t="s">
        <v>97</v>
      </c>
      <c r="G61" s="100" t="s">
        <v>7</v>
      </c>
    </row>
    <row r="62" spans="1:7" x14ac:dyDescent="0.35">
      <c r="A62" s="53" t="s">
        <v>21</v>
      </c>
      <c r="B62" s="54">
        <v>12</v>
      </c>
      <c r="C62" s="55">
        <v>1500</v>
      </c>
      <c r="D62" s="55">
        <v>8000</v>
      </c>
      <c r="E62" s="56">
        <v>4555</v>
      </c>
      <c r="F62" s="94" t="s">
        <v>93</v>
      </c>
      <c r="G62" s="94" t="s">
        <v>8</v>
      </c>
    </row>
    <row r="63" spans="1:7" x14ac:dyDescent="0.35">
      <c r="A63" s="49" t="s">
        <v>21</v>
      </c>
      <c r="B63" s="50">
        <v>12</v>
      </c>
      <c r="C63" s="51">
        <v>1500</v>
      </c>
      <c r="D63" s="51">
        <v>8000</v>
      </c>
      <c r="E63" s="52">
        <v>4555</v>
      </c>
      <c r="F63" s="98" t="s">
        <v>84</v>
      </c>
      <c r="G63" s="98" t="s">
        <v>9</v>
      </c>
    </row>
    <row r="64" spans="1:7" x14ac:dyDescent="0.35">
      <c r="A64" s="61" t="s">
        <v>21</v>
      </c>
      <c r="B64" s="62">
        <v>12</v>
      </c>
      <c r="C64" s="63">
        <v>1500</v>
      </c>
      <c r="D64" s="63">
        <v>8000</v>
      </c>
      <c r="E64" s="64">
        <v>4555</v>
      </c>
      <c r="F64" s="92" t="s">
        <v>101</v>
      </c>
      <c r="G64" s="92" t="s">
        <v>6</v>
      </c>
    </row>
    <row r="65" spans="1:7" x14ac:dyDescent="0.35">
      <c r="A65" s="37" t="s">
        <v>49</v>
      </c>
      <c r="B65" s="38">
        <v>12</v>
      </c>
      <c r="C65" s="39">
        <v>1500</v>
      </c>
      <c r="D65" s="39">
        <v>8000</v>
      </c>
      <c r="E65" s="40">
        <v>5700</v>
      </c>
      <c r="F65" s="102" t="s">
        <v>72</v>
      </c>
      <c r="G65" s="102" t="s">
        <v>152</v>
      </c>
    </row>
    <row r="66" spans="1:7" x14ac:dyDescent="0.35">
      <c r="A66" s="73" t="s">
        <v>21</v>
      </c>
      <c r="B66" s="74">
        <v>12</v>
      </c>
      <c r="C66" s="75">
        <v>1500</v>
      </c>
      <c r="D66" s="75">
        <v>8000</v>
      </c>
      <c r="E66" s="76">
        <v>4560</v>
      </c>
      <c r="F66" s="109" t="s">
        <v>117</v>
      </c>
      <c r="G66" s="109" t="s">
        <v>3</v>
      </c>
    </row>
    <row r="67" spans="1:7" x14ac:dyDescent="0.35">
      <c r="A67" s="25" t="s">
        <v>21</v>
      </c>
      <c r="B67" s="26">
        <v>12</v>
      </c>
      <c r="C67" s="27">
        <v>1500</v>
      </c>
      <c r="D67" s="27">
        <v>8000</v>
      </c>
      <c r="E67" s="28">
        <v>4560</v>
      </c>
      <c r="F67" s="105" t="s">
        <v>54</v>
      </c>
      <c r="G67" s="105" t="s">
        <v>149</v>
      </c>
    </row>
    <row r="68" spans="1:7" x14ac:dyDescent="0.35">
      <c r="A68" s="69" t="s">
        <v>21</v>
      </c>
      <c r="B68" s="70">
        <v>12</v>
      </c>
      <c r="C68" s="71">
        <v>1500</v>
      </c>
      <c r="D68" s="71">
        <v>8000</v>
      </c>
      <c r="E68" s="72">
        <v>4560</v>
      </c>
      <c r="F68" s="99" t="s">
        <v>114</v>
      </c>
      <c r="G68" s="99" t="s">
        <v>4</v>
      </c>
    </row>
    <row r="69" spans="1:7" x14ac:dyDescent="0.35">
      <c r="A69" s="9" t="s">
        <v>21</v>
      </c>
      <c r="B69" s="10">
        <v>12</v>
      </c>
      <c r="C69" s="11">
        <v>1500</v>
      </c>
      <c r="D69" s="11">
        <v>8000</v>
      </c>
      <c r="E69" s="12">
        <v>4560</v>
      </c>
      <c r="F69" s="103" t="s">
        <v>20</v>
      </c>
      <c r="G69" s="103" t="s">
        <v>145</v>
      </c>
    </row>
    <row r="70" spans="1:7" x14ac:dyDescent="0.35">
      <c r="A70" s="25" t="s">
        <v>49</v>
      </c>
      <c r="B70" s="26">
        <v>12</v>
      </c>
      <c r="C70" s="27">
        <v>1500</v>
      </c>
      <c r="D70" s="27">
        <v>8000</v>
      </c>
      <c r="E70" s="28">
        <v>5700</v>
      </c>
      <c r="F70" s="105" t="s">
        <v>55</v>
      </c>
      <c r="G70" s="105" t="s">
        <v>149</v>
      </c>
    </row>
    <row r="71" spans="1:7" x14ac:dyDescent="0.35">
      <c r="A71" s="85" t="s">
        <v>49</v>
      </c>
      <c r="B71" s="86">
        <v>12</v>
      </c>
      <c r="C71" s="87">
        <v>1500</v>
      </c>
      <c r="D71" s="87">
        <v>8000</v>
      </c>
      <c r="E71" s="88">
        <v>5730</v>
      </c>
      <c r="F71" s="104" t="s">
        <v>137</v>
      </c>
      <c r="G71" s="104" t="s">
        <v>0</v>
      </c>
    </row>
    <row r="72" spans="1:7" x14ac:dyDescent="0.35">
      <c r="A72" s="85" t="s">
        <v>49</v>
      </c>
      <c r="B72" s="86">
        <v>12</v>
      </c>
      <c r="C72" s="87">
        <v>1500</v>
      </c>
      <c r="D72" s="87">
        <v>8000</v>
      </c>
      <c r="E72" s="88">
        <v>5730</v>
      </c>
      <c r="F72" s="104" t="s">
        <v>138</v>
      </c>
      <c r="G72" s="104" t="s">
        <v>0</v>
      </c>
    </row>
    <row r="73" spans="1:7" x14ac:dyDescent="0.35">
      <c r="A73" s="69" t="s">
        <v>49</v>
      </c>
      <c r="B73" s="70">
        <v>12</v>
      </c>
      <c r="C73" s="71">
        <v>1500</v>
      </c>
      <c r="D73" s="71">
        <v>8000</v>
      </c>
      <c r="E73" s="72">
        <v>5730</v>
      </c>
      <c r="F73" s="99" t="s">
        <v>115</v>
      </c>
      <c r="G73" s="99" t="s">
        <v>4</v>
      </c>
    </row>
    <row r="74" spans="1:7" x14ac:dyDescent="0.35">
      <c r="A74" s="65" t="s">
        <v>29</v>
      </c>
      <c r="B74" s="66">
        <v>12</v>
      </c>
      <c r="C74" s="67">
        <v>1500</v>
      </c>
      <c r="D74" s="67">
        <v>8000</v>
      </c>
      <c r="E74" s="68">
        <v>6870</v>
      </c>
      <c r="F74" s="91" t="s">
        <v>109</v>
      </c>
      <c r="G74" s="91" t="s">
        <v>5</v>
      </c>
    </row>
    <row r="75" spans="1:7" s="8" customFormat="1" x14ac:dyDescent="0.35">
      <c r="A75" s="73" t="s">
        <v>47</v>
      </c>
      <c r="B75" s="74">
        <v>12</v>
      </c>
      <c r="C75" s="75">
        <v>1500</v>
      </c>
      <c r="D75" s="75">
        <v>6900</v>
      </c>
      <c r="E75" s="76">
        <v>4930</v>
      </c>
      <c r="F75" s="109" t="s">
        <v>118</v>
      </c>
      <c r="G75" s="109" t="s">
        <v>3</v>
      </c>
    </row>
    <row r="76" spans="1:7" x14ac:dyDescent="0.35">
      <c r="A76" s="21" t="s">
        <v>47</v>
      </c>
      <c r="B76" s="22">
        <v>12</v>
      </c>
      <c r="C76" s="23">
        <v>1500</v>
      </c>
      <c r="D76" s="23">
        <v>6900</v>
      </c>
      <c r="E76" s="24">
        <v>4930</v>
      </c>
      <c r="F76" s="96" t="s">
        <v>46</v>
      </c>
      <c r="G76" s="96" t="s">
        <v>148</v>
      </c>
    </row>
    <row r="77" spans="1:7" x14ac:dyDescent="0.35">
      <c r="A77" s="61" t="s">
        <v>47</v>
      </c>
      <c r="B77" s="62">
        <v>12</v>
      </c>
      <c r="C77" s="63">
        <v>1500</v>
      </c>
      <c r="D77" s="63">
        <v>6900</v>
      </c>
      <c r="E77" s="64">
        <v>4930</v>
      </c>
      <c r="F77" s="92" t="s">
        <v>102</v>
      </c>
      <c r="G77" s="92" t="s">
        <v>6</v>
      </c>
    </row>
    <row r="78" spans="1:7" x14ac:dyDescent="0.35">
      <c r="A78" s="45" t="s">
        <v>47</v>
      </c>
      <c r="B78" s="46">
        <v>12</v>
      </c>
      <c r="C78" s="47">
        <v>1500</v>
      </c>
      <c r="D78" s="47">
        <v>6900</v>
      </c>
      <c r="E78" s="48">
        <v>4930</v>
      </c>
      <c r="F78" s="108" t="s">
        <v>81</v>
      </c>
      <c r="G78" s="108" t="s">
        <v>10</v>
      </c>
    </row>
    <row r="79" spans="1:7" x14ac:dyDescent="0.35">
      <c r="A79" s="41" t="s">
        <v>47</v>
      </c>
      <c r="B79" s="42">
        <v>12</v>
      </c>
      <c r="C79" s="43">
        <v>1500</v>
      </c>
      <c r="D79" s="43">
        <v>6900</v>
      </c>
      <c r="E79" s="44">
        <v>4930</v>
      </c>
      <c r="F79" s="90" t="s">
        <v>75</v>
      </c>
      <c r="G79" s="90" t="s">
        <v>153</v>
      </c>
    </row>
    <row r="80" spans="1:7" x14ac:dyDescent="0.35">
      <c r="A80" s="73" t="s">
        <v>47</v>
      </c>
      <c r="B80" s="74">
        <v>12</v>
      </c>
      <c r="C80" s="75">
        <v>1500</v>
      </c>
      <c r="D80" s="75">
        <v>6900</v>
      </c>
      <c r="E80" s="76">
        <v>4900</v>
      </c>
      <c r="F80" s="109" t="s">
        <v>119</v>
      </c>
      <c r="G80" s="109" t="s">
        <v>3</v>
      </c>
    </row>
    <row r="81" spans="1:7" x14ac:dyDescent="0.35">
      <c r="A81" s="57" t="s">
        <v>47</v>
      </c>
      <c r="B81" s="58">
        <v>12</v>
      </c>
      <c r="C81" s="59">
        <v>1500</v>
      </c>
      <c r="D81" s="59">
        <v>6900</v>
      </c>
      <c r="E81" s="60">
        <v>4900</v>
      </c>
      <c r="F81" s="100" t="s">
        <v>98</v>
      </c>
      <c r="G81" s="100" t="s">
        <v>7</v>
      </c>
    </row>
    <row r="82" spans="1:7" x14ac:dyDescent="0.35">
      <c r="A82" s="45" t="s">
        <v>47</v>
      </c>
      <c r="B82" s="46">
        <v>12</v>
      </c>
      <c r="C82" s="47">
        <v>1500</v>
      </c>
      <c r="D82" s="47">
        <v>6900</v>
      </c>
      <c r="E82" s="48">
        <v>4900</v>
      </c>
      <c r="F82" s="108" t="s">
        <v>82</v>
      </c>
      <c r="G82" s="108" t="s">
        <v>10</v>
      </c>
    </row>
    <row r="83" spans="1:7" x14ac:dyDescent="0.35">
      <c r="A83" s="25" t="s">
        <v>47</v>
      </c>
      <c r="B83" s="26">
        <v>12</v>
      </c>
      <c r="C83" s="27">
        <v>1500</v>
      </c>
      <c r="D83" s="27">
        <v>6900</v>
      </c>
      <c r="E83" s="28">
        <v>4900</v>
      </c>
      <c r="F83" s="105" t="s">
        <v>56</v>
      </c>
      <c r="G83" s="105" t="s">
        <v>149</v>
      </c>
    </row>
    <row r="84" spans="1:7" x14ac:dyDescent="0.35">
      <c r="A84" s="49" t="s">
        <v>86</v>
      </c>
      <c r="B84" s="50">
        <v>12</v>
      </c>
      <c r="C84" s="51">
        <v>1500</v>
      </c>
      <c r="D84" s="51">
        <v>6900</v>
      </c>
      <c r="E84" s="52">
        <v>3930</v>
      </c>
      <c r="F84" s="98" t="s">
        <v>85</v>
      </c>
      <c r="G84" s="98" t="s">
        <v>9</v>
      </c>
    </row>
    <row r="85" spans="1:7" x14ac:dyDescent="0.35">
      <c r="A85" s="21" t="s">
        <v>49</v>
      </c>
      <c r="B85" s="22">
        <v>12</v>
      </c>
      <c r="C85" s="23">
        <v>1500</v>
      </c>
      <c r="D85" s="23">
        <v>8000</v>
      </c>
      <c r="E85" s="24">
        <v>5710</v>
      </c>
      <c r="F85" s="96" t="s">
        <v>48</v>
      </c>
      <c r="G85" s="96" t="s">
        <v>148</v>
      </c>
    </row>
    <row r="86" spans="1:7" x14ac:dyDescent="0.35">
      <c r="A86" s="21" t="s">
        <v>49</v>
      </c>
      <c r="B86" s="22">
        <v>12</v>
      </c>
      <c r="C86" s="23">
        <v>1500</v>
      </c>
      <c r="D86" s="23">
        <v>8000</v>
      </c>
      <c r="E86" s="24">
        <v>5710</v>
      </c>
      <c r="F86" s="96" t="s">
        <v>50</v>
      </c>
      <c r="G86" s="96" t="s">
        <v>148</v>
      </c>
    </row>
    <row r="87" spans="1:7" x14ac:dyDescent="0.35">
      <c r="A87" s="41" t="s">
        <v>49</v>
      </c>
      <c r="B87" s="42">
        <v>12</v>
      </c>
      <c r="C87" s="43">
        <v>1500</v>
      </c>
      <c r="D87" s="43">
        <v>8000</v>
      </c>
      <c r="E87" s="44">
        <v>5710</v>
      </c>
      <c r="F87" s="90" t="s">
        <v>76</v>
      </c>
      <c r="G87" s="90" t="s">
        <v>153</v>
      </c>
    </row>
    <row r="88" spans="1:7" x14ac:dyDescent="0.35">
      <c r="A88" s="13" t="s">
        <v>29</v>
      </c>
      <c r="B88" s="14">
        <v>12</v>
      </c>
      <c r="C88" s="15">
        <v>1500</v>
      </c>
      <c r="D88" s="15">
        <v>8000</v>
      </c>
      <c r="E88" s="16">
        <v>6850</v>
      </c>
      <c r="F88" s="106" t="s">
        <v>28</v>
      </c>
      <c r="G88" s="106" t="s">
        <v>146</v>
      </c>
    </row>
    <row r="89" spans="1:7" x14ac:dyDescent="0.35">
      <c r="A89" s="29" t="s">
        <v>49</v>
      </c>
      <c r="B89" s="30">
        <v>12</v>
      </c>
      <c r="C89" s="31">
        <v>1500</v>
      </c>
      <c r="D89" s="31">
        <v>8000</v>
      </c>
      <c r="E89" s="32">
        <v>5710</v>
      </c>
      <c r="F89" s="95" t="s">
        <v>61</v>
      </c>
      <c r="G89" s="95" t="s">
        <v>150</v>
      </c>
    </row>
    <row r="90" spans="1:7" x14ac:dyDescent="0.35">
      <c r="A90" s="73" t="s">
        <v>49</v>
      </c>
      <c r="B90" s="74">
        <v>12</v>
      </c>
      <c r="C90" s="75">
        <v>1500</v>
      </c>
      <c r="D90" s="75">
        <v>8000</v>
      </c>
      <c r="E90" s="76">
        <v>5710</v>
      </c>
      <c r="F90" s="109" t="s">
        <v>120</v>
      </c>
      <c r="G90" s="109" t="s">
        <v>3</v>
      </c>
    </row>
    <row r="91" spans="1:7" x14ac:dyDescent="0.35">
      <c r="A91" s="61" t="s">
        <v>49</v>
      </c>
      <c r="B91" s="62">
        <v>12</v>
      </c>
      <c r="C91" s="63">
        <v>1500</v>
      </c>
      <c r="D91" s="63">
        <v>8000</v>
      </c>
      <c r="E91" s="64">
        <v>5710</v>
      </c>
      <c r="F91" s="92" t="s">
        <v>103</v>
      </c>
      <c r="G91" s="92" t="s">
        <v>6</v>
      </c>
    </row>
    <row r="92" spans="1:7" x14ac:dyDescent="0.35">
      <c r="A92" s="49" t="s">
        <v>29</v>
      </c>
      <c r="B92" s="50">
        <v>12</v>
      </c>
      <c r="C92" s="51">
        <v>1500</v>
      </c>
      <c r="D92" s="51">
        <v>8000</v>
      </c>
      <c r="E92" s="52">
        <v>6850</v>
      </c>
      <c r="F92" s="98" t="s">
        <v>87</v>
      </c>
      <c r="G92" s="98" t="s">
        <v>9</v>
      </c>
    </row>
    <row r="93" spans="1:7" x14ac:dyDescent="0.35">
      <c r="A93" s="9" t="s">
        <v>23</v>
      </c>
      <c r="B93" s="10">
        <v>12</v>
      </c>
      <c r="C93" s="11">
        <v>1500</v>
      </c>
      <c r="D93" s="11">
        <v>8000</v>
      </c>
      <c r="E93" s="12">
        <v>4570</v>
      </c>
      <c r="F93" s="103" t="s">
        <v>22</v>
      </c>
      <c r="G93" s="103" t="s">
        <v>145</v>
      </c>
    </row>
    <row r="94" spans="1:7" x14ac:dyDescent="0.35">
      <c r="A94" s="9" t="s">
        <v>23</v>
      </c>
      <c r="B94" s="10">
        <v>12</v>
      </c>
      <c r="C94" s="11">
        <v>1500</v>
      </c>
      <c r="D94" s="11">
        <v>8000</v>
      </c>
      <c r="E94" s="12">
        <v>4570</v>
      </c>
      <c r="F94" s="103" t="s">
        <v>24</v>
      </c>
      <c r="G94" s="103" t="s">
        <v>145</v>
      </c>
    </row>
    <row r="95" spans="1:7" x14ac:dyDescent="0.35">
      <c r="A95" s="41" t="s">
        <v>23</v>
      </c>
      <c r="B95" s="42">
        <v>12</v>
      </c>
      <c r="C95" s="43">
        <v>1500</v>
      </c>
      <c r="D95" s="43">
        <v>8000</v>
      </c>
      <c r="E95" s="44">
        <v>4570</v>
      </c>
      <c r="F95" s="90" t="s">
        <v>77</v>
      </c>
      <c r="G95" s="90" t="s">
        <v>153</v>
      </c>
    </row>
    <row r="96" spans="1:7" x14ac:dyDescent="0.35">
      <c r="A96" s="49" t="s">
        <v>23</v>
      </c>
      <c r="B96" s="50">
        <v>12</v>
      </c>
      <c r="C96" s="51">
        <v>1500</v>
      </c>
      <c r="D96" s="51">
        <v>8000</v>
      </c>
      <c r="E96" s="52">
        <v>4570</v>
      </c>
      <c r="F96" s="98" t="s">
        <v>88</v>
      </c>
      <c r="G96" s="98" t="s">
        <v>9</v>
      </c>
    </row>
    <row r="97" spans="1:7" x14ac:dyDescent="0.35">
      <c r="A97" s="33" t="s">
        <v>34</v>
      </c>
      <c r="B97" s="34">
        <v>12</v>
      </c>
      <c r="C97" s="35">
        <v>1500</v>
      </c>
      <c r="D97" s="35">
        <v>6900</v>
      </c>
      <c r="E97" s="36">
        <v>4920</v>
      </c>
      <c r="F97" s="101" t="s">
        <v>67</v>
      </c>
      <c r="G97" s="101" t="s">
        <v>151</v>
      </c>
    </row>
    <row r="98" spans="1:7" x14ac:dyDescent="0.35">
      <c r="A98" s="9" t="s">
        <v>23</v>
      </c>
      <c r="B98" s="10">
        <v>12</v>
      </c>
      <c r="C98" s="11">
        <v>1500</v>
      </c>
      <c r="D98" s="11">
        <v>8000</v>
      </c>
      <c r="E98" s="12">
        <v>4580</v>
      </c>
      <c r="F98" s="103" t="s">
        <v>25</v>
      </c>
      <c r="G98" s="103" t="s">
        <v>145</v>
      </c>
    </row>
    <row r="99" spans="1:7" x14ac:dyDescent="0.35">
      <c r="A99" s="81" t="s">
        <v>23</v>
      </c>
      <c r="B99" s="82">
        <v>12</v>
      </c>
      <c r="C99" s="83">
        <v>1500</v>
      </c>
      <c r="D99" s="83">
        <v>8000</v>
      </c>
      <c r="E99" s="84">
        <v>4580</v>
      </c>
      <c r="F99" s="97" t="s">
        <v>131</v>
      </c>
      <c r="G99" s="97" t="s">
        <v>1</v>
      </c>
    </row>
    <row r="100" spans="1:7" x14ac:dyDescent="0.35">
      <c r="A100" s="13" t="s">
        <v>23</v>
      </c>
      <c r="B100" s="14">
        <v>12</v>
      </c>
      <c r="C100" s="15">
        <v>1500</v>
      </c>
      <c r="D100" s="15">
        <v>8000</v>
      </c>
      <c r="E100" s="16">
        <v>4580</v>
      </c>
      <c r="F100" s="106" t="s">
        <v>30</v>
      </c>
      <c r="G100" s="106" t="s">
        <v>146</v>
      </c>
    </row>
    <row r="101" spans="1:7" x14ac:dyDescent="0.35">
      <c r="A101" s="13" t="s">
        <v>32</v>
      </c>
      <c r="B101" s="14">
        <v>12</v>
      </c>
      <c r="C101" s="15">
        <v>1500</v>
      </c>
      <c r="D101" s="15">
        <v>8000</v>
      </c>
      <c r="E101" s="16">
        <v>3430</v>
      </c>
      <c r="F101" s="106" t="s">
        <v>31</v>
      </c>
      <c r="G101" s="106" t="s">
        <v>146</v>
      </c>
    </row>
    <row r="102" spans="1:7" x14ac:dyDescent="0.35">
      <c r="A102" s="13" t="s">
        <v>34</v>
      </c>
      <c r="B102" s="14">
        <v>12</v>
      </c>
      <c r="C102" s="15">
        <v>1500</v>
      </c>
      <c r="D102" s="15">
        <v>6900</v>
      </c>
      <c r="E102" s="16">
        <v>4940</v>
      </c>
      <c r="F102" s="106" t="s">
        <v>33</v>
      </c>
      <c r="G102" s="106" t="s">
        <v>146</v>
      </c>
    </row>
    <row r="103" spans="1:7" x14ac:dyDescent="0.35">
      <c r="A103" s="6" t="s">
        <v>143</v>
      </c>
      <c r="B103" s="7"/>
      <c r="C103" s="7"/>
      <c r="D103" s="7"/>
      <c r="E103" s="7">
        <v>504500</v>
      </c>
      <c r="F103" s="110" t="s">
        <v>143</v>
      </c>
    </row>
  </sheetData>
  <autoFilter ref="A1:J103" xr:uid="{F82B3E64-DA07-4883-A016-459300EBB471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0CAC-D36B-49EC-B436-E92E4F766E7D}">
  <dimension ref="A1:W53"/>
  <sheetViews>
    <sheetView zoomScale="70" zoomScaleNormal="70" workbookViewId="0">
      <pane ySplit="2" topLeftCell="A43" activePane="bottomLeft" state="frozen"/>
      <selection pane="bottomLeft" activeCell="M1" sqref="M1:M1048576"/>
    </sheetView>
  </sheetViews>
  <sheetFormatPr defaultRowHeight="14.5" x14ac:dyDescent="0.35"/>
  <cols>
    <col min="1" max="1" width="10" style="1" customWidth="1"/>
    <col min="2" max="2" width="12.26953125" style="1" customWidth="1"/>
    <col min="3" max="3" width="12.26953125" style="137" customWidth="1"/>
    <col min="4" max="4" width="31.1796875" style="1" customWidth="1"/>
    <col min="5" max="5" width="15.08984375" style="1" bestFit="1" customWidth="1"/>
    <col min="6" max="7" width="8.08984375" style="1" customWidth="1"/>
    <col min="8" max="8" width="11.08984375" style="2" customWidth="1"/>
    <col min="9" max="9" width="13.08984375" style="1" customWidth="1"/>
    <col min="10" max="10" width="11.08984375" style="1" customWidth="1"/>
    <col min="11" max="11" width="10.7265625" style="1" customWidth="1"/>
    <col min="12" max="12" width="12.26953125" style="1" customWidth="1"/>
    <col min="13" max="14" width="10.7265625" style="1" customWidth="1"/>
    <col min="15" max="15" width="16.81640625" style="1" customWidth="1"/>
    <col min="16" max="16" width="13.7265625" style="1" customWidth="1"/>
    <col min="17" max="18" width="10.7265625" style="1" customWidth="1"/>
    <col min="19" max="19" width="12.26953125" customWidth="1"/>
    <col min="20" max="20" width="24.453125" customWidth="1"/>
    <col min="23" max="23" width="10" bestFit="1" customWidth="1"/>
  </cols>
  <sheetData>
    <row r="1" spans="1:23" s="112" customFormat="1" ht="32" customHeight="1" thickBot="1" x14ac:dyDescent="0.4">
      <c r="A1" s="116" t="s">
        <v>180</v>
      </c>
      <c r="B1" s="117" t="s">
        <v>181</v>
      </c>
      <c r="C1" s="117" t="s">
        <v>182</v>
      </c>
      <c r="D1" s="117" t="s">
        <v>183</v>
      </c>
      <c r="E1" s="117" t="s">
        <v>184</v>
      </c>
      <c r="F1" s="117" t="s">
        <v>185</v>
      </c>
      <c r="G1" s="117" t="s">
        <v>186</v>
      </c>
      <c r="H1" s="117" t="s">
        <v>187</v>
      </c>
      <c r="I1" s="117" t="s">
        <v>188</v>
      </c>
      <c r="J1" s="138" t="s">
        <v>323</v>
      </c>
      <c r="K1" s="138" t="s">
        <v>324</v>
      </c>
      <c r="L1" s="138" t="s">
        <v>325</v>
      </c>
      <c r="M1" s="117" t="s">
        <v>192</v>
      </c>
      <c r="N1" s="117" t="s">
        <v>193</v>
      </c>
    </row>
    <row r="2" spans="1:23" ht="29.5" customHeight="1" thickBot="1" x14ac:dyDescent="0.4">
      <c r="A2" s="131" t="s">
        <v>278</v>
      </c>
      <c r="B2" s="131" t="s">
        <v>11</v>
      </c>
      <c r="C2" s="132" t="s">
        <v>12</v>
      </c>
      <c r="D2" s="132" t="s">
        <v>287</v>
      </c>
      <c r="E2" s="132" t="s">
        <v>184</v>
      </c>
      <c r="F2" s="132"/>
      <c r="G2" s="132" t="s">
        <v>288</v>
      </c>
      <c r="H2" s="132" t="s">
        <v>289</v>
      </c>
      <c r="I2" s="132"/>
      <c r="J2" s="132" t="s">
        <v>326</v>
      </c>
      <c r="K2" s="132" t="s">
        <v>327</v>
      </c>
      <c r="L2" s="132" t="s">
        <v>328</v>
      </c>
      <c r="M2" s="132" t="s">
        <v>14</v>
      </c>
      <c r="N2" s="132" t="s">
        <v>15</v>
      </c>
      <c r="O2" s="127" t="s">
        <v>277</v>
      </c>
      <c r="P2" s="133" t="s">
        <v>211</v>
      </c>
      <c r="Q2" s="133" t="s">
        <v>212</v>
      </c>
      <c r="R2" s="133" t="s">
        <v>213</v>
      </c>
      <c r="S2" s="133" t="s">
        <v>214</v>
      </c>
      <c r="T2" s="133" t="s">
        <v>215</v>
      </c>
      <c r="U2" s="133" t="s">
        <v>216</v>
      </c>
      <c r="V2" s="133" t="s">
        <v>217</v>
      </c>
      <c r="W2" s="133" t="s">
        <v>218</v>
      </c>
    </row>
    <row r="3" spans="1:23" s="181" customFormat="1" ht="15" customHeight="1" x14ac:dyDescent="0.35">
      <c r="A3" s="175">
        <v>1</v>
      </c>
      <c r="B3" s="176" t="s">
        <v>226</v>
      </c>
      <c r="C3" s="177" t="s">
        <v>26</v>
      </c>
      <c r="D3" s="178" t="s">
        <v>329</v>
      </c>
      <c r="E3" s="178" t="s">
        <v>292</v>
      </c>
      <c r="F3" s="178" t="s">
        <v>284</v>
      </c>
      <c r="G3" s="178">
        <v>11</v>
      </c>
      <c r="H3" s="178" t="s">
        <v>290</v>
      </c>
      <c r="I3" s="178" t="s">
        <v>291</v>
      </c>
      <c r="J3" s="178">
        <v>6900</v>
      </c>
      <c r="K3" s="178">
        <v>1500</v>
      </c>
      <c r="L3" s="178">
        <v>6</v>
      </c>
      <c r="M3" s="179">
        <v>5440</v>
      </c>
      <c r="N3" s="178">
        <f>SUM(M3:M7)</f>
        <v>25240</v>
      </c>
      <c r="O3" s="180" t="s">
        <v>317</v>
      </c>
      <c r="P3" s="176" t="s">
        <v>226</v>
      </c>
      <c r="Q3" s="176" t="s">
        <v>220</v>
      </c>
      <c r="R3" s="176" t="s">
        <v>227</v>
      </c>
      <c r="S3" s="176" t="s">
        <v>228</v>
      </c>
      <c r="T3" s="176" t="s">
        <v>229</v>
      </c>
      <c r="U3" s="176" t="s">
        <v>230</v>
      </c>
      <c r="V3" s="176" t="s">
        <v>231</v>
      </c>
      <c r="W3" s="176">
        <v>5453471497</v>
      </c>
    </row>
    <row r="4" spans="1:23" s="187" customFormat="1" ht="15" customHeight="1" x14ac:dyDescent="0.35">
      <c r="A4" s="182"/>
      <c r="B4" s="183" t="s">
        <v>226</v>
      </c>
      <c r="C4" s="184" t="s">
        <v>28</v>
      </c>
      <c r="D4" s="185" t="s">
        <v>330</v>
      </c>
      <c r="E4" s="185" t="s">
        <v>292</v>
      </c>
      <c r="F4" s="185" t="s">
        <v>284</v>
      </c>
      <c r="G4" s="185">
        <v>6</v>
      </c>
      <c r="H4" s="185" t="s">
        <v>290</v>
      </c>
      <c r="I4" s="185" t="s">
        <v>291</v>
      </c>
      <c r="J4" s="185">
        <v>8000</v>
      </c>
      <c r="K4" s="185">
        <v>1500</v>
      </c>
      <c r="L4" s="185">
        <v>12</v>
      </c>
      <c r="M4" s="186">
        <v>6850</v>
      </c>
      <c r="N4" s="185"/>
      <c r="O4" s="185"/>
      <c r="P4" s="185"/>
      <c r="Q4" s="185"/>
      <c r="R4" s="185"/>
      <c r="S4" s="185"/>
      <c r="T4" s="185"/>
      <c r="U4" s="185"/>
      <c r="V4" s="185"/>
      <c r="W4" s="185"/>
    </row>
    <row r="5" spans="1:23" s="187" customFormat="1" ht="15" customHeight="1" x14ac:dyDescent="0.35">
      <c r="A5" s="182"/>
      <c r="B5" s="183" t="s">
        <v>226</v>
      </c>
      <c r="C5" s="184" t="s">
        <v>30</v>
      </c>
      <c r="D5" s="185" t="s">
        <v>330</v>
      </c>
      <c r="E5" s="185" t="s">
        <v>292</v>
      </c>
      <c r="F5" s="185" t="s">
        <v>284</v>
      </c>
      <c r="G5" s="185">
        <v>4</v>
      </c>
      <c r="H5" s="185" t="s">
        <v>290</v>
      </c>
      <c r="I5" s="185" t="s">
        <v>291</v>
      </c>
      <c r="J5" s="185">
        <v>8000</v>
      </c>
      <c r="K5" s="185">
        <v>1500</v>
      </c>
      <c r="L5" s="185">
        <v>12</v>
      </c>
      <c r="M5" s="186">
        <v>4580</v>
      </c>
      <c r="N5" s="185"/>
      <c r="O5" s="185"/>
      <c r="P5" s="185"/>
      <c r="Q5" s="185"/>
      <c r="R5" s="185"/>
      <c r="S5" s="185"/>
      <c r="T5" s="185"/>
      <c r="U5" s="185"/>
      <c r="V5" s="185"/>
      <c r="W5" s="185"/>
    </row>
    <row r="6" spans="1:23" s="187" customFormat="1" ht="15" customHeight="1" x14ac:dyDescent="0.35">
      <c r="A6" s="182"/>
      <c r="B6" s="183" t="s">
        <v>226</v>
      </c>
      <c r="C6" s="184" t="s">
        <v>31</v>
      </c>
      <c r="D6" s="185" t="s">
        <v>330</v>
      </c>
      <c r="E6" s="185" t="s">
        <v>292</v>
      </c>
      <c r="F6" s="185" t="s">
        <v>284</v>
      </c>
      <c r="G6" s="185">
        <v>3</v>
      </c>
      <c r="H6" s="185" t="s">
        <v>290</v>
      </c>
      <c r="I6" s="185" t="s">
        <v>291</v>
      </c>
      <c r="J6" s="185">
        <v>8000</v>
      </c>
      <c r="K6" s="185">
        <v>1500</v>
      </c>
      <c r="L6" s="185">
        <v>12</v>
      </c>
      <c r="M6" s="186">
        <v>3430</v>
      </c>
      <c r="N6" s="185"/>
      <c r="O6" s="185"/>
      <c r="P6" s="185"/>
      <c r="Q6" s="185"/>
      <c r="R6" s="185"/>
      <c r="S6" s="185"/>
      <c r="T6" s="185"/>
      <c r="U6" s="185"/>
      <c r="V6" s="185"/>
      <c r="W6" s="185"/>
    </row>
    <row r="7" spans="1:23" s="193" customFormat="1" ht="15" customHeight="1" thickBot="1" x14ac:dyDescent="0.4">
      <c r="A7" s="188"/>
      <c r="B7" s="189" t="s">
        <v>226</v>
      </c>
      <c r="C7" s="190" t="s">
        <v>33</v>
      </c>
      <c r="D7" s="191" t="s">
        <v>331</v>
      </c>
      <c r="E7" s="191" t="s">
        <v>292</v>
      </c>
      <c r="F7" s="191" t="s">
        <v>284</v>
      </c>
      <c r="G7" s="191">
        <v>5</v>
      </c>
      <c r="H7" s="191" t="s">
        <v>290</v>
      </c>
      <c r="I7" s="191" t="s">
        <v>291</v>
      </c>
      <c r="J7" s="191">
        <v>6900</v>
      </c>
      <c r="K7" s="191">
        <v>1500</v>
      </c>
      <c r="L7" s="191">
        <v>12</v>
      </c>
      <c r="M7" s="192">
        <v>4940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</row>
    <row r="8" spans="1:23" s="201" customFormat="1" ht="15" customHeight="1" x14ac:dyDescent="0.35">
      <c r="A8" s="195">
        <v>2</v>
      </c>
      <c r="B8" s="196" t="s">
        <v>232</v>
      </c>
      <c r="C8" s="197" t="s">
        <v>35</v>
      </c>
      <c r="D8" s="198" t="s">
        <v>332</v>
      </c>
      <c r="E8" s="198" t="s">
        <v>292</v>
      </c>
      <c r="F8" s="198" t="s">
        <v>284</v>
      </c>
      <c r="G8" s="198">
        <v>8</v>
      </c>
      <c r="H8" s="198" t="s">
        <v>290</v>
      </c>
      <c r="I8" s="198" t="s">
        <v>291</v>
      </c>
      <c r="J8" s="198">
        <v>6900</v>
      </c>
      <c r="K8" s="198">
        <v>1500</v>
      </c>
      <c r="L8" s="198">
        <v>8</v>
      </c>
      <c r="M8" s="199">
        <v>5230</v>
      </c>
      <c r="N8" s="198">
        <f>SUM(M8:M12)</f>
        <v>25120</v>
      </c>
      <c r="O8" s="200" t="s">
        <v>306</v>
      </c>
      <c r="P8" s="196" t="s">
        <v>232</v>
      </c>
      <c r="Q8" s="196" t="s">
        <v>220</v>
      </c>
      <c r="R8" s="196" t="s">
        <v>233</v>
      </c>
      <c r="S8" s="196" t="s">
        <v>234</v>
      </c>
      <c r="T8" s="196" t="s">
        <v>235</v>
      </c>
      <c r="U8" s="196" t="s">
        <v>236</v>
      </c>
      <c r="V8" s="196" t="s">
        <v>237</v>
      </c>
      <c r="W8" s="196">
        <v>5305918797</v>
      </c>
    </row>
    <row r="9" spans="1:23" s="207" customFormat="1" ht="15" customHeight="1" x14ac:dyDescent="0.35">
      <c r="A9" s="202"/>
      <c r="B9" s="203" t="s">
        <v>232</v>
      </c>
      <c r="C9" s="204" t="s">
        <v>37</v>
      </c>
      <c r="D9" s="205" t="s">
        <v>332</v>
      </c>
      <c r="E9" s="205" t="s">
        <v>292</v>
      </c>
      <c r="F9" s="205" t="s">
        <v>284</v>
      </c>
      <c r="G9" s="205">
        <v>8</v>
      </c>
      <c r="H9" s="205" t="s">
        <v>290</v>
      </c>
      <c r="I9" s="205" t="s">
        <v>291</v>
      </c>
      <c r="J9" s="205">
        <v>6900</v>
      </c>
      <c r="K9" s="205">
        <v>1500</v>
      </c>
      <c r="L9" s="205">
        <v>8</v>
      </c>
      <c r="M9" s="206">
        <v>5235</v>
      </c>
      <c r="N9" s="205"/>
      <c r="O9" s="205"/>
      <c r="P9" s="205"/>
      <c r="Q9" s="205"/>
      <c r="R9" s="205"/>
      <c r="S9" s="205"/>
      <c r="T9" s="205"/>
      <c r="U9" s="205"/>
      <c r="V9" s="205"/>
      <c r="W9" s="205"/>
    </row>
    <row r="10" spans="1:23" s="207" customFormat="1" ht="15" customHeight="1" x14ac:dyDescent="0.35">
      <c r="A10" s="202"/>
      <c r="B10" s="203" t="s">
        <v>232</v>
      </c>
      <c r="C10" s="204" t="s">
        <v>38</v>
      </c>
      <c r="D10" s="205" t="s">
        <v>333</v>
      </c>
      <c r="E10" s="205" t="s">
        <v>292</v>
      </c>
      <c r="F10" s="205" t="s">
        <v>284</v>
      </c>
      <c r="G10" s="205">
        <v>6</v>
      </c>
      <c r="H10" s="205" t="s">
        <v>290</v>
      </c>
      <c r="I10" s="205" t="s">
        <v>291</v>
      </c>
      <c r="J10" s="205">
        <v>6900</v>
      </c>
      <c r="K10" s="205">
        <v>1500</v>
      </c>
      <c r="L10" s="205">
        <v>10</v>
      </c>
      <c r="M10" s="206">
        <v>4885</v>
      </c>
      <c r="N10" s="205"/>
      <c r="O10" s="205"/>
      <c r="P10" s="205"/>
      <c r="Q10" s="205"/>
      <c r="R10" s="205"/>
      <c r="S10" s="205"/>
      <c r="T10" s="205"/>
      <c r="U10" s="205"/>
      <c r="V10" s="205"/>
      <c r="W10" s="205"/>
    </row>
    <row r="11" spans="1:23" s="207" customFormat="1" ht="15" customHeight="1" x14ac:dyDescent="0.35">
      <c r="A11" s="202"/>
      <c r="B11" s="203" t="s">
        <v>232</v>
      </c>
      <c r="C11" s="204" t="s">
        <v>40</v>
      </c>
      <c r="D11" s="205" t="s">
        <v>333</v>
      </c>
      <c r="E11" s="205" t="s">
        <v>292</v>
      </c>
      <c r="F11" s="205" t="s">
        <v>284</v>
      </c>
      <c r="G11" s="205">
        <v>6</v>
      </c>
      <c r="H11" s="205" t="s">
        <v>290</v>
      </c>
      <c r="I11" s="205" t="s">
        <v>291</v>
      </c>
      <c r="J11" s="205">
        <v>6900</v>
      </c>
      <c r="K11" s="205">
        <v>1500</v>
      </c>
      <c r="L11" s="205">
        <v>10</v>
      </c>
      <c r="M11" s="206">
        <v>4885</v>
      </c>
      <c r="N11" s="205"/>
      <c r="O11" s="205"/>
      <c r="P11" s="205"/>
      <c r="Q11" s="205"/>
      <c r="R11" s="205"/>
      <c r="S11" s="205"/>
      <c r="T11" s="205"/>
      <c r="U11" s="205"/>
      <c r="V11" s="205"/>
      <c r="W11" s="205"/>
    </row>
    <row r="12" spans="1:23" s="213" customFormat="1" ht="15" customHeight="1" thickBot="1" x14ac:dyDescent="0.4">
      <c r="A12" s="208"/>
      <c r="B12" s="209" t="s">
        <v>232</v>
      </c>
      <c r="C12" s="210" t="s">
        <v>41</v>
      </c>
      <c r="D12" s="211" t="s">
        <v>333</v>
      </c>
      <c r="E12" s="211" t="s">
        <v>292</v>
      </c>
      <c r="F12" s="211" t="s">
        <v>284</v>
      </c>
      <c r="G12" s="211">
        <v>6</v>
      </c>
      <c r="H12" s="211" t="s">
        <v>290</v>
      </c>
      <c r="I12" s="211" t="s">
        <v>291</v>
      </c>
      <c r="J12" s="211">
        <v>6900</v>
      </c>
      <c r="K12" s="211">
        <v>1500</v>
      </c>
      <c r="L12" s="211">
        <v>10</v>
      </c>
      <c r="M12" s="212">
        <v>4885</v>
      </c>
      <c r="N12" s="211"/>
      <c r="O12" s="211"/>
      <c r="P12" s="211"/>
      <c r="Q12" s="211"/>
      <c r="R12" s="211"/>
      <c r="S12" s="211"/>
      <c r="T12" s="211"/>
      <c r="U12" s="211"/>
      <c r="V12" s="211"/>
      <c r="W12" s="211"/>
    </row>
    <row r="13" spans="1:23" s="181" customFormat="1" ht="15" customHeight="1" x14ac:dyDescent="0.35">
      <c r="A13" s="175">
        <v>3</v>
      </c>
      <c r="B13" s="176" t="s">
        <v>219</v>
      </c>
      <c r="C13" s="177" t="s">
        <v>16</v>
      </c>
      <c r="D13" s="178" t="s">
        <v>334</v>
      </c>
      <c r="E13" s="178" t="s">
        <v>292</v>
      </c>
      <c r="F13" s="178" t="s">
        <v>284</v>
      </c>
      <c r="G13" s="178">
        <v>14</v>
      </c>
      <c r="H13" s="178" t="s">
        <v>290</v>
      </c>
      <c r="I13" s="178" t="s">
        <v>291</v>
      </c>
      <c r="J13" s="178">
        <v>8000</v>
      </c>
      <c r="K13" s="178">
        <v>1500</v>
      </c>
      <c r="L13" s="178">
        <v>4</v>
      </c>
      <c r="M13" s="179">
        <v>5300</v>
      </c>
      <c r="N13" s="178">
        <f>SUM(M13:M18)</f>
        <v>25220</v>
      </c>
      <c r="O13" s="180">
        <v>25220</v>
      </c>
      <c r="P13" s="176" t="s">
        <v>219</v>
      </c>
      <c r="Q13" s="176" t="s">
        <v>220</v>
      </c>
      <c r="R13" s="176" t="s">
        <v>221</v>
      </c>
      <c r="S13" s="176" t="s">
        <v>222</v>
      </c>
      <c r="T13" s="176" t="s">
        <v>223</v>
      </c>
      <c r="U13" s="176" t="s">
        <v>224</v>
      </c>
      <c r="V13" s="176" t="s">
        <v>225</v>
      </c>
      <c r="W13" s="176">
        <v>5400256000</v>
      </c>
    </row>
    <row r="14" spans="1:23" s="187" customFormat="1" ht="15" customHeight="1" x14ac:dyDescent="0.35">
      <c r="A14" s="182"/>
      <c r="B14" s="183" t="s">
        <v>219</v>
      </c>
      <c r="C14" s="184" t="s">
        <v>18</v>
      </c>
      <c r="D14" s="185" t="s">
        <v>333</v>
      </c>
      <c r="E14" s="185" t="s">
        <v>292</v>
      </c>
      <c r="F14" s="185" t="s">
        <v>284</v>
      </c>
      <c r="G14" s="185">
        <v>2</v>
      </c>
      <c r="H14" s="185" t="s">
        <v>290</v>
      </c>
      <c r="I14" s="185" t="s">
        <v>291</v>
      </c>
      <c r="J14" s="185">
        <v>6900</v>
      </c>
      <c r="K14" s="185">
        <v>1500</v>
      </c>
      <c r="L14" s="185">
        <v>10</v>
      </c>
      <c r="M14" s="186">
        <v>1650</v>
      </c>
      <c r="N14" s="185"/>
      <c r="O14" s="185"/>
      <c r="P14" s="185"/>
      <c r="Q14" s="185"/>
      <c r="R14" s="185"/>
      <c r="S14" s="185"/>
      <c r="T14" s="185"/>
      <c r="U14" s="185"/>
      <c r="V14" s="185"/>
      <c r="W14" s="185"/>
    </row>
    <row r="15" spans="1:23" s="187" customFormat="1" ht="15" customHeight="1" x14ac:dyDescent="0.35">
      <c r="A15" s="182"/>
      <c r="B15" s="183" t="s">
        <v>219</v>
      </c>
      <c r="C15" s="184" t="s">
        <v>20</v>
      </c>
      <c r="D15" s="185" t="s">
        <v>335</v>
      </c>
      <c r="E15" s="185" t="s">
        <v>292</v>
      </c>
      <c r="F15" s="185" t="s">
        <v>284</v>
      </c>
      <c r="G15" s="185">
        <v>4</v>
      </c>
      <c r="H15" s="185" t="s">
        <v>290</v>
      </c>
      <c r="I15" s="185" t="s">
        <v>291</v>
      </c>
      <c r="J15" s="185">
        <v>8000</v>
      </c>
      <c r="K15" s="185">
        <v>1500</v>
      </c>
      <c r="L15" s="185">
        <v>12</v>
      </c>
      <c r="M15" s="186">
        <v>4560</v>
      </c>
      <c r="N15" s="185"/>
      <c r="O15" s="185"/>
      <c r="P15" s="185"/>
      <c r="Q15" s="185"/>
      <c r="R15" s="185"/>
      <c r="S15" s="185"/>
      <c r="T15" s="185"/>
      <c r="U15" s="185"/>
      <c r="V15" s="185"/>
      <c r="W15" s="185"/>
    </row>
    <row r="16" spans="1:23" s="187" customFormat="1" ht="15" customHeight="1" x14ac:dyDescent="0.35">
      <c r="A16" s="182"/>
      <c r="B16" s="183" t="s">
        <v>219</v>
      </c>
      <c r="C16" s="184" t="s">
        <v>22</v>
      </c>
      <c r="D16" s="185" t="s">
        <v>335</v>
      </c>
      <c r="E16" s="185" t="s">
        <v>292</v>
      </c>
      <c r="F16" s="185" t="s">
        <v>284</v>
      </c>
      <c r="G16" s="185">
        <v>4</v>
      </c>
      <c r="H16" s="185" t="s">
        <v>290</v>
      </c>
      <c r="I16" s="185" t="s">
        <v>291</v>
      </c>
      <c r="J16" s="185">
        <v>8000</v>
      </c>
      <c r="K16" s="185">
        <v>1500</v>
      </c>
      <c r="L16" s="185">
        <v>12</v>
      </c>
      <c r="M16" s="186">
        <v>4560</v>
      </c>
      <c r="N16" s="185"/>
      <c r="O16" s="185"/>
      <c r="P16" s="185"/>
      <c r="Q16" s="185"/>
      <c r="R16" s="185"/>
      <c r="S16" s="185"/>
      <c r="T16" s="185"/>
      <c r="U16" s="185"/>
      <c r="V16" s="185"/>
      <c r="W16" s="185"/>
    </row>
    <row r="17" spans="1:23" s="187" customFormat="1" ht="15" customHeight="1" x14ac:dyDescent="0.35">
      <c r="A17" s="182"/>
      <c r="B17" s="183" t="s">
        <v>219</v>
      </c>
      <c r="C17" s="184" t="s">
        <v>24</v>
      </c>
      <c r="D17" s="185" t="s">
        <v>335</v>
      </c>
      <c r="E17" s="185" t="s">
        <v>292</v>
      </c>
      <c r="F17" s="185" t="s">
        <v>284</v>
      </c>
      <c r="G17" s="185">
        <v>4</v>
      </c>
      <c r="H17" s="185" t="s">
        <v>290</v>
      </c>
      <c r="I17" s="185" t="s">
        <v>291</v>
      </c>
      <c r="J17" s="185">
        <v>8000</v>
      </c>
      <c r="K17" s="185">
        <v>1500</v>
      </c>
      <c r="L17" s="185">
        <v>12</v>
      </c>
      <c r="M17" s="186">
        <v>4570</v>
      </c>
      <c r="N17" s="185"/>
      <c r="O17" s="185"/>
      <c r="P17" s="185"/>
      <c r="Q17" s="185"/>
      <c r="R17" s="185"/>
      <c r="S17" s="185"/>
      <c r="T17" s="185"/>
      <c r="U17" s="185"/>
      <c r="V17" s="185"/>
      <c r="W17" s="185"/>
    </row>
    <row r="18" spans="1:23" s="193" customFormat="1" ht="15" customHeight="1" thickBot="1" x14ac:dyDescent="0.4">
      <c r="A18" s="188"/>
      <c r="B18" s="189" t="s">
        <v>219</v>
      </c>
      <c r="C18" s="190" t="s">
        <v>25</v>
      </c>
      <c r="D18" s="191" t="s">
        <v>335</v>
      </c>
      <c r="E18" s="191" t="s">
        <v>292</v>
      </c>
      <c r="F18" s="191" t="s">
        <v>284</v>
      </c>
      <c r="G18" s="191">
        <v>4</v>
      </c>
      <c r="H18" s="191" t="s">
        <v>290</v>
      </c>
      <c r="I18" s="191" t="s">
        <v>291</v>
      </c>
      <c r="J18" s="191">
        <v>8000</v>
      </c>
      <c r="K18" s="191">
        <v>1500</v>
      </c>
      <c r="L18" s="191">
        <v>12</v>
      </c>
      <c r="M18" s="192">
        <v>4580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</row>
    <row r="19" spans="1:23" s="201" customFormat="1" ht="15" customHeight="1" x14ac:dyDescent="0.35">
      <c r="A19" s="195">
        <v>4</v>
      </c>
      <c r="B19" s="196" t="s">
        <v>250</v>
      </c>
      <c r="C19" s="197" t="s">
        <v>62</v>
      </c>
      <c r="D19" s="198" t="s">
        <v>334</v>
      </c>
      <c r="E19" s="198" t="s">
        <v>292</v>
      </c>
      <c r="F19" s="198" t="s">
        <v>284</v>
      </c>
      <c r="G19" s="198">
        <v>14</v>
      </c>
      <c r="H19" s="198" t="s">
        <v>290</v>
      </c>
      <c r="I19" s="198" t="s">
        <v>291</v>
      </c>
      <c r="J19" s="198">
        <v>8000</v>
      </c>
      <c r="K19" s="198">
        <v>1500</v>
      </c>
      <c r="L19" s="198">
        <v>4</v>
      </c>
      <c r="M19" s="199">
        <v>5300</v>
      </c>
      <c r="N19" s="198">
        <f>SUM(M19:M23)</f>
        <v>25300</v>
      </c>
      <c r="O19" s="200" t="s">
        <v>322</v>
      </c>
      <c r="P19" s="196" t="s">
        <v>250</v>
      </c>
      <c r="Q19" s="196" t="s">
        <v>220</v>
      </c>
      <c r="R19" s="196" t="s">
        <v>251</v>
      </c>
      <c r="S19" s="196" t="s">
        <v>252</v>
      </c>
      <c r="T19" s="196" t="s">
        <v>253</v>
      </c>
      <c r="U19" s="196" t="s">
        <v>254</v>
      </c>
      <c r="V19" s="196" t="s">
        <v>255</v>
      </c>
      <c r="W19" s="196">
        <v>5557806364</v>
      </c>
    </row>
    <row r="20" spans="1:23" s="207" customFormat="1" ht="15" customHeight="1" x14ac:dyDescent="0.35">
      <c r="A20" s="202"/>
      <c r="B20" s="203" t="s">
        <v>250</v>
      </c>
      <c r="C20" s="204" t="s">
        <v>63</v>
      </c>
      <c r="D20" s="205" t="s">
        <v>334</v>
      </c>
      <c r="E20" s="205" t="s">
        <v>292</v>
      </c>
      <c r="F20" s="205" t="s">
        <v>284</v>
      </c>
      <c r="G20" s="205">
        <v>12</v>
      </c>
      <c r="H20" s="205" t="s">
        <v>290</v>
      </c>
      <c r="I20" s="205" t="s">
        <v>291</v>
      </c>
      <c r="J20" s="205">
        <v>8000</v>
      </c>
      <c r="K20" s="205">
        <v>1500</v>
      </c>
      <c r="L20" s="205">
        <v>4</v>
      </c>
      <c r="M20" s="206">
        <v>4560</v>
      </c>
      <c r="N20" s="205"/>
      <c r="O20" s="205"/>
      <c r="P20" s="205"/>
      <c r="Q20" s="205"/>
      <c r="R20" s="205"/>
      <c r="S20" s="205"/>
      <c r="T20" s="205"/>
      <c r="U20" s="205"/>
      <c r="V20" s="205"/>
      <c r="W20" s="205"/>
    </row>
    <row r="21" spans="1:23" s="207" customFormat="1" ht="15" customHeight="1" x14ac:dyDescent="0.35">
      <c r="A21" s="202"/>
      <c r="B21" s="203" t="s">
        <v>250</v>
      </c>
      <c r="C21" s="204" t="s">
        <v>65</v>
      </c>
      <c r="D21" s="205" t="s">
        <v>332</v>
      </c>
      <c r="E21" s="205" t="s">
        <v>292</v>
      </c>
      <c r="F21" s="205" t="s">
        <v>284</v>
      </c>
      <c r="G21" s="205">
        <v>8</v>
      </c>
      <c r="H21" s="205" t="s">
        <v>290</v>
      </c>
      <c r="I21" s="205" t="s">
        <v>291</v>
      </c>
      <c r="J21" s="205">
        <v>6900</v>
      </c>
      <c r="K21" s="205">
        <v>1500</v>
      </c>
      <c r="L21" s="205">
        <v>8</v>
      </c>
      <c r="M21" s="206">
        <v>5250</v>
      </c>
      <c r="N21" s="205"/>
      <c r="O21" s="205"/>
      <c r="P21" s="205"/>
      <c r="Q21" s="205"/>
      <c r="R21" s="205"/>
      <c r="S21" s="205"/>
      <c r="T21" s="205"/>
      <c r="U21" s="205"/>
      <c r="V21" s="205"/>
      <c r="W21" s="205"/>
    </row>
    <row r="22" spans="1:23" s="207" customFormat="1" ht="15" customHeight="1" x14ac:dyDescent="0.35">
      <c r="A22" s="202"/>
      <c r="B22" s="203" t="s">
        <v>250</v>
      </c>
      <c r="C22" s="204" t="s">
        <v>66</v>
      </c>
      <c r="D22" s="205" t="s">
        <v>332</v>
      </c>
      <c r="E22" s="205" t="s">
        <v>292</v>
      </c>
      <c r="F22" s="205" t="s">
        <v>284</v>
      </c>
      <c r="G22" s="205">
        <v>8</v>
      </c>
      <c r="H22" s="205" t="s">
        <v>290</v>
      </c>
      <c r="I22" s="205" t="s">
        <v>291</v>
      </c>
      <c r="J22" s="205">
        <v>6900</v>
      </c>
      <c r="K22" s="205">
        <v>1500</v>
      </c>
      <c r="L22" s="205">
        <v>8</v>
      </c>
      <c r="M22" s="206">
        <v>5250</v>
      </c>
      <c r="N22" s="205"/>
      <c r="O22" s="205"/>
      <c r="P22" s="205"/>
      <c r="Q22" s="205"/>
      <c r="R22" s="205"/>
      <c r="S22" s="205"/>
      <c r="T22" s="205"/>
      <c r="U22" s="205"/>
      <c r="V22" s="205"/>
      <c r="W22" s="205"/>
    </row>
    <row r="23" spans="1:23" s="213" customFormat="1" ht="15" customHeight="1" thickBot="1" x14ac:dyDescent="0.4">
      <c r="A23" s="208"/>
      <c r="B23" s="209" t="s">
        <v>250</v>
      </c>
      <c r="C23" s="210" t="s">
        <v>67</v>
      </c>
      <c r="D23" s="211" t="s">
        <v>336</v>
      </c>
      <c r="E23" s="211" t="s">
        <v>292</v>
      </c>
      <c r="F23" s="211" t="s">
        <v>284</v>
      </c>
      <c r="G23" s="211">
        <v>5</v>
      </c>
      <c r="H23" s="211" t="s">
        <v>290</v>
      </c>
      <c r="I23" s="211" t="s">
        <v>291</v>
      </c>
      <c r="J23" s="211">
        <v>6900</v>
      </c>
      <c r="K23" s="211">
        <v>1500</v>
      </c>
      <c r="L23" s="211">
        <v>12</v>
      </c>
      <c r="M23" s="212">
        <v>4940</v>
      </c>
      <c r="N23" s="211"/>
      <c r="O23" s="211"/>
      <c r="P23" s="211"/>
      <c r="Q23" s="211"/>
      <c r="R23" s="211"/>
      <c r="S23" s="211"/>
      <c r="T23" s="211"/>
      <c r="U23" s="211"/>
      <c r="V23" s="211"/>
      <c r="W23" s="211"/>
    </row>
    <row r="24" spans="1:23" s="181" customFormat="1" ht="15" customHeight="1" x14ac:dyDescent="0.35">
      <c r="A24" s="175">
        <v>5</v>
      </c>
      <c r="B24" s="176" t="s">
        <v>244</v>
      </c>
      <c r="C24" s="177" t="s">
        <v>51</v>
      </c>
      <c r="D24" s="178" t="s">
        <v>337</v>
      </c>
      <c r="E24" s="178" t="s">
        <v>292</v>
      </c>
      <c r="F24" s="178" t="s">
        <v>284</v>
      </c>
      <c r="G24" s="178">
        <v>12</v>
      </c>
      <c r="H24" s="178" t="s">
        <v>290</v>
      </c>
      <c r="I24" s="178" t="s">
        <v>291</v>
      </c>
      <c r="J24" s="178">
        <v>6000</v>
      </c>
      <c r="K24" s="178">
        <v>1500</v>
      </c>
      <c r="L24" s="178">
        <v>6</v>
      </c>
      <c r="M24" s="179">
        <v>5140</v>
      </c>
      <c r="N24" s="178">
        <f>SUM(M24:M28)</f>
        <v>25160</v>
      </c>
      <c r="O24" s="180" t="s">
        <v>314</v>
      </c>
      <c r="P24" s="176" t="s">
        <v>244</v>
      </c>
      <c r="Q24" s="176" t="s">
        <v>220</v>
      </c>
      <c r="R24" s="176" t="s">
        <v>245</v>
      </c>
      <c r="S24" s="176" t="s">
        <v>246</v>
      </c>
      <c r="T24" s="176" t="s">
        <v>247</v>
      </c>
      <c r="U24" s="176" t="s">
        <v>248</v>
      </c>
      <c r="V24" s="176" t="s">
        <v>249</v>
      </c>
      <c r="W24" s="176">
        <v>5454191831</v>
      </c>
    </row>
    <row r="25" spans="1:23" s="187" customFormat="1" ht="15" customHeight="1" x14ac:dyDescent="0.35">
      <c r="A25" s="182"/>
      <c r="B25" s="183" t="s">
        <v>244</v>
      </c>
      <c r="C25" s="184" t="s">
        <v>53</v>
      </c>
      <c r="D25" s="185" t="s">
        <v>333</v>
      </c>
      <c r="E25" s="185" t="s">
        <v>292</v>
      </c>
      <c r="F25" s="185" t="s">
        <v>284</v>
      </c>
      <c r="G25" s="185">
        <v>6</v>
      </c>
      <c r="H25" s="185" t="s">
        <v>290</v>
      </c>
      <c r="I25" s="185" t="s">
        <v>291</v>
      </c>
      <c r="J25" s="185">
        <v>6900</v>
      </c>
      <c r="K25" s="185">
        <v>1500</v>
      </c>
      <c r="L25" s="185">
        <v>10</v>
      </c>
      <c r="M25" s="186">
        <v>4900</v>
      </c>
      <c r="N25" s="185"/>
      <c r="O25" s="185"/>
      <c r="P25" s="185"/>
      <c r="Q25" s="185"/>
      <c r="R25" s="185"/>
      <c r="S25" s="185"/>
      <c r="T25" s="185"/>
      <c r="U25" s="185"/>
      <c r="V25" s="185"/>
      <c r="W25" s="185"/>
    </row>
    <row r="26" spans="1:23" s="187" customFormat="1" ht="15" customHeight="1" x14ac:dyDescent="0.35">
      <c r="A26" s="182"/>
      <c r="B26" s="183" t="s">
        <v>244</v>
      </c>
      <c r="C26" s="184" t="s">
        <v>54</v>
      </c>
      <c r="D26" s="185" t="s">
        <v>335</v>
      </c>
      <c r="E26" s="185" t="s">
        <v>292</v>
      </c>
      <c r="F26" s="185" t="s">
        <v>284</v>
      </c>
      <c r="G26" s="185">
        <v>4</v>
      </c>
      <c r="H26" s="185" t="s">
        <v>290</v>
      </c>
      <c r="I26" s="185" t="s">
        <v>291</v>
      </c>
      <c r="J26" s="185">
        <v>8000</v>
      </c>
      <c r="K26" s="185">
        <v>1500</v>
      </c>
      <c r="L26" s="185">
        <v>12</v>
      </c>
      <c r="M26" s="186">
        <v>4540</v>
      </c>
      <c r="N26" s="185"/>
      <c r="O26" s="185"/>
      <c r="P26" s="185"/>
      <c r="Q26" s="185"/>
      <c r="R26" s="185"/>
      <c r="S26" s="185"/>
      <c r="T26" s="185"/>
      <c r="U26" s="185"/>
      <c r="V26" s="185"/>
      <c r="W26" s="185"/>
    </row>
    <row r="27" spans="1:23" s="187" customFormat="1" ht="15" customHeight="1" x14ac:dyDescent="0.35">
      <c r="A27" s="182"/>
      <c r="B27" s="183" t="s">
        <v>244</v>
      </c>
      <c r="C27" s="184" t="s">
        <v>55</v>
      </c>
      <c r="D27" s="185" t="s">
        <v>335</v>
      </c>
      <c r="E27" s="185" t="s">
        <v>292</v>
      </c>
      <c r="F27" s="185" t="s">
        <v>284</v>
      </c>
      <c r="G27" s="185">
        <v>5</v>
      </c>
      <c r="H27" s="185" t="s">
        <v>290</v>
      </c>
      <c r="I27" s="185" t="s">
        <v>291</v>
      </c>
      <c r="J27" s="185">
        <v>8000</v>
      </c>
      <c r="K27" s="185">
        <v>1500</v>
      </c>
      <c r="L27" s="185">
        <v>12</v>
      </c>
      <c r="M27" s="186">
        <v>5680</v>
      </c>
      <c r="N27" s="185"/>
      <c r="O27" s="185"/>
      <c r="P27" s="185"/>
      <c r="Q27" s="185"/>
      <c r="R27" s="185"/>
      <c r="S27" s="185"/>
      <c r="T27" s="185"/>
      <c r="U27" s="185"/>
      <c r="V27" s="185"/>
      <c r="W27" s="185"/>
    </row>
    <row r="28" spans="1:23" s="193" customFormat="1" ht="15" customHeight="1" thickBot="1" x14ac:dyDescent="0.4">
      <c r="A28" s="188"/>
      <c r="B28" s="189" t="s">
        <v>244</v>
      </c>
      <c r="C28" s="190" t="s">
        <v>56</v>
      </c>
      <c r="D28" s="191" t="s">
        <v>336</v>
      </c>
      <c r="E28" s="191" t="s">
        <v>292</v>
      </c>
      <c r="F28" s="191" t="s">
        <v>284</v>
      </c>
      <c r="G28" s="191">
        <v>5</v>
      </c>
      <c r="H28" s="191" t="s">
        <v>290</v>
      </c>
      <c r="I28" s="191" t="s">
        <v>291</v>
      </c>
      <c r="J28" s="191">
        <v>6900</v>
      </c>
      <c r="K28" s="191">
        <v>1500</v>
      </c>
      <c r="L28" s="191">
        <v>12</v>
      </c>
      <c r="M28" s="192">
        <v>4900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</row>
    <row r="29" spans="1:23" s="201" customFormat="1" ht="15" customHeight="1" x14ac:dyDescent="0.35">
      <c r="A29" s="195">
        <v>6</v>
      </c>
      <c r="B29" s="196" t="s">
        <v>259</v>
      </c>
      <c r="C29" s="197" t="s">
        <v>73</v>
      </c>
      <c r="D29" s="198" t="s">
        <v>338</v>
      </c>
      <c r="E29" s="198" t="s">
        <v>292</v>
      </c>
      <c r="F29" s="198" t="s">
        <v>284</v>
      </c>
      <c r="G29" s="198">
        <v>17</v>
      </c>
      <c r="H29" s="198" t="s">
        <v>290</v>
      </c>
      <c r="I29" s="198" t="s">
        <v>291</v>
      </c>
      <c r="J29" s="198">
        <v>8000</v>
      </c>
      <c r="K29" s="198">
        <v>1500</v>
      </c>
      <c r="L29" s="198">
        <v>3</v>
      </c>
      <c r="M29" s="199">
        <v>4780</v>
      </c>
      <c r="N29" s="198">
        <f>SUM(M29:M33)</f>
        <v>25180</v>
      </c>
      <c r="O29" s="200" t="s">
        <v>309</v>
      </c>
      <c r="P29" s="196" t="s">
        <v>259</v>
      </c>
      <c r="Q29" s="196" t="s">
        <v>220</v>
      </c>
      <c r="R29" s="196" t="s">
        <v>260</v>
      </c>
      <c r="S29" s="196" t="s">
        <v>261</v>
      </c>
      <c r="T29" s="196" t="s">
        <v>262</v>
      </c>
      <c r="U29" s="196" t="s">
        <v>263</v>
      </c>
      <c r="V29" s="196" t="s">
        <v>264</v>
      </c>
      <c r="W29" s="196">
        <v>5398168504</v>
      </c>
    </row>
    <row r="30" spans="1:23" s="207" customFormat="1" ht="15" customHeight="1" x14ac:dyDescent="0.35">
      <c r="A30" s="202"/>
      <c r="B30" s="203" t="s">
        <v>259</v>
      </c>
      <c r="C30" s="204" t="s">
        <v>74</v>
      </c>
      <c r="D30" s="205" t="s">
        <v>332</v>
      </c>
      <c r="E30" s="205" t="s">
        <v>292</v>
      </c>
      <c r="F30" s="205" t="s">
        <v>284</v>
      </c>
      <c r="G30" s="205">
        <v>8</v>
      </c>
      <c r="H30" s="205" t="s">
        <v>290</v>
      </c>
      <c r="I30" s="205" t="s">
        <v>291</v>
      </c>
      <c r="J30" s="205">
        <v>6900</v>
      </c>
      <c r="K30" s="205">
        <v>1500</v>
      </c>
      <c r="L30" s="205">
        <v>8</v>
      </c>
      <c r="M30" s="206">
        <v>5220</v>
      </c>
      <c r="N30" s="205"/>
      <c r="O30" s="205"/>
      <c r="P30" s="205"/>
      <c r="Q30" s="205"/>
      <c r="R30" s="205"/>
      <c r="S30" s="205"/>
      <c r="T30" s="205"/>
      <c r="U30" s="205"/>
      <c r="V30" s="205"/>
      <c r="W30" s="205"/>
    </row>
    <row r="31" spans="1:23" s="207" customFormat="1" ht="15" customHeight="1" x14ac:dyDescent="0.35">
      <c r="A31" s="202"/>
      <c r="B31" s="203" t="s">
        <v>259</v>
      </c>
      <c r="C31" s="204" t="s">
        <v>75</v>
      </c>
      <c r="D31" s="205" t="s">
        <v>336</v>
      </c>
      <c r="E31" s="205" t="s">
        <v>292</v>
      </c>
      <c r="F31" s="205" t="s">
        <v>284</v>
      </c>
      <c r="G31" s="205">
        <v>5</v>
      </c>
      <c r="H31" s="205" t="s">
        <v>290</v>
      </c>
      <c r="I31" s="205" t="s">
        <v>291</v>
      </c>
      <c r="J31" s="205">
        <v>6900</v>
      </c>
      <c r="K31" s="205">
        <v>1500</v>
      </c>
      <c r="L31" s="205">
        <v>12</v>
      </c>
      <c r="M31" s="206">
        <v>4920</v>
      </c>
      <c r="N31" s="205"/>
      <c r="O31" s="205"/>
      <c r="P31" s="205"/>
      <c r="Q31" s="205"/>
      <c r="R31" s="205"/>
      <c r="S31" s="205"/>
      <c r="T31" s="205"/>
      <c r="U31" s="205"/>
      <c r="V31" s="205"/>
      <c r="W31" s="205"/>
    </row>
    <row r="32" spans="1:23" s="207" customFormat="1" ht="15" customHeight="1" x14ac:dyDescent="0.35">
      <c r="A32" s="202"/>
      <c r="B32" s="203" t="s">
        <v>259</v>
      </c>
      <c r="C32" s="204" t="s">
        <v>76</v>
      </c>
      <c r="D32" s="205" t="s">
        <v>335</v>
      </c>
      <c r="E32" s="205" t="s">
        <v>292</v>
      </c>
      <c r="F32" s="205" t="s">
        <v>284</v>
      </c>
      <c r="G32" s="205">
        <v>5</v>
      </c>
      <c r="H32" s="205" t="s">
        <v>290</v>
      </c>
      <c r="I32" s="205" t="s">
        <v>291</v>
      </c>
      <c r="J32" s="205">
        <v>8000</v>
      </c>
      <c r="K32" s="205">
        <v>1500</v>
      </c>
      <c r="L32" s="205">
        <v>12</v>
      </c>
      <c r="M32" s="206">
        <v>5700</v>
      </c>
      <c r="N32" s="205"/>
      <c r="O32" s="205"/>
      <c r="P32" s="205"/>
      <c r="Q32" s="205"/>
      <c r="R32" s="205"/>
      <c r="S32" s="205"/>
      <c r="T32" s="205"/>
      <c r="U32" s="205"/>
      <c r="V32" s="205"/>
      <c r="W32" s="205"/>
    </row>
    <row r="33" spans="1:23" s="213" customFormat="1" ht="15" customHeight="1" thickBot="1" x14ac:dyDescent="0.4">
      <c r="A33" s="208"/>
      <c r="B33" s="209" t="s">
        <v>259</v>
      </c>
      <c r="C33" s="210" t="s">
        <v>77</v>
      </c>
      <c r="D33" s="211" t="s">
        <v>335</v>
      </c>
      <c r="E33" s="211" t="s">
        <v>292</v>
      </c>
      <c r="F33" s="211" t="s">
        <v>284</v>
      </c>
      <c r="G33" s="211">
        <v>4</v>
      </c>
      <c r="H33" s="211" t="s">
        <v>290</v>
      </c>
      <c r="I33" s="211" t="s">
        <v>291</v>
      </c>
      <c r="J33" s="211">
        <v>8000</v>
      </c>
      <c r="K33" s="211">
        <v>1500</v>
      </c>
      <c r="L33" s="211">
        <v>12</v>
      </c>
      <c r="M33" s="212">
        <v>4560</v>
      </c>
      <c r="N33" s="211"/>
      <c r="O33" s="211"/>
      <c r="P33" s="211"/>
      <c r="Q33" s="211"/>
      <c r="R33" s="211"/>
      <c r="S33" s="211"/>
      <c r="T33" s="211"/>
      <c r="U33" s="211"/>
      <c r="V33" s="211"/>
      <c r="W33" s="211"/>
    </row>
    <row r="34" spans="1:23" s="220" customFormat="1" ht="15" customHeight="1" x14ac:dyDescent="0.35">
      <c r="A34" s="214">
        <v>7</v>
      </c>
      <c r="B34" s="215" t="s">
        <v>238</v>
      </c>
      <c r="C34" s="216" t="s">
        <v>42</v>
      </c>
      <c r="D34" s="217" t="s">
        <v>338</v>
      </c>
      <c r="E34" s="217" t="s">
        <v>292</v>
      </c>
      <c r="F34" s="217" t="s">
        <v>284</v>
      </c>
      <c r="G34" s="217">
        <v>17</v>
      </c>
      <c r="H34" s="217" t="s">
        <v>290</v>
      </c>
      <c r="I34" s="217" t="s">
        <v>291</v>
      </c>
      <c r="J34" s="217">
        <v>8000</v>
      </c>
      <c r="K34" s="217">
        <v>1500</v>
      </c>
      <c r="L34" s="217">
        <v>3</v>
      </c>
      <c r="M34" s="218">
        <v>4760</v>
      </c>
      <c r="N34" s="217">
        <f>SUM(M34:M38)</f>
        <v>25120</v>
      </c>
      <c r="O34" s="219" t="s">
        <v>306</v>
      </c>
      <c r="P34" s="215" t="s">
        <v>238</v>
      </c>
      <c r="Q34" s="215" t="s">
        <v>220</v>
      </c>
      <c r="R34" s="215" t="s">
        <v>239</v>
      </c>
      <c r="S34" s="215" t="s">
        <v>240</v>
      </c>
      <c r="T34" s="215" t="s">
        <v>241</v>
      </c>
      <c r="U34" s="215" t="s">
        <v>242</v>
      </c>
      <c r="V34" s="215" t="s">
        <v>243</v>
      </c>
      <c r="W34" s="215">
        <v>5382203477</v>
      </c>
    </row>
    <row r="35" spans="1:23" s="226" customFormat="1" ht="15" customHeight="1" x14ac:dyDescent="0.35">
      <c r="A35" s="221"/>
      <c r="B35" s="222" t="s">
        <v>238</v>
      </c>
      <c r="C35" s="223" t="s">
        <v>44</v>
      </c>
      <c r="D35" s="224" t="s">
        <v>333</v>
      </c>
      <c r="E35" s="224" t="s">
        <v>292</v>
      </c>
      <c r="F35" s="224" t="s">
        <v>284</v>
      </c>
      <c r="G35" s="224">
        <v>5</v>
      </c>
      <c r="H35" s="224" t="s">
        <v>290</v>
      </c>
      <c r="I35" s="224" t="s">
        <v>291</v>
      </c>
      <c r="J35" s="224">
        <v>6900</v>
      </c>
      <c r="K35" s="224">
        <v>1500</v>
      </c>
      <c r="L35" s="224">
        <v>10</v>
      </c>
      <c r="M35" s="225">
        <v>4100</v>
      </c>
      <c r="N35" s="224"/>
      <c r="O35" s="224"/>
      <c r="P35" s="224"/>
      <c r="Q35" s="224"/>
      <c r="R35" s="224"/>
      <c r="S35" s="224"/>
      <c r="T35" s="224"/>
      <c r="U35" s="224"/>
      <c r="V35" s="224"/>
      <c r="W35" s="224"/>
    </row>
    <row r="36" spans="1:23" s="226" customFormat="1" ht="15" customHeight="1" x14ac:dyDescent="0.35">
      <c r="A36" s="221"/>
      <c r="B36" s="222" t="s">
        <v>238</v>
      </c>
      <c r="C36" s="223" t="s">
        <v>46</v>
      </c>
      <c r="D36" s="224" t="s">
        <v>336</v>
      </c>
      <c r="E36" s="224" t="s">
        <v>292</v>
      </c>
      <c r="F36" s="224" t="s">
        <v>284</v>
      </c>
      <c r="G36" s="224">
        <v>5</v>
      </c>
      <c r="H36" s="224" t="s">
        <v>290</v>
      </c>
      <c r="I36" s="224" t="s">
        <v>291</v>
      </c>
      <c r="J36" s="224">
        <v>6900</v>
      </c>
      <c r="K36" s="224">
        <v>1500</v>
      </c>
      <c r="L36" s="224">
        <v>12</v>
      </c>
      <c r="M36" s="225">
        <v>4900</v>
      </c>
      <c r="N36" s="224"/>
      <c r="O36" s="224"/>
      <c r="P36" s="224"/>
      <c r="Q36" s="224"/>
      <c r="R36" s="224"/>
      <c r="S36" s="224"/>
      <c r="T36" s="224"/>
      <c r="U36" s="224"/>
      <c r="V36" s="224"/>
      <c r="W36" s="224"/>
    </row>
    <row r="37" spans="1:23" s="226" customFormat="1" ht="15" customHeight="1" x14ac:dyDescent="0.35">
      <c r="A37" s="221"/>
      <c r="B37" s="222" t="s">
        <v>238</v>
      </c>
      <c r="C37" s="223" t="s">
        <v>48</v>
      </c>
      <c r="D37" s="224" t="s">
        <v>335</v>
      </c>
      <c r="E37" s="224" t="s">
        <v>292</v>
      </c>
      <c r="F37" s="224" t="s">
        <v>284</v>
      </c>
      <c r="G37" s="224">
        <v>5</v>
      </c>
      <c r="H37" s="224" t="s">
        <v>290</v>
      </c>
      <c r="I37" s="224" t="s">
        <v>291</v>
      </c>
      <c r="J37" s="224">
        <v>8000</v>
      </c>
      <c r="K37" s="224">
        <v>1500</v>
      </c>
      <c r="L37" s="224">
        <v>12</v>
      </c>
      <c r="M37" s="225">
        <v>5680</v>
      </c>
      <c r="N37" s="224"/>
      <c r="O37" s="224"/>
      <c r="P37" s="224"/>
      <c r="Q37" s="224"/>
      <c r="R37" s="224"/>
      <c r="S37" s="224"/>
      <c r="T37" s="224"/>
      <c r="U37" s="224"/>
      <c r="V37" s="224"/>
      <c r="W37" s="224"/>
    </row>
    <row r="38" spans="1:23" s="232" customFormat="1" ht="15" customHeight="1" thickBot="1" x14ac:dyDescent="0.4">
      <c r="A38" s="227"/>
      <c r="B38" s="228" t="s">
        <v>238</v>
      </c>
      <c r="C38" s="229" t="s">
        <v>50</v>
      </c>
      <c r="D38" s="230" t="s">
        <v>335</v>
      </c>
      <c r="E38" s="230" t="s">
        <v>292</v>
      </c>
      <c r="F38" s="230" t="s">
        <v>284</v>
      </c>
      <c r="G38" s="230">
        <v>5</v>
      </c>
      <c r="H38" s="230" t="s">
        <v>290</v>
      </c>
      <c r="I38" s="230" t="s">
        <v>291</v>
      </c>
      <c r="J38" s="230">
        <v>8000</v>
      </c>
      <c r="K38" s="230">
        <v>1500</v>
      </c>
      <c r="L38" s="230">
        <v>12</v>
      </c>
      <c r="M38" s="231">
        <v>5680</v>
      </c>
      <c r="N38" s="230"/>
      <c r="O38" s="230"/>
      <c r="P38" s="230"/>
      <c r="Q38" s="230"/>
      <c r="R38" s="230"/>
      <c r="S38" s="230"/>
      <c r="T38" s="230"/>
      <c r="U38" s="230"/>
      <c r="V38" s="230"/>
      <c r="W38" s="230"/>
    </row>
    <row r="39" spans="1:23" s="201" customFormat="1" ht="15" customHeight="1" x14ac:dyDescent="0.35">
      <c r="A39" s="195">
        <v>8</v>
      </c>
      <c r="B39" s="196" t="s">
        <v>271</v>
      </c>
      <c r="C39" s="197" t="s">
        <v>68</v>
      </c>
      <c r="D39" s="198" t="s">
        <v>334</v>
      </c>
      <c r="E39" s="198" t="s">
        <v>292</v>
      </c>
      <c r="F39" s="198" t="s">
        <v>284</v>
      </c>
      <c r="G39" s="198">
        <v>14</v>
      </c>
      <c r="H39" s="198" t="s">
        <v>290</v>
      </c>
      <c r="I39" s="198" t="s">
        <v>291</v>
      </c>
      <c r="J39" s="198">
        <v>8000</v>
      </c>
      <c r="K39" s="198">
        <v>1500</v>
      </c>
      <c r="L39" s="198">
        <v>4</v>
      </c>
      <c r="M39" s="199">
        <v>5300</v>
      </c>
      <c r="N39" s="198">
        <f>SUM(M39:M43)</f>
        <v>25180</v>
      </c>
      <c r="O39" s="200">
        <v>25180</v>
      </c>
      <c r="P39" s="196" t="s">
        <v>271</v>
      </c>
      <c r="Q39" s="196" t="s">
        <v>220</v>
      </c>
      <c r="R39" s="196" t="s">
        <v>272</v>
      </c>
      <c r="S39" s="196" t="s">
        <v>273</v>
      </c>
      <c r="T39" s="196" t="s">
        <v>274</v>
      </c>
      <c r="U39" s="196" t="s">
        <v>275</v>
      </c>
      <c r="V39" s="196" t="s">
        <v>276</v>
      </c>
      <c r="W39" s="196">
        <v>5426237578</v>
      </c>
    </row>
    <row r="40" spans="1:23" s="207" customFormat="1" ht="15" customHeight="1" x14ac:dyDescent="0.35">
      <c r="A40" s="202"/>
      <c r="B40" s="203" t="s">
        <v>271</v>
      </c>
      <c r="C40" s="204" t="s">
        <v>69</v>
      </c>
      <c r="D40" s="205" t="s">
        <v>332</v>
      </c>
      <c r="E40" s="205" t="s">
        <v>292</v>
      </c>
      <c r="F40" s="205" t="s">
        <v>284</v>
      </c>
      <c r="G40" s="205">
        <v>8</v>
      </c>
      <c r="H40" s="205" t="s">
        <v>290</v>
      </c>
      <c r="I40" s="205" t="s">
        <v>291</v>
      </c>
      <c r="J40" s="205">
        <v>6900</v>
      </c>
      <c r="K40" s="205">
        <v>1500</v>
      </c>
      <c r="L40" s="205">
        <v>8</v>
      </c>
      <c r="M40" s="206">
        <v>5210</v>
      </c>
      <c r="N40" s="205"/>
      <c r="O40" s="205"/>
      <c r="P40" s="205"/>
      <c r="Q40" s="205"/>
      <c r="R40" s="205"/>
      <c r="S40" s="205"/>
      <c r="T40" s="205"/>
      <c r="U40" s="205"/>
      <c r="V40" s="205"/>
      <c r="W40" s="205"/>
    </row>
    <row r="41" spans="1:23" s="207" customFormat="1" ht="15" customHeight="1" x14ac:dyDescent="0.35">
      <c r="A41" s="202"/>
      <c r="B41" s="203" t="s">
        <v>271</v>
      </c>
      <c r="C41" s="204" t="s">
        <v>70</v>
      </c>
      <c r="D41" s="205" t="s">
        <v>333</v>
      </c>
      <c r="E41" s="205" t="s">
        <v>292</v>
      </c>
      <c r="F41" s="205" t="s">
        <v>284</v>
      </c>
      <c r="G41" s="205">
        <v>6</v>
      </c>
      <c r="H41" s="205" t="s">
        <v>290</v>
      </c>
      <c r="I41" s="205" t="s">
        <v>291</v>
      </c>
      <c r="J41" s="205">
        <v>6900</v>
      </c>
      <c r="K41" s="205">
        <v>1500</v>
      </c>
      <c r="L41" s="205">
        <v>10</v>
      </c>
      <c r="M41" s="206">
        <v>4900</v>
      </c>
      <c r="N41" s="205"/>
      <c r="O41" s="205"/>
      <c r="P41" s="205"/>
      <c r="Q41" s="205"/>
      <c r="R41" s="205"/>
      <c r="S41" s="205"/>
      <c r="T41" s="205"/>
      <c r="U41" s="205"/>
      <c r="V41" s="205"/>
      <c r="W41" s="205"/>
    </row>
    <row r="42" spans="1:23" s="207" customFormat="1" ht="15" customHeight="1" x14ac:dyDescent="0.35">
      <c r="A42" s="202"/>
      <c r="B42" s="203" t="s">
        <v>271</v>
      </c>
      <c r="C42" s="204" t="s">
        <v>71</v>
      </c>
      <c r="D42" s="205" t="s">
        <v>333</v>
      </c>
      <c r="E42" s="205" t="s">
        <v>292</v>
      </c>
      <c r="F42" s="205" t="s">
        <v>284</v>
      </c>
      <c r="G42" s="205">
        <v>5</v>
      </c>
      <c r="H42" s="205" t="s">
        <v>290</v>
      </c>
      <c r="I42" s="205" t="s">
        <v>291</v>
      </c>
      <c r="J42" s="205">
        <v>6900</v>
      </c>
      <c r="K42" s="205">
        <v>1500</v>
      </c>
      <c r="L42" s="205">
        <v>10</v>
      </c>
      <c r="M42" s="206">
        <v>4090</v>
      </c>
      <c r="N42" s="205"/>
      <c r="O42" s="205"/>
      <c r="P42" s="205"/>
      <c r="Q42" s="205"/>
      <c r="R42" s="205"/>
      <c r="S42" s="205"/>
      <c r="T42" s="205"/>
      <c r="U42" s="205"/>
      <c r="V42" s="205"/>
      <c r="W42" s="205"/>
    </row>
    <row r="43" spans="1:23" s="213" customFormat="1" ht="15" customHeight="1" thickBot="1" x14ac:dyDescent="0.4">
      <c r="A43" s="208"/>
      <c r="B43" s="209" t="s">
        <v>271</v>
      </c>
      <c r="C43" s="210" t="s">
        <v>72</v>
      </c>
      <c r="D43" s="211" t="s">
        <v>335</v>
      </c>
      <c r="E43" s="211" t="s">
        <v>292</v>
      </c>
      <c r="F43" s="211" t="s">
        <v>284</v>
      </c>
      <c r="G43" s="211">
        <v>5</v>
      </c>
      <c r="H43" s="211" t="s">
        <v>290</v>
      </c>
      <c r="I43" s="211" t="s">
        <v>291</v>
      </c>
      <c r="J43" s="211">
        <v>8000</v>
      </c>
      <c r="K43" s="211">
        <v>1500</v>
      </c>
      <c r="L43" s="211">
        <v>12</v>
      </c>
      <c r="M43" s="212">
        <v>5680</v>
      </c>
      <c r="N43" s="211"/>
      <c r="O43" s="211"/>
      <c r="P43" s="211"/>
      <c r="Q43" s="211"/>
      <c r="R43" s="211"/>
      <c r="S43" s="211"/>
      <c r="T43" s="211"/>
      <c r="U43" s="211"/>
      <c r="V43" s="211"/>
      <c r="W43" s="211"/>
    </row>
    <row r="44" spans="1:23" s="220" customFormat="1" ht="15" customHeight="1" x14ac:dyDescent="0.35">
      <c r="A44" s="214">
        <v>9</v>
      </c>
      <c r="B44" s="215" t="s">
        <v>256</v>
      </c>
      <c r="C44" s="216" t="s">
        <v>57</v>
      </c>
      <c r="D44" s="217" t="s">
        <v>338</v>
      </c>
      <c r="E44" s="217" t="s">
        <v>292</v>
      </c>
      <c r="F44" s="217" t="s">
        <v>284</v>
      </c>
      <c r="G44" s="217">
        <v>17</v>
      </c>
      <c r="H44" s="217" t="s">
        <v>290</v>
      </c>
      <c r="I44" s="217" t="s">
        <v>291</v>
      </c>
      <c r="J44" s="217">
        <v>8000</v>
      </c>
      <c r="K44" s="217">
        <v>1500</v>
      </c>
      <c r="L44" s="217">
        <v>3</v>
      </c>
      <c r="M44" s="218">
        <v>4760</v>
      </c>
      <c r="N44" s="217">
        <f>SUM(M44:M48)</f>
        <v>25180</v>
      </c>
      <c r="O44" s="219" t="s">
        <v>309</v>
      </c>
      <c r="P44" s="215" t="s">
        <v>256</v>
      </c>
      <c r="Q44" s="215" t="s">
        <v>220</v>
      </c>
      <c r="R44" s="215" t="s">
        <v>257</v>
      </c>
      <c r="S44" s="215" t="s">
        <v>258</v>
      </c>
      <c r="T44" s="215" t="s">
        <v>229</v>
      </c>
      <c r="U44" s="215" t="s">
        <v>230</v>
      </c>
      <c r="V44" s="215" t="s">
        <v>231</v>
      </c>
      <c r="W44" s="215">
        <v>5453471497</v>
      </c>
    </row>
    <row r="45" spans="1:23" s="226" customFormat="1" ht="15" customHeight="1" x14ac:dyDescent="0.35">
      <c r="A45" s="221"/>
      <c r="B45" s="222" t="s">
        <v>256</v>
      </c>
      <c r="C45" s="223" t="s">
        <v>58</v>
      </c>
      <c r="D45" s="224" t="s">
        <v>333</v>
      </c>
      <c r="E45" s="224" t="s">
        <v>292</v>
      </c>
      <c r="F45" s="224" t="s">
        <v>284</v>
      </c>
      <c r="G45" s="224">
        <v>6</v>
      </c>
      <c r="H45" s="224" t="s">
        <v>290</v>
      </c>
      <c r="I45" s="224" t="s">
        <v>291</v>
      </c>
      <c r="J45" s="224">
        <v>6900</v>
      </c>
      <c r="K45" s="224">
        <v>1500</v>
      </c>
      <c r="L45" s="224">
        <v>10</v>
      </c>
      <c r="M45" s="225">
        <v>4900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4"/>
    </row>
    <row r="46" spans="1:23" s="226" customFormat="1" ht="15" customHeight="1" x14ac:dyDescent="0.35">
      <c r="A46" s="221"/>
      <c r="B46" s="222" t="s">
        <v>256</v>
      </c>
      <c r="C46" s="223" t="s">
        <v>59</v>
      </c>
      <c r="D46" s="224" t="s">
        <v>333</v>
      </c>
      <c r="E46" s="224" t="s">
        <v>292</v>
      </c>
      <c r="F46" s="224" t="s">
        <v>284</v>
      </c>
      <c r="G46" s="224">
        <v>6</v>
      </c>
      <c r="H46" s="224" t="s">
        <v>290</v>
      </c>
      <c r="I46" s="224" t="s">
        <v>291</v>
      </c>
      <c r="J46" s="224">
        <v>6900</v>
      </c>
      <c r="K46" s="224">
        <v>1500</v>
      </c>
      <c r="L46" s="224">
        <v>10</v>
      </c>
      <c r="M46" s="225">
        <v>4900</v>
      </c>
      <c r="N46" s="224"/>
      <c r="O46" s="224"/>
      <c r="P46" s="224"/>
      <c r="Q46" s="224"/>
      <c r="R46" s="224"/>
      <c r="S46" s="224"/>
      <c r="T46" s="224"/>
      <c r="U46" s="224"/>
      <c r="V46" s="224"/>
      <c r="W46" s="224"/>
    </row>
    <row r="47" spans="1:23" s="226" customFormat="1" ht="15" customHeight="1" x14ac:dyDescent="0.35">
      <c r="A47" s="221"/>
      <c r="B47" s="222" t="s">
        <v>256</v>
      </c>
      <c r="C47" s="223" t="s">
        <v>60</v>
      </c>
      <c r="D47" s="224" t="s">
        <v>333</v>
      </c>
      <c r="E47" s="224" t="s">
        <v>292</v>
      </c>
      <c r="F47" s="224" t="s">
        <v>284</v>
      </c>
      <c r="G47" s="224">
        <v>6</v>
      </c>
      <c r="H47" s="224" t="s">
        <v>290</v>
      </c>
      <c r="I47" s="224" t="s">
        <v>291</v>
      </c>
      <c r="J47" s="224">
        <v>6900</v>
      </c>
      <c r="K47" s="224">
        <v>1500</v>
      </c>
      <c r="L47" s="224">
        <v>10</v>
      </c>
      <c r="M47" s="225">
        <v>4910</v>
      </c>
      <c r="N47" s="224"/>
      <c r="O47" s="224"/>
      <c r="P47" s="224"/>
      <c r="Q47" s="224"/>
      <c r="R47" s="224"/>
      <c r="S47" s="224"/>
      <c r="T47" s="224"/>
      <c r="U47" s="224"/>
      <c r="V47" s="224"/>
      <c r="W47" s="224"/>
    </row>
    <row r="48" spans="1:23" s="232" customFormat="1" ht="15" customHeight="1" thickBot="1" x14ac:dyDescent="0.4">
      <c r="A48" s="227"/>
      <c r="B48" s="228" t="s">
        <v>256</v>
      </c>
      <c r="C48" s="229" t="s">
        <v>61</v>
      </c>
      <c r="D48" s="230" t="s">
        <v>335</v>
      </c>
      <c r="E48" s="230" t="s">
        <v>292</v>
      </c>
      <c r="F48" s="230" t="s">
        <v>284</v>
      </c>
      <c r="G48" s="230">
        <v>5</v>
      </c>
      <c r="H48" s="230" t="s">
        <v>290</v>
      </c>
      <c r="I48" s="230" t="s">
        <v>291</v>
      </c>
      <c r="J48" s="230">
        <v>8000</v>
      </c>
      <c r="K48" s="230">
        <v>1500</v>
      </c>
      <c r="L48" s="230">
        <v>12</v>
      </c>
      <c r="M48" s="231">
        <v>5710</v>
      </c>
      <c r="N48" s="230"/>
      <c r="O48" s="230"/>
      <c r="P48" s="230"/>
      <c r="Q48" s="230"/>
      <c r="R48" s="230"/>
      <c r="S48" s="230"/>
      <c r="T48" s="230"/>
      <c r="U48" s="230"/>
      <c r="V48" s="230"/>
      <c r="W48" s="230"/>
    </row>
    <row r="49" spans="1:23" s="201" customFormat="1" ht="15" customHeight="1" x14ac:dyDescent="0.35">
      <c r="A49" s="195">
        <v>10</v>
      </c>
      <c r="B49" s="196" t="s">
        <v>265</v>
      </c>
      <c r="C49" s="197" t="s">
        <v>78</v>
      </c>
      <c r="D49" s="198" t="s">
        <v>332</v>
      </c>
      <c r="E49" s="198" t="s">
        <v>292</v>
      </c>
      <c r="F49" s="198" t="s">
        <v>284</v>
      </c>
      <c r="G49" s="198">
        <v>8</v>
      </c>
      <c r="H49" s="198" t="s">
        <v>290</v>
      </c>
      <c r="I49" s="198" t="s">
        <v>291</v>
      </c>
      <c r="J49" s="198">
        <v>6900</v>
      </c>
      <c r="K49" s="198">
        <v>1500</v>
      </c>
      <c r="L49" s="198">
        <v>8</v>
      </c>
      <c r="M49" s="199">
        <v>5200</v>
      </c>
      <c r="N49" s="198">
        <f>SUM(M49:M53)</f>
        <v>25080</v>
      </c>
      <c r="O49" s="200">
        <v>25080</v>
      </c>
      <c r="P49" s="196" t="s">
        <v>265</v>
      </c>
      <c r="Q49" s="196" t="s">
        <v>220</v>
      </c>
      <c r="R49" s="196" t="s">
        <v>266</v>
      </c>
      <c r="S49" s="196" t="s">
        <v>267</v>
      </c>
      <c r="T49" s="196" t="s">
        <v>268</v>
      </c>
      <c r="U49" s="196" t="s">
        <v>269</v>
      </c>
      <c r="V49" s="196" t="s">
        <v>270</v>
      </c>
      <c r="W49" s="196">
        <v>5362585180</v>
      </c>
    </row>
    <row r="50" spans="1:23" s="207" customFormat="1" x14ac:dyDescent="0.35">
      <c r="A50" s="202"/>
      <c r="B50" s="203" t="s">
        <v>265</v>
      </c>
      <c r="C50" s="204" t="s">
        <v>79</v>
      </c>
      <c r="D50" s="205" t="s">
        <v>332</v>
      </c>
      <c r="E50" s="205" t="s">
        <v>292</v>
      </c>
      <c r="F50" s="205" t="s">
        <v>284</v>
      </c>
      <c r="G50" s="205">
        <v>8</v>
      </c>
      <c r="H50" s="205" t="s">
        <v>290</v>
      </c>
      <c r="I50" s="205" t="s">
        <v>291</v>
      </c>
      <c r="J50" s="205">
        <v>6900</v>
      </c>
      <c r="K50" s="205">
        <v>1500</v>
      </c>
      <c r="L50" s="205">
        <v>8</v>
      </c>
      <c r="M50" s="206">
        <v>5200</v>
      </c>
      <c r="N50" s="205"/>
      <c r="O50" s="205"/>
      <c r="P50" s="205"/>
      <c r="Q50" s="205"/>
      <c r="R50" s="205"/>
      <c r="S50" s="205"/>
      <c r="T50" s="205"/>
      <c r="U50" s="205"/>
      <c r="V50" s="205"/>
      <c r="W50" s="205"/>
    </row>
    <row r="51" spans="1:23" s="207" customFormat="1" x14ac:dyDescent="0.35">
      <c r="A51" s="202"/>
      <c r="B51" s="203" t="s">
        <v>265</v>
      </c>
      <c r="C51" s="204" t="s">
        <v>80</v>
      </c>
      <c r="D51" s="205" t="s">
        <v>333</v>
      </c>
      <c r="E51" s="205" t="s">
        <v>292</v>
      </c>
      <c r="F51" s="205" t="s">
        <v>284</v>
      </c>
      <c r="G51" s="205">
        <v>6</v>
      </c>
      <c r="H51" s="205" t="s">
        <v>290</v>
      </c>
      <c r="I51" s="205" t="s">
        <v>291</v>
      </c>
      <c r="J51" s="205">
        <v>6900</v>
      </c>
      <c r="K51" s="205">
        <v>1500</v>
      </c>
      <c r="L51" s="205">
        <v>10</v>
      </c>
      <c r="M51" s="206">
        <v>4900</v>
      </c>
      <c r="N51" s="205"/>
      <c r="O51" s="205"/>
      <c r="P51" s="205"/>
      <c r="Q51" s="205"/>
      <c r="R51" s="205"/>
      <c r="S51" s="205"/>
      <c r="T51" s="205"/>
      <c r="U51" s="205"/>
      <c r="V51" s="205"/>
      <c r="W51" s="205"/>
    </row>
    <row r="52" spans="1:23" s="207" customFormat="1" x14ac:dyDescent="0.35">
      <c r="A52" s="202"/>
      <c r="B52" s="203" t="s">
        <v>265</v>
      </c>
      <c r="C52" s="204" t="s">
        <v>81</v>
      </c>
      <c r="D52" s="205" t="s">
        <v>336</v>
      </c>
      <c r="E52" s="205" t="s">
        <v>292</v>
      </c>
      <c r="F52" s="205" t="s">
        <v>284</v>
      </c>
      <c r="G52" s="205">
        <v>5</v>
      </c>
      <c r="H52" s="205" t="s">
        <v>290</v>
      </c>
      <c r="I52" s="205" t="s">
        <v>291</v>
      </c>
      <c r="J52" s="205">
        <v>6900</v>
      </c>
      <c r="K52" s="205">
        <v>1500</v>
      </c>
      <c r="L52" s="205">
        <v>12</v>
      </c>
      <c r="M52" s="206">
        <v>4890</v>
      </c>
      <c r="N52" s="205"/>
      <c r="O52" s="205"/>
      <c r="P52" s="205"/>
      <c r="Q52" s="205"/>
      <c r="R52" s="205"/>
      <c r="S52" s="205"/>
      <c r="T52" s="205"/>
      <c r="U52" s="205"/>
      <c r="V52" s="205"/>
      <c r="W52" s="205"/>
    </row>
    <row r="53" spans="1:23" s="213" customFormat="1" ht="15" thickBot="1" x14ac:dyDescent="0.4">
      <c r="A53" s="208"/>
      <c r="B53" s="209" t="s">
        <v>265</v>
      </c>
      <c r="C53" s="210" t="s">
        <v>82</v>
      </c>
      <c r="D53" s="211" t="s">
        <v>336</v>
      </c>
      <c r="E53" s="211" t="s">
        <v>292</v>
      </c>
      <c r="F53" s="211" t="s">
        <v>284</v>
      </c>
      <c r="G53" s="211">
        <v>5</v>
      </c>
      <c r="H53" s="211" t="s">
        <v>290</v>
      </c>
      <c r="I53" s="211" t="s">
        <v>291</v>
      </c>
      <c r="J53" s="211">
        <v>6900</v>
      </c>
      <c r="K53" s="211">
        <v>1500</v>
      </c>
      <c r="L53" s="211">
        <v>12</v>
      </c>
      <c r="M53" s="212">
        <v>4890</v>
      </c>
      <c r="N53" s="211"/>
      <c r="O53" s="211"/>
      <c r="P53" s="211"/>
      <c r="Q53" s="211"/>
      <c r="R53" s="211"/>
      <c r="S53" s="211"/>
      <c r="T53" s="211"/>
      <c r="U53" s="211"/>
      <c r="V53" s="211"/>
      <c r="W53" s="211"/>
    </row>
  </sheetData>
  <phoneticPr fontId="20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84D8-6ACB-4DAE-9DA4-8CAA714C9D94}">
  <dimension ref="A1:Q24"/>
  <sheetViews>
    <sheetView tabSelected="1" zoomScale="90" zoomScaleNormal="90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8.26953125" style="1" bestFit="1" customWidth="1"/>
    <col min="2" max="2" width="12" style="1" bestFit="1" customWidth="1"/>
    <col min="3" max="3" width="4.7265625" style="1" bestFit="1" customWidth="1"/>
    <col min="4" max="4" width="14" style="1" bestFit="1" customWidth="1"/>
    <col min="5" max="5" width="10.36328125" style="1" bestFit="1" customWidth="1"/>
    <col min="6" max="6" width="18.1796875" style="1" bestFit="1" customWidth="1"/>
    <col min="7" max="7" width="8.7265625" style="1" bestFit="1" customWidth="1"/>
    <col min="8" max="8" width="8.81640625" style="1" bestFit="1" customWidth="1"/>
    <col min="9" max="9" width="9.90625" style="1" bestFit="1" customWidth="1"/>
    <col min="10" max="10" width="5.54296875" style="1" customWidth="1"/>
    <col min="11" max="11" width="7.81640625" style="137" customWidth="1"/>
    <col min="12" max="13" width="10.54296875" style="1" customWidth="1"/>
    <col min="14" max="14" width="9.90625" style="1" customWidth="1"/>
    <col min="15" max="17" width="9.90625" style="1" bestFit="1" customWidth="1"/>
    <col min="18" max="18" width="10.36328125" customWidth="1"/>
  </cols>
  <sheetData>
    <row r="1" spans="1:17" s="125" customFormat="1" ht="21.5" customHeight="1" x14ac:dyDescent="0.3">
      <c r="A1" s="236" t="s">
        <v>339</v>
      </c>
      <c r="B1" s="236" t="s">
        <v>211</v>
      </c>
      <c r="C1" s="236" t="s">
        <v>212</v>
      </c>
      <c r="D1" s="236" t="s">
        <v>213</v>
      </c>
      <c r="E1" s="236" t="s">
        <v>214</v>
      </c>
      <c r="F1" s="236" t="s">
        <v>215</v>
      </c>
      <c r="G1" s="236" t="s">
        <v>216</v>
      </c>
      <c r="H1" s="236" t="s">
        <v>217</v>
      </c>
      <c r="I1" s="236" t="s">
        <v>218</v>
      </c>
      <c r="J1" s="236" t="s">
        <v>299</v>
      </c>
      <c r="K1" s="237" t="s">
        <v>380</v>
      </c>
      <c r="L1" s="236" t="s">
        <v>381</v>
      </c>
      <c r="M1" s="236" t="s">
        <v>382</v>
      </c>
      <c r="N1" s="236" t="s">
        <v>293</v>
      </c>
      <c r="O1" s="236" t="s">
        <v>294</v>
      </c>
      <c r="P1" s="236" t="s">
        <v>295</v>
      </c>
      <c r="Q1" s="236" t="s">
        <v>296</v>
      </c>
    </row>
    <row r="2" spans="1:17" s="125" customFormat="1" ht="21.5" customHeight="1" x14ac:dyDescent="0.3">
      <c r="A2" s="233">
        <v>46118</v>
      </c>
      <c r="B2" s="305" t="s">
        <v>219</v>
      </c>
      <c r="C2" s="126" t="s">
        <v>406</v>
      </c>
      <c r="D2" s="126" t="s">
        <v>221</v>
      </c>
      <c r="E2" s="126" t="s">
        <v>222</v>
      </c>
      <c r="F2" s="126" t="s">
        <v>223</v>
      </c>
      <c r="G2" s="126" t="s">
        <v>224</v>
      </c>
      <c r="H2" s="126" t="s">
        <v>225</v>
      </c>
      <c r="I2" s="126">
        <v>5400256000</v>
      </c>
      <c r="J2" s="126">
        <v>3</v>
      </c>
      <c r="K2" s="234">
        <v>1</v>
      </c>
      <c r="L2" s="126" t="s">
        <v>383</v>
      </c>
      <c r="M2" s="126"/>
      <c r="N2" s="130" t="s">
        <v>300</v>
      </c>
      <c r="O2" s="130" t="s">
        <v>301</v>
      </c>
      <c r="P2" s="126">
        <v>42860</v>
      </c>
      <c r="Q2" s="130">
        <v>25220</v>
      </c>
    </row>
    <row r="3" spans="1:17" s="125" customFormat="1" ht="21.5" customHeight="1" x14ac:dyDescent="0.3">
      <c r="A3" s="233">
        <v>46118</v>
      </c>
      <c r="B3" s="305" t="s">
        <v>226</v>
      </c>
      <c r="C3" s="126" t="s">
        <v>406</v>
      </c>
      <c r="D3" s="126" t="s">
        <v>227</v>
      </c>
      <c r="E3" s="126" t="s">
        <v>228</v>
      </c>
      <c r="F3" s="126" t="s">
        <v>229</v>
      </c>
      <c r="G3" s="126" t="s">
        <v>230</v>
      </c>
      <c r="H3" s="126" t="s">
        <v>231</v>
      </c>
      <c r="I3" s="126">
        <v>5453471497</v>
      </c>
      <c r="J3" s="126">
        <v>1</v>
      </c>
      <c r="K3" s="234">
        <v>2</v>
      </c>
      <c r="L3" s="126" t="s">
        <v>384</v>
      </c>
      <c r="M3" s="126"/>
      <c r="N3" s="130" t="s">
        <v>315</v>
      </c>
      <c r="O3" s="130" t="s">
        <v>316</v>
      </c>
      <c r="P3" s="126">
        <v>43060</v>
      </c>
      <c r="Q3" s="130" t="s">
        <v>317</v>
      </c>
    </row>
    <row r="4" spans="1:17" s="125" customFormat="1" ht="21.5" customHeight="1" x14ac:dyDescent="0.3">
      <c r="A4" s="233">
        <v>46118</v>
      </c>
      <c r="B4" s="305" t="s">
        <v>232</v>
      </c>
      <c r="C4" s="126" t="s">
        <v>406</v>
      </c>
      <c r="D4" s="126" t="s">
        <v>233</v>
      </c>
      <c r="E4" s="126" t="s">
        <v>234</v>
      </c>
      <c r="F4" s="126" t="s">
        <v>235</v>
      </c>
      <c r="G4" s="126" t="s">
        <v>236</v>
      </c>
      <c r="H4" s="126" t="s">
        <v>237</v>
      </c>
      <c r="I4" s="126">
        <v>5305918797</v>
      </c>
      <c r="J4" s="126">
        <v>2</v>
      </c>
      <c r="K4" s="234">
        <v>3</v>
      </c>
      <c r="L4" s="126" t="s">
        <v>385</v>
      </c>
      <c r="M4" s="126"/>
      <c r="N4" s="130" t="s">
        <v>310</v>
      </c>
      <c r="O4" s="130" t="s">
        <v>312</v>
      </c>
      <c r="P4" s="126">
        <v>42800</v>
      </c>
      <c r="Q4" s="130" t="s">
        <v>306</v>
      </c>
    </row>
    <row r="5" spans="1:17" s="125" customFormat="1" ht="21.5" customHeight="1" x14ac:dyDescent="0.3">
      <c r="A5" s="233">
        <v>46118</v>
      </c>
      <c r="B5" s="305" t="s">
        <v>238</v>
      </c>
      <c r="C5" s="126" t="s">
        <v>406</v>
      </c>
      <c r="D5" s="126" t="s">
        <v>239</v>
      </c>
      <c r="E5" s="126" t="s">
        <v>240</v>
      </c>
      <c r="F5" s="126" t="s">
        <v>241</v>
      </c>
      <c r="G5" s="126" t="s">
        <v>242</v>
      </c>
      <c r="H5" s="126" t="s">
        <v>243</v>
      </c>
      <c r="I5" s="126">
        <v>5382203477</v>
      </c>
      <c r="J5" s="126">
        <v>7</v>
      </c>
      <c r="K5" s="234">
        <v>4</v>
      </c>
      <c r="L5" s="126" t="s">
        <v>386</v>
      </c>
      <c r="M5" s="126"/>
      <c r="N5" s="130" t="s">
        <v>304</v>
      </c>
      <c r="O5" s="130" t="s">
        <v>305</v>
      </c>
      <c r="P5" s="126">
        <v>42720</v>
      </c>
      <c r="Q5" s="130" t="s">
        <v>306</v>
      </c>
    </row>
    <row r="6" spans="1:17" s="125" customFormat="1" ht="21.5" customHeight="1" x14ac:dyDescent="0.3">
      <c r="A6" s="233">
        <v>46118</v>
      </c>
      <c r="B6" s="305" t="s">
        <v>244</v>
      </c>
      <c r="C6" s="126" t="s">
        <v>406</v>
      </c>
      <c r="D6" s="126" t="s">
        <v>245</v>
      </c>
      <c r="E6" s="126" t="s">
        <v>246</v>
      </c>
      <c r="F6" s="126" t="s">
        <v>247</v>
      </c>
      <c r="G6" s="126" t="s">
        <v>248</v>
      </c>
      <c r="H6" s="126" t="s">
        <v>249</v>
      </c>
      <c r="I6" s="126">
        <v>5454191831</v>
      </c>
      <c r="J6" s="126">
        <v>5</v>
      </c>
      <c r="K6" s="234">
        <v>5</v>
      </c>
      <c r="L6" s="126" t="s">
        <v>387</v>
      </c>
      <c r="M6" s="126"/>
      <c r="N6" s="130" t="s">
        <v>311</v>
      </c>
      <c r="O6" s="130" t="s">
        <v>313</v>
      </c>
      <c r="P6" s="126">
        <v>42980</v>
      </c>
      <c r="Q6" s="130" t="s">
        <v>314</v>
      </c>
    </row>
    <row r="7" spans="1:17" s="125" customFormat="1" ht="21.5" customHeight="1" x14ac:dyDescent="0.3">
      <c r="A7" s="233">
        <v>46118</v>
      </c>
      <c r="B7" s="305" t="s">
        <v>256</v>
      </c>
      <c r="C7" s="126" t="s">
        <v>406</v>
      </c>
      <c r="D7" s="126" t="s">
        <v>257</v>
      </c>
      <c r="E7" s="126" t="s">
        <v>258</v>
      </c>
      <c r="F7" s="126" t="s">
        <v>229</v>
      </c>
      <c r="G7" s="126" t="s">
        <v>230</v>
      </c>
      <c r="H7" s="126" t="s">
        <v>231</v>
      </c>
      <c r="I7" s="126">
        <v>5453471497</v>
      </c>
      <c r="J7" s="126">
        <v>9</v>
      </c>
      <c r="K7" s="234">
        <v>6</v>
      </c>
      <c r="L7" s="126" t="s">
        <v>388</v>
      </c>
      <c r="M7" s="126"/>
      <c r="N7" s="130" t="s">
        <v>318</v>
      </c>
      <c r="O7" s="130" t="s">
        <v>319</v>
      </c>
      <c r="P7" s="126">
        <v>42960</v>
      </c>
      <c r="Q7" s="130" t="s">
        <v>309</v>
      </c>
    </row>
    <row r="8" spans="1:17" s="125" customFormat="1" ht="21.5" customHeight="1" x14ac:dyDescent="0.3">
      <c r="A8" s="233">
        <v>46118</v>
      </c>
      <c r="B8" s="305" t="s">
        <v>250</v>
      </c>
      <c r="C8" s="126" t="s">
        <v>406</v>
      </c>
      <c r="D8" s="126" t="s">
        <v>251</v>
      </c>
      <c r="E8" s="126" t="s">
        <v>252</v>
      </c>
      <c r="F8" s="126" t="s">
        <v>253</v>
      </c>
      <c r="G8" s="126" t="s">
        <v>254</v>
      </c>
      <c r="H8" s="126" t="s">
        <v>255</v>
      </c>
      <c r="I8" s="126">
        <v>5557806364</v>
      </c>
      <c r="J8" s="126">
        <v>4</v>
      </c>
      <c r="K8" s="234">
        <v>7</v>
      </c>
      <c r="L8" s="126" t="s">
        <v>389</v>
      </c>
      <c r="M8" s="126"/>
      <c r="N8" s="130" t="s">
        <v>320</v>
      </c>
      <c r="O8" s="130" t="s">
        <v>321</v>
      </c>
      <c r="P8" s="126">
        <v>43340</v>
      </c>
      <c r="Q8" s="130" t="s">
        <v>322</v>
      </c>
    </row>
    <row r="9" spans="1:17" s="125" customFormat="1" ht="21.5" customHeight="1" x14ac:dyDescent="0.3">
      <c r="A9" s="233">
        <v>46118</v>
      </c>
      <c r="B9" s="126" t="s">
        <v>271</v>
      </c>
      <c r="C9" s="126" t="s">
        <v>406</v>
      </c>
      <c r="D9" s="126" t="s">
        <v>272</v>
      </c>
      <c r="E9" s="126" t="s">
        <v>273</v>
      </c>
      <c r="F9" s="126" t="s">
        <v>274</v>
      </c>
      <c r="G9" s="126" t="s">
        <v>275</v>
      </c>
      <c r="H9" s="126" t="s">
        <v>276</v>
      </c>
      <c r="I9" s="126">
        <v>5426237578</v>
      </c>
      <c r="J9" s="126">
        <v>8</v>
      </c>
      <c r="K9" s="234">
        <v>8</v>
      </c>
      <c r="L9" s="126" t="s">
        <v>390</v>
      </c>
      <c r="M9" s="126"/>
      <c r="N9" s="130" t="s">
        <v>302</v>
      </c>
      <c r="O9" s="130" t="s">
        <v>303</v>
      </c>
      <c r="P9" s="126">
        <v>42840</v>
      </c>
      <c r="Q9" s="130">
        <v>25180</v>
      </c>
    </row>
    <row r="10" spans="1:17" s="125" customFormat="1" ht="21.5" customHeight="1" x14ac:dyDescent="0.3">
      <c r="A10" s="233">
        <v>46118</v>
      </c>
      <c r="B10" s="305" t="s">
        <v>259</v>
      </c>
      <c r="C10" s="126" t="s">
        <v>406</v>
      </c>
      <c r="D10" s="126" t="s">
        <v>260</v>
      </c>
      <c r="E10" s="126" t="s">
        <v>261</v>
      </c>
      <c r="F10" s="126" t="s">
        <v>262</v>
      </c>
      <c r="G10" s="126" t="s">
        <v>263</v>
      </c>
      <c r="H10" s="126" t="s">
        <v>264</v>
      </c>
      <c r="I10" s="126">
        <v>5398168504</v>
      </c>
      <c r="J10" s="126">
        <v>6</v>
      </c>
      <c r="K10" s="234">
        <v>9</v>
      </c>
      <c r="L10" s="126" t="s">
        <v>391</v>
      </c>
      <c r="M10" s="126"/>
      <c r="N10" s="130" t="s">
        <v>307</v>
      </c>
      <c r="O10" s="130" t="s">
        <v>308</v>
      </c>
      <c r="P10" s="126">
        <v>42920</v>
      </c>
      <c r="Q10" s="130" t="s">
        <v>309</v>
      </c>
    </row>
    <row r="11" spans="1:17" s="125" customFormat="1" ht="21.5" customHeight="1" x14ac:dyDescent="0.3">
      <c r="A11" s="233">
        <v>46118</v>
      </c>
      <c r="B11" s="305" t="s">
        <v>265</v>
      </c>
      <c r="C11" s="126" t="s">
        <v>406</v>
      </c>
      <c r="D11" s="126" t="s">
        <v>266</v>
      </c>
      <c r="E11" s="126" t="s">
        <v>267</v>
      </c>
      <c r="F11" s="126" t="s">
        <v>268</v>
      </c>
      <c r="G11" s="126" t="s">
        <v>269</v>
      </c>
      <c r="H11" s="126" t="s">
        <v>270</v>
      </c>
      <c r="I11" s="126">
        <v>5362585180</v>
      </c>
      <c r="J11" s="126">
        <v>10</v>
      </c>
      <c r="K11" s="234">
        <v>10</v>
      </c>
      <c r="L11" s="126" t="s">
        <v>392</v>
      </c>
      <c r="M11" s="126"/>
      <c r="N11" s="129" t="s">
        <v>297</v>
      </c>
      <c r="O11" s="129" t="s">
        <v>298</v>
      </c>
      <c r="P11" s="126">
        <v>43320</v>
      </c>
      <c r="Q11" s="130">
        <v>25080</v>
      </c>
    </row>
    <row r="12" spans="1:17" s="125" customFormat="1" ht="21.5" customHeight="1" x14ac:dyDescent="0.3">
      <c r="A12" s="233"/>
      <c r="B12" s="126"/>
      <c r="C12" s="126"/>
      <c r="D12" s="126"/>
      <c r="E12" s="126"/>
      <c r="F12" s="126"/>
      <c r="G12" s="126"/>
      <c r="H12" s="126"/>
      <c r="I12" s="126"/>
      <c r="J12" s="126"/>
      <c r="K12" s="234"/>
      <c r="L12" s="126"/>
      <c r="M12" s="126"/>
      <c r="N12" s="129"/>
      <c r="O12" s="129"/>
      <c r="P12" s="126"/>
      <c r="Q12" s="130"/>
    </row>
    <row r="13" spans="1:17" s="125" customFormat="1" ht="21.5" customHeight="1" x14ac:dyDescent="0.3">
      <c r="A13" s="233">
        <v>46119</v>
      </c>
      <c r="B13" s="305" t="s">
        <v>340</v>
      </c>
      <c r="C13" s="126" t="s">
        <v>406</v>
      </c>
      <c r="D13" s="126" t="s">
        <v>341</v>
      </c>
      <c r="E13" s="126" t="s">
        <v>342</v>
      </c>
      <c r="F13" s="126" t="s">
        <v>235</v>
      </c>
      <c r="G13" s="126" t="s">
        <v>236</v>
      </c>
      <c r="H13" s="126" t="s">
        <v>237</v>
      </c>
      <c r="I13" s="126">
        <v>5305918797</v>
      </c>
      <c r="J13" s="126"/>
      <c r="K13" s="234">
        <v>11</v>
      </c>
      <c r="L13" s="126" t="s">
        <v>421</v>
      </c>
      <c r="M13" s="126"/>
      <c r="N13" s="130" t="s">
        <v>370</v>
      </c>
      <c r="O13" s="130" t="s">
        <v>371</v>
      </c>
      <c r="P13" s="126">
        <v>42860</v>
      </c>
      <c r="Q13" s="126">
        <v>25220</v>
      </c>
    </row>
    <row r="14" spans="1:17" s="125" customFormat="1" ht="21.5" customHeight="1" x14ac:dyDescent="0.3">
      <c r="A14" s="233">
        <v>46119</v>
      </c>
      <c r="B14" s="305" t="s">
        <v>343</v>
      </c>
      <c r="C14" s="126" t="s">
        <v>406</v>
      </c>
      <c r="D14" s="126" t="s">
        <v>344</v>
      </c>
      <c r="E14" s="126" t="s">
        <v>345</v>
      </c>
      <c r="F14" s="126" t="s">
        <v>241</v>
      </c>
      <c r="G14" s="126" t="s">
        <v>242</v>
      </c>
      <c r="H14" s="126" t="s">
        <v>243</v>
      </c>
      <c r="I14" s="126">
        <v>5382203477</v>
      </c>
      <c r="J14" s="126"/>
      <c r="K14" s="234">
        <v>12</v>
      </c>
      <c r="L14" s="126" t="s">
        <v>393</v>
      </c>
      <c r="M14" s="126"/>
      <c r="N14" s="130" t="s">
        <v>372</v>
      </c>
      <c r="O14" s="130" t="s">
        <v>373</v>
      </c>
      <c r="P14" s="126">
        <v>42860</v>
      </c>
      <c r="Q14" s="126">
        <v>25200</v>
      </c>
    </row>
    <row r="15" spans="1:17" s="125" customFormat="1" ht="21.5" customHeight="1" x14ac:dyDescent="0.3">
      <c r="A15" s="233">
        <v>46119</v>
      </c>
      <c r="B15" s="305" t="s">
        <v>346</v>
      </c>
      <c r="C15" s="126" t="s">
        <v>406</v>
      </c>
      <c r="D15" s="126" t="s">
        <v>347</v>
      </c>
      <c r="E15" s="126" t="s">
        <v>348</v>
      </c>
      <c r="F15" s="126" t="s">
        <v>247</v>
      </c>
      <c r="G15" s="126" t="s">
        <v>248</v>
      </c>
      <c r="H15" s="126" t="s">
        <v>249</v>
      </c>
      <c r="I15" s="126">
        <v>5454191831</v>
      </c>
      <c r="J15" s="126"/>
      <c r="K15" s="234">
        <v>13</v>
      </c>
      <c r="L15" s="126" t="s">
        <v>422</v>
      </c>
      <c r="M15" s="126"/>
      <c r="N15" s="130" t="s">
        <v>369</v>
      </c>
      <c r="O15" s="130" t="s">
        <v>368</v>
      </c>
      <c r="P15" s="126">
        <v>42960</v>
      </c>
      <c r="Q15" s="126">
        <v>25200</v>
      </c>
    </row>
    <row r="16" spans="1:17" s="125" customFormat="1" ht="21.5" customHeight="1" x14ac:dyDescent="0.3">
      <c r="A16" s="233">
        <v>46119</v>
      </c>
      <c r="B16" s="305" t="s">
        <v>349</v>
      </c>
      <c r="C16" s="126" t="s">
        <v>406</v>
      </c>
      <c r="D16" s="126" t="s">
        <v>350</v>
      </c>
      <c r="E16" s="126" t="s">
        <v>351</v>
      </c>
      <c r="F16" s="126" t="s">
        <v>352</v>
      </c>
      <c r="G16" s="126" t="s">
        <v>353</v>
      </c>
      <c r="H16" s="126" t="s">
        <v>354</v>
      </c>
      <c r="I16" s="126">
        <v>5385425030</v>
      </c>
      <c r="J16" s="126"/>
      <c r="K16" s="234">
        <v>14</v>
      </c>
      <c r="L16" s="126" t="s">
        <v>431</v>
      </c>
      <c r="M16" s="126"/>
      <c r="N16" s="130" t="s">
        <v>378</v>
      </c>
      <c r="O16" s="130" t="s">
        <v>379</v>
      </c>
      <c r="P16" s="126">
        <v>42440</v>
      </c>
      <c r="Q16" s="126">
        <v>25120</v>
      </c>
    </row>
    <row r="17" spans="1:17" s="125" customFormat="1" ht="21.5" customHeight="1" x14ac:dyDescent="0.3">
      <c r="A17" s="233">
        <v>46119</v>
      </c>
      <c r="B17" s="305" t="s">
        <v>355</v>
      </c>
      <c r="C17" s="126" t="s">
        <v>406</v>
      </c>
      <c r="D17" s="126" t="s">
        <v>356</v>
      </c>
      <c r="E17" s="126" t="s">
        <v>357</v>
      </c>
      <c r="F17" s="126" t="s">
        <v>358</v>
      </c>
      <c r="G17" s="126" t="s">
        <v>275</v>
      </c>
      <c r="H17" s="126" t="s">
        <v>276</v>
      </c>
      <c r="I17" s="126">
        <v>5426237578</v>
      </c>
      <c r="J17" s="126"/>
      <c r="K17" s="234">
        <v>15</v>
      </c>
      <c r="L17" s="126" t="s">
        <v>432</v>
      </c>
      <c r="M17" s="126"/>
      <c r="N17" s="130"/>
      <c r="O17" s="130"/>
      <c r="P17" s="130"/>
      <c r="Q17" s="130"/>
    </row>
    <row r="18" spans="1:17" s="125" customFormat="1" ht="21.5" customHeight="1" x14ac:dyDescent="0.3">
      <c r="A18" s="233">
        <v>46119</v>
      </c>
      <c r="B18" s="305" t="s">
        <v>359</v>
      </c>
      <c r="C18" s="126" t="s">
        <v>406</v>
      </c>
      <c r="D18" s="126" t="s">
        <v>360</v>
      </c>
      <c r="E18" s="126" t="s">
        <v>361</v>
      </c>
      <c r="F18" s="126" t="s">
        <v>229</v>
      </c>
      <c r="G18" s="126" t="s">
        <v>230</v>
      </c>
      <c r="H18" s="126" t="s">
        <v>231</v>
      </c>
      <c r="I18" s="126">
        <v>5453471497</v>
      </c>
      <c r="J18" s="126"/>
      <c r="K18" s="234">
        <v>16</v>
      </c>
      <c r="L18" s="126" t="s">
        <v>395</v>
      </c>
      <c r="M18" s="126"/>
      <c r="N18" s="130" t="s">
        <v>376</v>
      </c>
      <c r="O18" s="130" t="s">
        <v>377</v>
      </c>
      <c r="P18" s="126">
        <v>42800</v>
      </c>
      <c r="Q18" s="126">
        <v>25120</v>
      </c>
    </row>
    <row r="19" spans="1:17" s="125" customFormat="1" ht="21.5" customHeight="1" x14ac:dyDescent="0.3">
      <c r="A19" s="233">
        <v>46119</v>
      </c>
      <c r="B19" s="305" t="s">
        <v>362</v>
      </c>
      <c r="C19" s="126" t="s">
        <v>406</v>
      </c>
      <c r="D19" s="126" t="s">
        <v>363</v>
      </c>
      <c r="E19" s="126" t="s">
        <v>364</v>
      </c>
      <c r="F19" s="126" t="s">
        <v>365</v>
      </c>
      <c r="G19" s="126" t="s">
        <v>366</v>
      </c>
      <c r="H19" s="126" t="s">
        <v>367</v>
      </c>
      <c r="I19" s="126">
        <v>5347650211</v>
      </c>
      <c r="J19" s="126"/>
      <c r="K19" s="234">
        <v>17</v>
      </c>
      <c r="L19" s="126" t="s">
        <v>394</v>
      </c>
      <c r="M19" s="126"/>
      <c r="N19" s="130" t="s">
        <v>374</v>
      </c>
      <c r="O19" s="130" t="s">
        <v>375</v>
      </c>
      <c r="P19" s="126">
        <v>43040</v>
      </c>
      <c r="Q19" s="126">
        <v>25080</v>
      </c>
    </row>
    <row r="20" spans="1:17" s="125" customFormat="1" ht="21.5" customHeight="1" x14ac:dyDescent="0.3">
      <c r="A20" s="233">
        <v>46119</v>
      </c>
      <c r="B20" s="305" t="s">
        <v>407</v>
      </c>
      <c r="C20" s="126" t="s">
        <v>406</v>
      </c>
      <c r="D20" s="126" t="s">
        <v>408</v>
      </c>
      <c r="E20" s="126" t="s">
        <v>409</v>
      </c>
      <c r="F20" s="126" t="s">
        <v>352</v>
      </c>
      <c r="G20" s="126" t="s">
        <v>353</v>
      </c>
      <c r="H20" s="126" t="s">
        <v>354</v>
      </c>
      <c r="I20" s="126">
        <v>5385425030</v>
      </c>
      <c r="J20" s="126"/>
      <c r="K20" s="234">
        <v>18</v>
      </c>
      <c r="L20" s="126" t="s">
        <v>433</v>
      </c>
      <c r="M20" s="126"/>
      <c r="N20" s="130"/>
      <c r="O20" s="130"/>
      <c r="P20" s="126"/>
      <c r="Q20" s="126"/>
    </row>
    <row r="21" spans="1:17" s="125" customFormat="1" ht="21.5" customHeight="1" x14ac:dyDescent="0.3">
      <c r="A21" s="233">
        <v>46119</v>
      </c>
      <c r="B21" s="305" t="s">
        <v>410</v>
      </c>
      <c r="C21" s="126" t="s">
        <v>406</v>
      </c>
      <c r="D21" s="126" t="s">
        <v>411</v>
      </c>
      <c r="E21" s="126" t="s">
        <v>412</v>
      </c>
      <c r="F21" s="126" t="s">
        <v>365</v>
      </c>
      <c r="G21" s="126" t="s">
        <v>366</v>
      </c>
      <c r="H21" s="126" t="s">
        <v>367</v>
      </c>
      <c r="I21" s="126">
        <v>5347650211</v>
      </c>
      <c r="J21" s="126"/>
      <c r="K21" s="234">
        <v>19</v>
      </c>
      <c r="L21" s="126" t="s">
        <v>434</v>
      </c>
      <c r="M21" s="126"/>
      <c r="N21" s="130"/>
      <c r="O21" s="130"/>
      <c r="P21" s="126"/>
      <c r="Q21" s="126"/>
    </row>
    <row r="22" spans="1:17" s="125" customFormat="1" ht="21.5" customHeight="1" x14ac:dyDescent="0.3">
      <c r="A22" s="233">
        <v>46119</v>
      </c>
      <c r="B22" s="305" t="s">
        <v>413</v>
      </c>
      <c r="C22" s="126" t="s">
        <v>406</v>
      </c>
      <c r="D22" s="126" t="s">
        <v>414</v>
      </c>
      <c r="E22" s="126" t="s">
        <v>415</v>
      </c>
      <c r="F22" s="126" t="s">
        <v>241</v>
      </c>
      <c r="G22" s="126" t="s">
        <v>242</v>
      </c>
      <c r="H22" s="126" t="s">
        <v>243</v>
      </c>
      <c r="I22" s="126">
        <v>5382203477</v>
      </c>
      <c r="J22" s="126"/>
      <c r="K22" s="234">
        <v>20</v>
      </c>
      <c r="L22" s="126" t="s">
        <v>435</v>
      </c>
      <c r="M22" s="126"/>
      <c r="N22" s="130"/>
      <c r="O22" s="130"/>
      <c r="P22" s="126"/>
      <c r="Q22" s="126"/>
    </row>
    <row r="23" spans="1:17" s="125" customFormat="1" ht="21.5" customHeight="1" x14ac:dyDescent="0.3">
      <c r="A23" s="233">
        <v>46120</v>
      </c>
      <c r="B23" s="305" t="s">
        <v>416</v>
      </c>
      <c r="C23" s="126" t="s">
        <v>406</v>
      </c>
      <c r="D23" s="126" t="s">
        <v>417</v>
      </c>
      <c r="E23" s="126" t="s">
        <v>418</v>
      </c>
      <c r="F23" s="126" t="s">
        <v>229</v>
      </c>
      <c r="G23" s="126" t="s">
        <v>230</v>
      </c>
      <c r="H23" s="126" t="s">
        <v>231</v>
      </c>
      <c r="I23" s="126">
        <v>5453471497</v>
      </c>
      <c r="J23" s="126"/>
      <c r="K23" s="234"/>
      <c r="L23" s="240" t="s">
        <v>424</v>
      </c>
      <c r="M23" s="126"/>
      <c r="N23" s="130"/>
      <c r="O23" s="130"/>
      <c r="P23" s="126"/>
      <c r="Q23" s="126"/>
    </row>
    <row r="24" spans="1:17" x14ac:dyDescent="0.35">
      <c r="A24" s="235"/>
      <c r="B24"/>
      <c r="C24"/>
      <c r="D24"/>
      <c r="E24"/>
      <c r="F24"/>
      <c r="G24"/>
      <c r="H24"/>
      <c r="I24"/>
      <c r="J24"/>
    </row>
  </sheetData>
  <pageMargins left="0.7" right="0.7" top="0.75" bottom="0.75" header="0.3" footer="0.3"/>
  <ignoredErrors>
    <ignoredError sqref="N11:Q11 N4 O3 N18:O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1D25-B87D-4350-B5E2-B8DF4E6FD3EB}">
  <sheetPr>
    <tabColor theme="9" tint="0.79998168889431442"/>
  </sheetPr>
  <dimension ref="A1:O39"/>
  <sheetViews>
    <sheetView showGridLines="0" topLeftCell="A3" zoomScale="70" zoomScaleNormal="70" workbookViewId="0">
      <selection activeCell="C10" sqref="C10:D10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397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61" t="s">
        <v>26</v>
      </c>
      <c r="D13" s="162" t="s">
        <v>329</v>
      </c>
      <c r="E13" s="162" t="s">
        <v>292</v>
      </c>
      <c r="F13" s="162" t="s">
        <v>284</v>
      </c>
      <c r="G13" s="162">
        <v>11</v>
      </c>
      <c r="H13" s="162" t="s">
        <v>290</v>
      </c>
      <c r="I13" s="162" t="s">
        <v>291</v>
      </c>
      <c r="J13" s="162">
        <v>6900</v>
      </c>
      <c r="K13" s="162">
        <v>1500</v>
      </c>
      <c r="L13" s="162">
        <v>6</v>
      </c>
      <c r="M13" s="162">
        <v>5440</v>
      </c>
      <c r="N13" s="168"/>
      <c r="O13" s="169">
        <f t="shared" ref="O13:O22" si="0">IF(COUNTA(J13:L13)=3,J13*K13*L13/1000000,"")</f>
        <v>62.1</v>
      </c>
    </row>
    <row r="14" spans="1:15" ht="21" customHeight="1" x14ac:dyDescent="0.35">
      <c r="A14" s="163">
        <v>2</v>
      </c>
      <c r="B14" s="160"/>
      <c r="C14" s="161" t="s">
        <v>28</v>
      </c>
      <c r="D14" s="162" t="s">
        <v>330</v>
      </c>
      <c r="E14" s="162" t="s">
        <v>292</v>
      </c>
      <c r="F14" s="162" t="s">
        <v>284</v>
      </c>
      <c r="G14" s="162">
        <v>6</v>
      </c>
      <c r="H14" s="162" t="s">
        <v>290</v>
      </c>
      <c r="I14" s="162" t="s">
        <v>291</v>
      </c>
      <c r="J14" s="162">
        <v>8000</v>
      </c>
      <c r="K14" s="162">
        <v>1500</v>
      </c>
      <c r="L14" s="162">
        <v>12</v>
      </c>
      <c r="M14" s="162">
        <v>6850</v>
      </c>
      <c r="N14" s="168"/>
      <c r="O14" s="169">
        <f t="shared" si="0"/>
        <v>144</v>
      </c>
    </row>
    <row r="15" spans="1:15" ht="21" customHeight="1" x14ac:dyDescent="0.35">
      <c r="A15" s="163">
        <v>3</v>
      </c>
      <c r="B15" s="160"/>
      <c r="C15" s="161" t="s">
        <v>30</v>
      </c>
      <c r="D15" s="162" t="s">
        <v>330</v>
      </c>
      <c r="E15" s="162" t="s">
        <v>292</v>
      </c>
      <c r="F15" s="162" t="s">
        <v>284</v>
      </c>
      <c r="G15" s="162">
        <v>4</v>
      </c>
      <c r="H15" s="162" t="s">
        <v>290</v>
      </c>
      <c r="I15" s="162" t="s">
        <v>291</v>
      </c>
      <c r="J15" s="162">
        <v>8000</v>
      </c>
      <c r="K15" s="162">
        <v>1500</v>
      </c>
      <c r="L15" s="162">
        <v>12</v>
      </c>
      <c r="M15" s="162">
        <v>4580</v>
      </c>
      <c r="N15" s="168"/>
      <c r="O15" s="169">
        <f t="shared" si="0"/>
        <v>144</v>
      </c>
    </row>
    <row r="16" spans="1:15" ht="21" customHeight="1" x14ac:dyDescent="0.35">
      <c r="A16" s="163">
        <v>4</v>
      </c>
      <c r="B16" s="160"/>
      <c r="C16" s="161" t="s">
        <v>31</v>
      </c>
      <c r="D16" s="162" t="s">
        <v>330</v>
      </c>
      <c r="E16" s="162" t="s">
        <v>292</v>
      </c>
      <c r="F16" s="162" t="s">
        <v>284</v>
      </c>
      <c r="G16" s="162">
        <v>3</v>
      </c>
      <c r="H16" s="162" t="s">
        <v>290</v>
      </c>
      <c r="I16" s="162" t="s">
        <v>291</v>
      </c>
      <c r="J16" s="162">
        <v>8000</v>
      </c>
      <c r="K16" s="162">
        <v>1500</v>
      </c>
      <c r="L16" s="162">
        <v>12</v>
      </c>
      <c r="M16" s="162">
        <v>3430</v>
      </c>
      <c r="N16" s="168"/>
      <c r="O16" s="169">
        <f t="shared" si="0"/>
        <v>144</v>
      </c>
    </row>
    <row r="17" spans="1:15" ht="21" customHeight="1" x14ac:dyDescent="0.35">
      <c r="A17" s="163">
        <v>5</v>
      </c>
      <c r="B17" s="160"/>
      <c r="C17" s="161" t="s">
        <v>33</v>
      </c>
      <c r="D17" s="162" t="s">
        <v>331</v>
      </c>
      <c r="E17" s="162" t="s">
        <v>292</v>
      </c>
      <c r="F17" s="162" t="s">
        <v>284</v>
      </c>
      <c r="G17" s="162">
        <v>5</v>
      </c>
      <c r="H17" s="162" t="s">
        <v>290</v>
      </c>
      <c r="I17" s="162" t="s">
        <v>291</v>
      </c>
      <c r="J17" s="162">
        <v>6900</v>
      </c>
      <c r="K17" s="162">
        <v>1500</v>
      </c>
      <c r="L17" s="162">
        <v>12</v>
      </c>
      <c r="M17" s="162">
        <v>4940</v>
      </c>
      <c r="N17" s="168"/>
      <c r="O17" s="169">
        <f t="shared" si="0"/>
        <v>124.2</v>
      </c>
    </row>
    <row r="18" spans="1:15" ht="21" customHeight="1" x14ac:dyDescent="0.35">
      <c r="A18" s="163">
        <v>6</v>
      </c>
      <c r="B18" s="170"/>
      <c r="C18" s="170"/>
      <c r="D18" s="170"/>
      <c r="E18" s="170"/>
      <c r="F18" s="170"/>
      <c r="G18" s="171"/>
      <c r="H18" s="170"/>
      <c r="I18" s="170"/>
      <c r="J18" s="172"/>
      <c r="K18" s="172"/>
      <c r="L18" s="172"/>
      <c r="M18" s="173"/>
      <c r="N18" s="171"/>
      <c r="O18" s="174" t="str">
        <f t="shared" si="0"/>
        <v/>
      </c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si="0"/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29</v>
      </c>
      <c r="H23" s="166"/>
      <c r="I23" s="166"/>
      <c r="J23" s="166"/>
      <c r="K23" s="166"/>
      <c r="L23" s="166"/>
      <c r="M23" s="165">
        <f>SUM(M13:M22)</f>
        <v>25240</v>
      </c>
      <c r="N23" s="165">
        <f>SUM(N13:N22)</f>
        <v>0</v>
      </c>
      <c r="O23" s="167">
        <f>SUM(O13:O22)</f>
        <v>618.30000000000007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29</v>
      </c>
      <c r="G25" s="277" t="s">
        <v>198</v>
      </c>
      <c r="H25" s="277"/>
      <c r="I25" s="119">
        <f>SUM(M13:M22)</f>
        <v>25240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618.30000000000007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M25:N25"/>
    <mergeCell ref="A27:O27"/>
    <mergeCell ref="A23:F23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honeticPr fontId="20" type="noConversion"/>
  <pageMargins left="0.7" right="0.7" top="0.75" bottom="0.75" header="0.3" footer="0.3"/>
  <pageSetup paperSize="9" orientation="portrait" r:id="rId1"/>
  <ignoredErrors>
    <ignoredError sqref="O13:O17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C61-0E53-43EB-B986-83B50B0A345B}">
  <sheetPr>
    <tabColor theme="9" tint="0.79998168889431442"/>
  </sheetPr>
  <dimension ref="A1:O39"/>
  <sheetViews>
    <sheetView showGridLines="0" topLeftCell="A5" zoomScale="70" zoomScaleNormal="70" workbookViewId="0">
      <selection activeCell="T20" sqref="T20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398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35</v>
      </c>
      <c r="D13" s="143" t="s">
        <v>332</v>
      </c>
      <c r="E13" s="143" t="s">
        <v>292</v>
      </c>
      <c r="F13" s="143" t="s">
        <v>284</v>
      </c>
      <c r="G13" s="143">
        <v>8</v>
      </c>
      <c r="H13" s="143" t="s">
        <v>290</v>
      </c>
      <c r="I13" s="143" t="s">
        <v>291</v>
      </c>
      <c r="J13" s="143">
        <v>6900</v>
      </c>
      <c r="K13" s="143">
        <v>1500</v>
      </c>
      <c r="L13" s="143">
        <v>8</v>
      </c>
      <c r="M13" s="135">
        <v>5210</v>
      </c>
      <c r="N13" s="168"/>
      <c r="O13" s="169">
        <f t="shared" ref="O13:O22" si="0">IF(COUNTA(J13:L13)=3,J13*K13*L13/1000000,"")</f>
        <v>82.8</v>
      </c>
    </row>
    <row r="14" spans="1:15" ht="21" customHeight="1" x14ac:dyDescent="0.35">
      <c r="A14" s="163">
        <v>2</v>
      </c>
      <c r="B14" s="160"/>
      <c r="C14" s="159" t="s">
        <v>37</v>
      </c>
      <c r="D14" s="135" t="s">
        <v>332</v>
      </c>
      <c r="E14" s="135" t="s">
        <v>292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5210</v>
      </c>
      <c r="N14" s="168"/>
      <c r="O14" s="169">
        <f t="shared" si="0"/>
        <v>82.8</v>
      </c>
    </row>
    <row r="15" spans="1:15" ht="21" customHeight="1" x14ac:dyDescent="0.35">
      <c r="A15" s="163">
        <v>3</v>
      </c>
      <c r="B15" s="160"/>
      <c r="C15" s="159" t="s">
        <v>38</v>
      </c>
      <c r="D15" s="135" t="s">
        <v>333</v>
      </c>
      <c r="E15" s="135" t="s">
        <v>292</v>
      </c>
      <c r="F15" s="135" t="s">
        <v>284</v>
      </c>
      <c r="G15" s="135">
        <v>6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10</v>
      </c>
      <c r="M15" s="135">
        <v>4885</v>
      </c>
      <c r="N15" s="168"/>
      <c r="O15" s="169">
        <f t="shared" si="0"/>
        <v>103.5</v>
      </c>
    </row>
    <row r="16" spans="1:15" ht="21" customHeight="1" x14ac:dyDescent="0.35">
      <c r="A16" s="163">
        <v>4</v>
      </c>
      <c r="B16" s="160"/>
      <c r="C16" s="159" t="s">
        <v>40</v>
      </c>
      <c r="D16" s="135" t="s">
        <v>333</v>
      </c>
      <c r="E16" s="135" t="s">
        <v>292</v>
      </c>
      <c r="F16" s="135" t="s">
        <v>284</v>
      </c>
      <c r="G16" s="135">
        <v>6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10</v>
      </c>
      <c r="M16" s="135">
        <v>4885</v>
      </c>
      <c r="N16" s="168"/>
      <c r="O16" s="169">
        <f t="shared" si="0"/>
        <v>103.5</v>
      </c>
    </row>
    <row r="17" spans="1:15" ht="21" customHeight="1" x14ac:dyDescent="0.35">
      <c r="A17" s="163">
        <v>5</v>
      </c>
      <c r="B17" s="160"/>
      <c r="C17" s="159" t="s">
        <v>41</v>
      </c>
      <c r="D17" s="135" t="s">
        <v>333</v>
      </c>
      <c r="E17" s="135" t="s">
        <v>292</v>
      </c>
      <c r="F17" s="135" t="s">
        <v>284</v>
      </c>
      <c r="G17" s="135">
        <v>6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10</v>
      </c>
      <c r="M17" s="135">
        <v>4890</v>
      </c>
      <c r="N17" s="168"/>
      <c r="O17" s="169">
        <f t="shared" si="0"/>
        <v>103.5</v>
      </c>
    </row>
    <row r="18" spans="1:15" ht="21" customHeight="1" x14ac:dyDescent="0.35">
      <c r="A18" s="163">
        <v>6</v>
      </c>
      <c r="B18" s="170"/>
      <c r="C18" s="170"/>
      <c r="D18" s="170"/>
      <c r="E18" s="170"/>
      <c r="F18" s="170"/>
      <c r="G18" s="171"/>
      <c r="H18" s="170"/>
      <c r="I18" s="170"/>
      <c r="J18" s="172"/>
      <c r="K18" s="172"/>
      <c r="L18" s="172"/>
      <c r="M18" s="173"/>
      <c r="N18" s="171"/>
      <c r="O18" s="174" t="str">
        <f t="shared" si="0"/>
        <v/>
      </c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si="0"/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34</v>
      </c>
      <c r="H23" s="166"/>
      <c r="I23" s="166"/>
      <c r="J23" s="166"/>
      <c r="K23" s="166"/>
      <c r="L23" s="166"/>
      <c r="M23" s="165">
        <f>SUM(M13:M22)</f>
        <v>25080</v>
      </c>
      <c r="N23" s="165">
        <f>SUM(N13:N22)</f>
        <v>0</v>
      </c>
      <c r="O23" s="167">
        <f>SUM(O13:O22)</f>
        <v>476.1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34</v>
      </c>
      <c r="G25" s="277" t="s">
        <v>198</v>
      </c>
      <c r="H25" s="277"/>
      <c r="I25" s="119">
        <f>SUM(M13:M22)</f>
        <v>25080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476.1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ignoredErrors>
    <ignoredError sqref="O13:O17" formulaRange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1B9B-CB8D-4EE8-A2D4-AE2103C5C1F7}">
  <sheetPr>
    <tabColor theme="9" tint="0.79998168889431442"/>
  </sheetPr>
  <dimension ref="A1:O39"/>
  <sheetViews>
    <sheetView showGridLines="0" topLeftCell="A5" zoomScale="70" zoomScaleNormal="70" workbookViewId="0">
      <selection activeCell="P14" sqref="P14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399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42</v>
      </c>
      <c r="D13" s="143" t="s">
        <v>338</v>
      </c>
      <c r="E13" s="143" t="s">
        <v>292</v>
      </c>
      <c r="F13" s="143" t="s">
        <v>284</v>
      </c>
      <c r="G13" s="143">
        <v>17</v>
      </c>
      <c r="H13" s="143" t="s">
        <v>290</v>
      </c>
      <c r="I13" s="143" t="s">
        <v>291</v>
      </c>
      <c r="J13" s="143">
        <v>8000</v>
      </c>
      <c r="K13" s="143">
        <v>1500</v>
      </c>
      <c r="L13" s="143">
        <v>3</v>
      </c>
      <c r="M13" s="143">
        <v>4753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44</v>
      </c>
      <c r="D14" s="135" t="s">
        <v>333</v>
      </c>
      <c r="E14" s="135" t="s">
        <v>292</v>
      </c>
      <c r="F14" s="135" t="s">
        <v>284</v>
      </c>
      <c r="G14" s="135">
        <v>5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10</v>
      </c>
      <c r="M14" s="135">
        <v>4075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46</v>
      </c>
      <c r="D15" s="135" t="s">
        <v>336</v>
      </c>
      <c r="E15" s="135" t="s">
        <v>292</v>
      </c>
      <c r="F15" s="135" t="s">
        <v>284</v>
      </c>
      <c r="G15" s="135">
        <v>5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12</v>
      </c>
      <c r="M15" s="135">
        <v>4900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48</v>
      </c>
      <c r="D16" s="135" t="s">
        <v>335</v>
      </c>
      <c r="E16" s="135" t="s">
        <v>292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5676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50</v>
      </c>
      <c r="D17" s="135" t="s">
        <v>335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5676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37</v>
      </c>
      <c r="H23" s="166"/>
      <c r="I23" s="166"/>
      <c r="J23" s="166"/>
      <c r="K23" s="166"/>
      <c r="L23" s="166"/>
      <c r="M23" s="165">
        <f>SUM(M13:M22)</f>
        <v>25080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37</v>
      </c>
      <c r="G25" s="277" t="s">
        <v>198</v>
      </c>
      <c r="H25" s="277"/>
      <c r="I25" s="119">
        <f>SUM(M13:M22)</f>
        <v>25080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07D9-318F-489F-8E50-C789BE1C3414}">
  <sheetPr>
    <tabColor theme="9" tint="0.79998168889431442"/>
  </sheetPr>
  <dimension ref="A1:O39"/>
  <sheetViews>
    <sheetView showGridLines="0" topLeftCell="A5" zoomScale="70" zoomScaleNormal="70" workbookViewId="0">
      <selection activeCell="M15" sqref="M15:M16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400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51</v>
      </c>
      <c r="D13" s="143" t="s">
        <v>337</v>
      </c>
      <c r="E13" s="143" t="s">
        <v>292</v>
      </c>
      <c r="F13" s="143" t="s">
        <v>284</v>
      </c>
      <c r="G13" s="143">
        <v>12</v>
      </c>
      <c r="H13" s="143" t="s">
        <v>290</v>
      </c>
      <c r="I13" s="143" t="s">
        <v>291</v>
      </c>
      <c r="J13" s="143">
        <v>6000</v>
      </c>
      <c r="K13" s="143">
        <v>1500</v>
      </c>
      <c r="L13" s="143">
        <v>6</v>
      </c>
      <c r="M13" s="143">
        <v>5145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53</v>
      </c>
      <c r="D14" s="135" t="s">
        <v>333</v>
      </c>
      <c r="E14" s="135" t="s">
        <v>292</v>
      </c>
      <c r="F14" s="135" t="s">
        <v>284</v>
      </c>
      <c r="G14" s="135">
        <v>6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10</v>
      </c>
      <c r="M14" s="135">
        <v>4898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54</v>
      </c>
      <c r="D15" s="135" t="s">
        <v>335</v>
      </c>
      <c r="E15" s="135" t="s">
        <v>292</v>
      </c>
      <c r="F15" s="135" t="s">
        <v>284</v>
      </c>
      <c r="G15" s="135">
        <v>4</v>
      </c>
      <c r="H15" s="135" t="s">
        <v>290</v>
      </c>
      <c r="I15" s="135" t="s">
        <v>291</v>
      </c>
      <c r="J15" s="135">
        <v>8000</v>
      </c>
      <c r="K15" s="135">
        <v>1500</v>
      </c>
      <c r="L15" s="135">
        <v>12</v>
      </c>
      <c r="M15" s="135">
        <v>4560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55</v>
      </c>
      <c r="D16" s="135" t="s">
        <v>335</v>
      </c>
      <c r="E16" s="135" t="s">
        <v>292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5671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56</v>
      </c>
      <c r="D17" s="135" t="s">
        <v>336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12</v>
      </c>
      <c r="M17" s="135">
        <v>4886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32</v>
      </c>
      <c r="H23" s="166"/>
      <c r="I23" s="166"/>
      <c r="J23" s="166"/>
      <c r="K23" s="166"/>
      <c r="L23" s="166"/>
      <c r="M23" s="165">
        <f>SUM(M13:M22)</f>
        <v>25160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32</v>
      </c>
      <c r="G25" s="277" t="s">
        <v>198</v>
      </c>
      <c r="H25" s="277"/>
      <c r="I25" s="119">
        <f>SUM(M13:M22)</f>
        <v>25160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30EA-88A0-4DD2-AF4E-FBA5D102B2FF}">
  <sheetPr>
    <tabColor theme="9" tint="0.79998168889431442"/>
    <pageSetUpPr fitToPage="1"/>
  </sheetPr>
  <dimension ref="A1:O39"/>
  <sheetViews>
    <sheetView showGridLines="0" view="pageBreakPreview" topLeftCell="A19" zoomScale="60" zoomScaleNormal="70" workbookViewId="0">
      <selection activeCell="K43" sqref="K43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401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57</v>
      </c>
      <c r="D13" s="143" t="s">
        <v>338</v>
      </c>
      <c r="E13" s="143" t="s">
        <v>292</v>
      </c>
      <c r="F13" s="143" t="s">
        <v>284</v>
      </c>
      <c r="G13" s="143">
        <v>17</v>
      </c>
      <c r="H13" s="143" t="s">
        <v>290</v>
      </c>
      <c r="I13" s="143" t="s">
        <v>291</v>
      </c>
      <c r="J13" s="143">
        <v>8000</v>
      </c>
      <c r="K13" s="143">
        <v>1500</v>
      </c>
      <c r="L13" s="143">
        <v>3</v>
      </c>
      <c r="M13" s="143">
        <v>4763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58</v>
      </c>
      <c r="D14" s="135" t="s">
        <v>333</v>
      </c>
      <c r="E14" s="135" t="s">
        <v>292</v>
      </c>
      <c r="F14" s="135" t="s">
        <v>284</v>
      </c>
      <c r="G14" s="135">
        <v>6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10</v>
      </c>
      <c r="M14" s="135">
        <v>4895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59</v>
      </c>
      <c r="D15" s="135" t="s">
        <v>333</v>
      </c>
      <c r="E15" s="135" t="s">
        <v>292</v>
      </c>
      <c r="F15" s="135" t="s">
        <v>284</v>
      </c>
      <c r="G15" s="135">
        <v>6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10</v>
      </c>
      <c r="M15" s="135">
        <v>4895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60</v>
      </c>
      <c r="D16" s="135" t="s">
        <v>333</v>
      </c>
      <c r="E16" s="135" t="s">
        <v>292</v>
      </c>
      <c r="F16" s="135" t="s">
        <v>284</v>
      </c>
      <c r="G16" s="135">
        <v>6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10</v>
      </c>
      <c r="M16" s="135">
        <v>4890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61</v>
      </c>
      <c r="D17" s="135" t="s">
        <v>335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5687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40</v>
      </c>
      <c r="H23" s="166"/>
      <c r="I23" s="166"/>
      <c r="J23" s="166"/>
      <c r="K23" s="166"/>
      <c r="L23" s="166"/>
      <c r="M23" s="165">
        <f>SUM(M13:M22)</f>
        <v>25130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40</v>
      </c>
      <c r="G25" s="277" t="s">
        <v>198</v>
      </c>
      <c r="H25" s="277"/>
      <c r="I25" s="119">
        <f>SUM(M13:M22)</f>
        <v>25130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76" fitToHeight="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A8D0-E22C-426F-B5C0-33D9D2AC3083}">
  <sheetPr>
    <tabColor theme="9" tint="0.79998168889431442"/>
  </sheetPr>
  <dimension ref="A1:O39"/>
  <sheetViews>
    <sheetView showGridLines="0" topLeftCell="A5" zoomScale="70" zoomScaleNormal="70" workbookViewId="0">
      <selection activeCell="R17" sqref="R17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402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62</v>
      </c>
      <c r="D13" s="143" t="s">
        <v>334</v>
      </c>
      <c r="E13" s="143" t="s">
        <v>292</v>
      </c>
      <c r="F13" s="143" t="s">
        <v>284</v>
      </c>
      <c r="G13" s="143">
        <v>14</v>
      </c>
      <c r="H13" s="143" t="s">
        <v>290</v>
      </c>
      <c r="I13" s="143" t="s">
        <v>291</v>
      </c>
      <c r="J13" s="143">
        <v>8000</v>
      </c>
      <c r="K13" s="143">
        <v>1500</v>
      </c>
      <c r="L13" s="143">
        <v>4</v>
      </c>
      <c r="M13" s="143">
        <v>5300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63</v>
      </c>
      <c r="D14" s="135" t="s">
        <v>334</v>
      </c>
      <c r="E14" s="135" t="s">
        <v>292</v>
      </c>
      <c r="F14" s="135" t="s">
        <v>284</v>
      </c>
      <c r="G14" s="135">
        <v>12</v>
      </c>
      <c r="H14" s="135" t="s">
        <v>290</v>
      </c>
      <c r="I14" s="135" t="s">
        <v>291</v>
      </c>
      <c r="J14" s="135">
        <v>8000</v>
      </c>
      <c r="K14" s="135">
        <v>1500</v>
      </c>
      <c r="L14" s="135">
        <v>4</v>
      </c>
      <c r="M14" s="135">
        <v>4540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65</v>
      </c>
      <c r="D15" s="135" t="s">
        <v>332</v>
      </c>
      <c r="E15" s="135" t="s">
        <v>292</v>
      </c>
      <c r="F15" s="135" t="s">
        <v>284</v>
      </c>
      <c r="G15" s="135">
        <v>8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8</v>
      </c>
      <c r="M15" s="135">
        <v>5235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66</v>
      </c>
      <c r="D16" s="135" t="s">
        <v>332</v>
      </c>
      <c r="E16" s="135" t="s">
        <v>292</v>
      </c>
      <c r="F16" s="135" t="s">
        <v>284</v>
      </c>
      <c r="G16" s="135">
        <v>8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8</v>
      </c>
      <c r="M16" s="135">
        <v>5235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67</v>
      </c>
      <c r="D17" s="135" t="s">
        <v>336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12</v>
      </c>
      <c r="M17" s="135">
        <v>4920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47</v>
      </c>
      <c r="H23" s="166"/>
      <c r="I23" s="166"/>
      <c r="J23" s="166"/>
      <c r="K23" s="166"/>
      <c r="L23" s="166"/>
      <c r="M23" s="165">
        <f>SUM(M13:M22)</f>
        <v>25230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47</v>
      </c>
      <c r="G25" s="277" t="s">
        <v>198</v>
      </c>
      <c r="H25" s="277"/>
      <c r="I25" s="119">
        <f>SUM(M13:M22)</f>
        <v>25230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C1D8-0E63-4E5D-9C00-F7A381C33362}">
  <sheetPr>
    <tabColor theme="9" tint="0.79998168889431442"/>
  </sheetPr>
  <dimension ref="A1:O39"/>
  <sheetViews>
    <sheetView showGridLines="0" topLeftCell="A5" zoomScale="70" zoomScaleNormal="70" workbookViewId="0">
      <selection activeCell="M17" sqref="M17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403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68</v>
      </c>
      <c r="D13" s="143" t="s">
        <v>334</v>
      </c>
      <c r="E13" s="143" t="s">
        <v>292</v>
      </c>
      <c r="F13" s="143" t="s">
        <v>284</v>
      </c>
      <c r="G13" s="143">
        <v>14</v>
      </c>
      <c r="H13" s="143" t="s">
        <v>290</v>
      </c>
      <c r="I13" s="143" t="s">
        <v>291</v>
      </c>
      <c r="J13" s="143">
        <v>8000</v>
      </c>
      <c r="K13" s="143">
        <v>1500</v>
      </c>
      <c r="L13" s="143">
        <v>4</v>
      </c>
      <c r="M13" s="143">
        <v>5281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69</v>
      </c>
      <c r="D14" s="135" t="s">
        <v>332</v>
      </c>
      <c r="E14" s="135" t="s">
        <v>292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5209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70</v>
      </c>
      <c r="D15" s="135" t="s">
        <v>333</v>
      </c>
      <c r="E15" s="135" t="s">
        <v>292</v>
      </c>
      <c r="F15" s="135" t="s">
        <v>284</v>
      </c>
      <c r="G15" s="135">
        <v>6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10</v>
      </c>
      <c r="M15" s="135">
        <v>4482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71</v>
      </c>
      <c r="D16" s="135" t="s">
        <v>333</v>
      </c>
      <c r="E16" s="135" t="s">
        <v>292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10</v>
      </c>
      <c r="M16" s="135">
        <v>4481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72</v>
      </c>
      <c r="D17" s="135" t="s">
        <v>335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5677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38</v>
      </c>
      <c r="H23" s="166"/>
      <c r="I23" s="166"/>
      <c r="J23" s="166"/>
      <c r="K23" s="166"/>
      <c r="L23" s="166"/>
      <c r="M23" s="165">
        <f>SUM(M13:M22)</f>
        <v>25130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38</v>
      </c>
      <c r="G25" s="277" t="s">
        <v>198</v>
      </c>
      <c r="H25" s="277"/>
      <c r="I25" s="119">
        <f>SUM(M13:M22)</f>
        <v>25130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8464-4608-4427-BE4C-AC0EFA1A12FE}">
  <sheetPr>
    <tabColor theme="9" tint="0.79998168889431442"/>
  </sheetPr>
  <dimension ref="A1:O39"/>
  <sheetViews>
    <sheetView showGridLines="0" topLeftCell="A2" zoomScale="70" zoomScaleNormal="70" workbookViewId="0">
      <selection activeCell="M16" sqref="M16:M17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404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73</v>
      </c>
      <c r="D13" s="143" t="s">
        <v>338</v>
      </c>
      <c r="E13" s="143" t="s">
        <v>292</v>
      </c>
      <c r="F13" s="143" t="s">
        <v>284</v>
      </c>
      <c r="G13" s="143">
        <v>17</v>
      </c>
      <c r="H13" s="143" t="s">
        <v>290</v>
      </c>
      <c r="I13" s="143" t="s">
        <v>291</v>
      </c>
      <c r="J13" s="143">
        <v>8000</v>
      </c>
      <c r="K13" s="143">
        <v>1500</v>
      </c>
      <c r="L13" s="143">
        <v>3</v>
      </c>
      <c r="M13" s="143">
        <v>4773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74</v>
      </c>
      <c r="D14" s="135" t="s">
        <v>332</v>
      </c>
      <c r="E14" s="135" t="s">
        <v>292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5209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75</v>
      </c>
      <c r="D15" s="135" t="s">
        <v>336</v>
      </c>
      <c r="E15" s="135" t="s">
        <v>292</v>
      </c>
      <c r="F15" s="135" t="s">
        <v>284</v>
      </c>
      <c r="G15" s="135">
        <v>5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12</v>
      </c>
      <c r="M15" s="135">
        <v>4910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76</v>
      </c>
      <c r="D16" s="135" t="s">
        <v>335</v>
      </c>
      <c r="E16" s="135" t="s">
        <v>292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5678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77</v>
      </c>
      <c r="D17" s="135" t="s">
        <v>335</v>
      </c>
      <c r="E17" s="135" t="s">
        <v>292</v>
      </c>
      <c r="F17" s="135" t="s">
        <v>284</v>
      </c>
      <c r="G17" s="135">
        <v>4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4560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39</v>
      </c>
      <c r="H23" s="166"/>
      <c r="I23" s="166"/>
      <c r="J23" s="166"/>
      <c r="K23" s="166"/>
      <c r="L23" s="166"/>
      <c r="M23" s="165">
        <f>SUM(M13:M22)</f>
        <v>25130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39</v>
      </c>
      <c r="G25" s="277" t="s">
        <v>198</v>
      </c>
      <c r="H25" s="277"/>
      <c r="I25" s="119">
        <f>SUM(M13:M22)</f>
        <v>25130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F656-6CC2-4071-95BD-F4E785AE7008}">
  <sheetPr>
    <tabColor theme="9" tint="0.79998168889431442"/>
  </sheetPr>
  <dimension ref="A1:O39"/>
  <sheetViews>
    <sheetView showGridLines="0" topLeftCell="A7" zoomScale="70" zoomScaleNormal="70" workbookViewId="0">
      <selection activeCell="S18" sqref="S18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280</v>
      </c>
      <c r="D6" s="279"/>
      <c r="E6" s="277" t="s">
        <v>164</v>
      </c>
      <c r="F6" s="277"/>
      <c r="G6" s="280">
        <v>46118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405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/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94" t="s">
        <v>78</v>
      </c>
      <c r="D13" s="143" t="s">
        <v>332</v>
      </c>
      <c r="E13" s="143" t="s">
        <v>292</v>
      </c>
      <c r="F13" s="143" t="s">
        <v>284</v>
      </c>
      <c r="G13" s="143">
        <v>8</v>
      </c>
      <c r="H13" s="143" t="s">
        <v>290</v>
      </c>
      <c r="I13" s="143" t="s">
        <v>291</v>
      </c>
      <c r="J13" s="143">
        <v>6900</v>
      </c>
      <c r="K13" s="143">
        <v>1500</v>
      </c>
      <c r="L13" s="143">
        <v>8</v>
      </c>
      <c r="M13" s="143">
        <v>5200</v>
      </c>
      <c r="N13" s="168"/>
      <c r="O13" s="169"/>
    </row>
    <row r="14" spans="1:15" ht="21" customHeight="1" x14ac:dyDescent="0.35">
      <c r="A14" s="163">
        <v>2</v>
      </c>
      <c r="B14" s="160"/>
      <c r="C14" s="159" t="s">
        <v>79</v>
      </c>
      <c r="D14" s="135" t="s">
        <v>332</v>
      </c>
      <c r="E14" s="135" t="s">
        <v>292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5207</v>
      </c>
      <c r="N14" s="168"/>
      <c r="O14" s="169"/>
    </row>
    <row r="15" spans="1:15" ht="21" customHeight="1" x14ac:dyDescent="0.35">
      <c r="A15" s="163">
        <v>3</v>
      </c>
      <c r="B15" s="160"/>
      <c r="C15" s="159" t="s">
        <v>80</v>
      </c>
      <c r="D15" s="135" t="s">
        <v>333</v>
      </c>
      <c r="E15" s="135" t="s">
        <v>292</v>
      </c>
      <c r="F15" s="135" t="s">
        <v>284</v>
      </c>
      <c r="G15" s="135">
        <v>6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10</v>
      </c>
      <c r="M15" s="135">
        <v>4884</v>
      </c>
      <c r="N15" s="168"/>
      <c r="O15" s="169"/>
    </row>
    <row r="16" spans="1:15" ht="21" customHeight="1" x14ac:dyDescent="0.35">
      <c r="A16" s="163">
        <v>4</v>
      </c>
      <c r="B16" s="160"/>
      <c r="C16" s="159" t="s">
        <v>81</v>
      </c>
      <c r="D16" s="135" t="s">
        <v>336</v>
      </c>
      <c r="E16" s="135" t="s">
        <v>292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12</v>
      </c>
      <c r="M16" s="135">
        <v>4880</v>
      </c>
      <c r="N16" s="168"/>
      <c r="O16" s="169"/>
    </row>
    <row r="17" spans="1:15" ht="21" customHeight="1" x14ac:dyDescent="0.35">
      <c r="A17" s="163">
        <v>5</v>
      </c>
      <c r="B17" s="160"/>
      <c r="C17" s="159" t="s">
        <v>82</v>
      </c>
      <c r="D17" s="135" t="s">
        <v>336</v>
      </c>
      <c r="E17" s="135" t="s">
        <v>292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12</v>
      </c>
      <c r="M17" s="135">
        <v>4879</v>
      </c>
      <c r="N17" s="168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71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32</v>
      </c>
      <c r="H23" s="166"/>
      <c r="I23" s="166"/>
      <c r="J23" s="166"/>
      <c r="K23" s="166"/>
      <c r="L23" s="166"/>
      <c r="M23" s="165">
        <f>SUM(M13:M22)</f>
        <v>25050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32</v>
      </c>
      <c r="G25" s="277" t="s">
        <v>198</v>
      </c>
      <c r="H25" s="277"/>
      <c r="I25" s="119">
        <f>SUM(M13:M22)</f>
        <v>25050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F9B6-95E0-4D92-B5A6-6D8A1E5E99A4}">
  <dimension ref="A1:X107"/>
  <sheetViews>
    <sheetView zoomScale="70" zoomScaleNormal="70" workbookViewId="0">
      <pane ySplit="2" topLeftCell="A3" activePane="bottomLeft" state="frozen"/>
      <selection pane="bottomLeft" activeCell="I105" sqref="I105"/>
    </sheetView>
  </sheetViews>
  <sheetFormatPr defaultRowHeight="14.5" x14ac:dyDescent="0.35"/>
  <cols>
    <col min="1" max="1" width="10" style="1" customWidth="1"/>
    <col min="2" max="2" width="12.26953125" style="1" customWidth="1"/>
    <col min="3" max="3" width="12.26953125" style="137" customWidth="1"/>
    <col min="4" max="4" width="27.08984375" style="1" bestFit="1" customWidth="1"/>
    <col min="5" max="5" width="31.1796875" style="1" customWidth="1"/>
    <col min="6" max="6" width="15.08984375" style="1" bestFit="1" customWidth="1"/>
    <col min="7" max="8" width="8.08984375" style="1" customWidth="1"/>
    <col min="9" max="9" width="11.08984375" style="2" customWidth="1"/>
    <col min="10" max="10" width="13.08984375" style="1" customWidth="1"/>
    <col min="11" max="11" width="11.08984375" style="1" customWidth="1"/>
    <col min="12" max="12" width="10.7265625" style="1" customWidth="1"/>
    <col min="13" max="13" width="12.26953125" style="1" customWidth="1"/>
    <col min="14" max="15" width="10.7265625" style="1" customWidth="1"/>
    <col min="16" max="16" width="16.81640625" style="1" hidden="1" customWidth="1"/>
    <col min="17" max="17" width="13.7265625" style="1" customWidth="1"/>
    <col min="18" max="19" width="10.7265625" style="1" customWidth="1"/>
    <col min="20" max="20" width="12.26953125" customWidth="1"/>
    <col min="21" max="21" width="24.453125" customWidth="1"/>
    <col min="24" max="24" width="12.81640625" bestFit="1" customWidth="1"/>
  </cols>
  <sheetData>
    <row r="1" spans="1:24" s="112" customFormat="1" ht="32" customHeight="1" thickBot="1" x14ac:dyDescent="0.4">
      <c r="A1" s="116" t="s">
        <v>180</v>
      </c>
      <c r="B1" s="117" t="s">
        <v>181</v>
      </c>
      <c r="C1" s="117" t="s">
        <v>182</v>
      </c>
      <c r="D1" s="117"/>
      <c r="E1" s="117" t="s">
        <v>183</v>
      </c>
      <c r="F1" s="117" t="s">
        <v>184</v>
      </c>
      <c r="G1" s="117" t="s">
        <v>185</v>
      </c>
      <c r="H1" s="117" t="s">
        <v>186</v>
      </c>
      <c r="I1" s="117" t="s">
        <v>187</v>
      </c>
      <c r="J1" s="117" t="s">
        <v>188</v>
      </c>
      <c r="K1" s="138" t="s">
        <v>323</v>
      </c>
      <c r="L1" s="138" t="s">
        <v>324</v>
      </c>
      <c r="M1" s="138" t="s">
        <v>325</v>
      </c>
      <c r="N1" s="117" t="s">
        <v>192</v>
      </c>
      <c r="O1" s="117" t="s">
        <v>193</v>
      </c>
    </row>
    <row r="2" spans="1:24" ht="29.5" customHeight="1" thickBot="1" x14ac:dyDescent="0.4">
      <c r="A2" s="131" t="s">
        <v>278</v>
      </c>
      <c r="B2" s="131" t="s">
        <v>11</v>
      </c>
      <c r="C2" s="132" t="s">
        <v>12</v>
      </c>
      <c r="D2" s="132" t="s">
        <v>13</v>
      </c>
      <c r="E2" s="132" t="s">
        <v>287</v>
      </c>
      <c r="F2" s="132" t="s">
        <v>184</v>
      </c>
      <c r="G2" s="132"/>
      <c r="H2" s="132" t="s">
        <v>288</v>
      </c>
      <c r="I2" s="132" t="s">
        <v>289</v>
      </c>
      <c r="J2" s="132"/>
      <c r="K2" s="139" t="s">
        <v>326</v>
      </c>
      <c r="L2" s="139" t="s">
        <v>327</v>
      </c>
      <c r="M2" s="139" t="s">
        <v>328</v>
      </c>
      <c r="N2" s="132" t="s">
        <v>14</v>
      </c>
      <c r="O2" s="132" t="s">
        <v>15</v>
      </c>
      <c r="P2" s="127" t="s">
        <v>277</v>
      </c>
      <c r="Q2" s="133" t="s">
        <v>211</v>
      </c>
      <c r="R2" s="133" t="s">
        <v>212</v>
      </c>
      <c r="S2" s="133" t="s">
        <v>213</v>
      </c>
      <c r="T2" s="133" t="s">
        <v>214</v>
      </c>
      <c r="U2" s="133" t="s">
        <v>215</v>
      </c>
      <c r="V2" s="133" t="s">
        <v>216</v>
      </c>
      <c r="W2" s="133" t="s">
        <v>217</v>
      </c>
      <c r="X2" s="133" t="s">
        <v>218</v>
      </c>
    </row>
    <row r="3" spans="1:24" s="151" customFormat="1" ht="15" customHeight="1" x14ac:dyDescent="0.35">
      <c r="A3" s="145">
        <v>1</v>
      </c>
      <c r="B3" s="146" t="s">
        <v>226</v>
      </c>
      <c r="C3" s="147" t="s">
        <v>26</v>
      </c>
      <c r="D3" s="148" t="s">
        <v>27</v>
      </c>
      <c r="E3" s="148" t="s">
        <v>329</v>
      </c>
      <c r="F3" s="148" t="s">
        <v>420</v>
      </c>
      <c r="G3" s="148" t="s">
        <v>284</v>
      </c>
      <c r="H3" s="148">
        <v>11</v>
      </c>
      <c r="I3" s="148" t="s">
        <v>290</v>
      </c>
      <c r="J3" s="148" t="s">
        <v>291</v>
      </c>
      <c r="K3" s="148">
        <v>6900</v>
      </c>
      <c r="L3" s="148">
        <v>1500</v>
      </c>
      <c r="M3" s="148">
        <v>6</v>
      </c>
      <c r="N3" s="149">
        <v>5440</v>
      </c>
      <c r="O3" s="148">
        <f>SUM(N3:N7)</f>
        <v>25240</v>
      </c>
      <c r="P3" s="150" t="s">
        <v>317</v>
      </c>
      <c r="Q3" s="146" t="s">
        <v>226</v>
      </c>
      <c r="R3" s="146" t="s">
        <v>220</v>
      </c>
      <c r="S3" s="146" t="s">
        <v>227</v>
      </c>
      <c r="T3" s="146" t="s">
        <v>228</v>
      </c>
      <c r="U3" s="146" t="s">
        <v>229</v>
      </c>
      <c r="V3" s="146" t="s">
        <v>230</v>
      </c>
      <c r="W3" s="146" t="s">
        <v>231</v>
      </c>
      <c r="X3" s="146">
        <v>5453471497</v>
      </c>
    </row>
    <row r="4" spans="1:24" ht="15" customHeight="1" x14ac:dyDescent="0.35">
      <c r="A4" s="152"/>
      <c r="B4" s="126" t="s">
        <v>226</v>
      </c>
      <c r="C4" s="136" t="s">
        <v>28</v>
      </c>
      <c r="D4" s="134" t="s">
        <v>29</v>
      </c>
      <c r="E4" s="134" t="s">
        <v>330</v>
      </c>
      <c r="F4" s="134" t="s">
        <v>419</v>
      </c>
      <c r="G4" s="134" t="s">
        <v>284</v>
      </c>
      <c r="H4" s="134">
        <v>6</v>
      </c>
      <c r="I4" s="134" t="s">
        <v>290</v>
      </c>
      <c r="J4" s="134" t="s">
        <v>291</v>
      </c>
      <c r="K4" s="134">
        <v>8000</v>
      </c>
      <c r="L4" s="134">
        <v>1500</v>
      </c>
      <c r="M4" s="134">
        <v>12</v>
      </c>
      <c r="N4" s="135">
        <v>6850</v>
      </c>
      <c r="O4" s="134"/>
      <c r="P4" s="134"/>
      <c r="Q4" s="134"/>
      <c r="R4" s="134"/>
      <c r="S4" s="134"/>
      <c r="T4" s="134"/>
      <c r="U4" s="134"/>
      <c r="V4" s="134"/>
      <c r="W4" s="134"/>
      <c r="X4" s="134"/>
    </row>
    <row r="5" spans="1:24" ht="15" customHeight="1" x14ac:dyDescent="0.35">
      <c r="A5" s="152"/>
      <c r="B5" s="126" t="s">
        <v>226</v>
      </c>
      <c r="C5" s="136" t="s">
        <v>30</v>
      </c>
      <c r="D5" s="134" t="s">
        <v>23</v>
      </c>
      <c r="E5" s="134" t="s">
        <v>330</v>
      </c>
      <c r="F5" s="134" t="s">
        <v>419</v>
      </c>
      <c r="G5" s="134" t="s">
        <v>284</v>
      </c>
      <c r="H5" s="134">
        <v>4</v>
      </c>
      <c r="I5" s="134" t="s">
        <v>290</v>
      </c>
      <c r="J5" s="134" t="s">
        <v>291</v>
      </c>
      <c r="K5" s="134">
        <v>8000</v>
      </c>
      <c r="L5" s="134">
        <v>1500</v>
      </c>
      <c r="M5" s="134">
        <v>12</v>
      </c>
      <c r="N5" s="135">
        <v>4580</v>
      </c>
      <c r="O5" s="134"/>
      <c r="P5" s="134"/>
      <c r="Q5" s="134"/>
      <c r="R5" s="134"/>
      <c r="S5" s="134"/>
      <c r="T5" s="134"/>
      <c r="U5" s="134"/>
      <c r="V5" s="134"/>
      <c r="W5" s="134"/>
      <c r="X5" s="134"/>
    </row>
    <row r="6" spans="1:24" ht="15" customHeight="1" x14ac:dyDescent="0.35">
      <c r="A6" s="152"/>
      <c r="B6" s="126" t="s">
        <v>226</v>
      </c>
      <c r="C6" s="136" t="s">
        <v>31</v>
      </c>
      <c r="D6" s="134" t="s">
        <v>32</v>
      </c>
      <c r="E6" s="134" t="s">
        <v>330</v>
      </c>
      <c r="F6" s="134" t="s">
        <v>419</v>
      </c>
      <c r="G6" s="134" t="s">
        <v>284</v>
      </c>
      <c r="H6" s="134">
        <v>3</v>
      </c>
      <c r="I6" s="134" t="s">
        <v>290</v>
      </c>
      <c r="J6" s="134" t="s">
        <v>291</v>
      </c>
      <c r="K6" s="134">
        <v>8000</v>
      </c>
      <c r="L6" s="134">
        <v>1500</v>
      </c>
      <c r="M6" s="134">
        <v>12</v>
      </c>
      <c r="N6" s="135">
        <v>3430</v>
      </c>
      <c r="O6" s="134"/>
      <c r="P6" s="134"/>
      <c r="Q6" s="134"/>
      <c r="R6" s="134"/>
      <c r="S6" s="134"/>
      <c r="T6" s="134"/>
      <c r="U6" s="134"/>
      <c r="V6" s="134"/>
      <c r="W6" s="134"/>
      <c r="X6" s="134"/>
    </row>
    <row r="7" spans="1:24" s="158" customFormat="1" ht="15" customHeight="1" thickBot="1" x14ac:dyDescent="0.4">
      <c r="A7" s="153"/>
      <c r="B7" s="154" t="s">
        <v>226</v>
      </c>
      <c r="C7" s="155" t="s">
        <v>33</v>
      </c>
      <c r="D7" s="156" t="s">
        <v>34</v>
      </c>
      <c r="E7" s="156" t="s">
        <v>331</v>
      </c>
      <c r="F7" s="134" t="s">
        <v>419</v>
      </c>
      <c r="G7" s="156" t="s">
        <v>284</v>
      </c>
      <c r="H7" s="156">
        <v>5</v>
      </c>
      <c r="I7" s="156" t="s">
        <v>290</v>
      </c>
      <c r="J7" s="156" t="s">
        <v>291</v>
      </c>
      <c r="K7" s="156">
        <v>6900</v>
      </c>
      <c r="L7" s="156">
        <v>1500</v>
      </c>
      <c r="M7" s="156">
        <v>12</v>
      </c>
      <c r="N7" s="157">
        <v>4940</v>
      </c>
      <c r="O7" s="156"/>
      <c r="P7" s="156"/>
      <c r="Q7" s="156"/>
      <c r="R7" s="156"/>
      <c r="S7" s="156"/>
      <c r="T7" s="156"/>
      <c r="U7" s="156"/>
      <c r="V7" s="156"/>
      <c r="W7" s="156"/>
      <c r="X7" s="156"/>
    </row>
    <row r="8" spans="1:24" ht="15" customHeight="1" x14ac:dyDescent="0.35">
      <c r="A8" s="140">
        <v>2</v>
      </c>
      <c r="B8" s="141" t="s">
        <v>232</v>
      </c>
      <c r="C8" s="142" t="s">
        <v>35</v>
      </c>
      <c r="D8" s="140" t="s">
        <v>36</v>
      </c>
      <c r="E8" s="140" t="s">
        <v>332</v>
      </c>
      <c r="F8" s="140" t="s">
        <v>420</v>
      </c>
      <c r="G8" s="140" t="s">
        <v>284</v>
      </c>
      <c r="H8" s="140">
        <v>8</v>
      </c>
      <c r="I8" s="140" t="s">
        <v>290</v>
      </c>
      <c r="J8" s="140" t="s">
        <v>291</v>
      </c>
      <c r="K8" s="140">
        <v>6900</v>
      </c>
      <c r="L8" s="140">
        <v>1500</v>
      </c>
      <c r="M8" s="140">
        <v>8</v>
      </c>
      <c r="N8" s="143">
        <v>5230</v>
      </c>
      <c r="O8" s="140">
        <f>SUM(N8:N12)</f>
        <v>25120</v>
      </c>
      <c r="P8" s="144" t="s">
        <v>306</v>
      </c>
      <c r="Q8" s="141" t="s">
        <v>232</v>
      </c>
      <c r="R8" s="141" t="s">
        <v>220</v>
      </c>
      <c r="S8" s="141" t="s">
        <v>233</v>
      </c>
      <c r="T8" s="141" t="s">
        <v>234</v>
      </c>
      <c r="U8" s="141" t="s">
        <v>235</v>
      </c>
      <c r="V8" s="141" t="s">
        <v>236</v>
      </c>
      <c r="W8" s="141" t="s">
        <v>237</v>
      </c>
      <c r="X8" s="141">
        <v>5305918797</v>
      </c>
    </row>
    <row r="9" spans="1:24" ht="15" customHeight="1" x14ac:dyDescent="0.35">
      <c r="A9" s="134"/>
      <c r="B9" s="126" t="s">
        <v>232</v>
      </c>
      <c r="C9" s="136" t="s">
        <v>37</v>
      </c>
      <c r="D9" s="134" t="s">
        <v>36</v>
      </c>
      <c r="E9" s="134" t="s">
        <v>332</v>
      </c>
      <c r="F9" s="134" t="s">
        <v>420</v>
      </c>
      <c r="G9" s="134" t="s">
        <v>284</v>
      </c>
      <c r="H9" s="134">
        <v>8</v>
      </c>
      <c r="I9" s="134" t="s">
        <v>290</v>
      </c>
      <c r="J9" s="134" t="s">
        <v>291</v>
      </c>
      <c r="K9" s="134">
        <v>6900</v>
      </c>
      <c r="L9" s="134">
        <v>1500</v>
      </c>
      <c r="M9" s="134">
        <v>8</v>
      </c>
      <c r="N9" s="135">
        <v>5235</v>
      </c>
      <c r="O9" s="134"/>
      <c r="P9" s="134"/>
      <c r="Q9" s="134"/>
      <c r="R9" s="134"/>
      <c r="S9" s="134"/>
      <c r="T9" s="134"/>
      <c r="U9" s="134"/>
      <c r="V9" s="134"/>
      <c r="W9" s="134"/>
      <c r="X9" s="134"/>
    </row>
    <row r="10" spans="1:24" ht="15" customHeight="1" x14ac:dyDescent="0.35">
      <c r="A10" s="134"/>
      <c r="B10" s="126" t="s">
        <v>232</v>
      </c>
      <c r="C10" s="136" t="s">
        <v>38</v>
      </c>
      <c r="D10" s="134" t="s">
        <v>39</v>
      </c>
      <c r="E10" s="134" t="s">
        <v>333</v>
      </c>
      <c r="F10" s="134" t="s">
        <v>420</v>
      </c>
      <c r="G10" s="134" t="s">
        <v>284</v>
      </c>
      <c r="H10" s="134">
        <v>6</v>
      </c>
      <c r="I10" s="134" t="s">
        <v>290</v>
      </c>
      <c r="J10" s="134" t="s">
        <v>291</v>
      </c>
      <c r="K10" s="134">
        <v>6900</v>
      </c>
      <c r="L10" s="134">
        <v>1500</v>
      </c>
      <c r="M10" s="134">
        <v>10</v>
      </c>
      <c r="N10" s="135">
        <v>4885</v>
      </c>
      <c r="O10" s="134"/>
      <c r="P10" s="134"/>
      <c r="Q10" s="134"/>
      <c r="R10" s="134"/>
      <c r="S10" s="134"/>
      <c r="T10" s="134"/>
      <c r="U10" s="134"/>
      <c r="V10" s="134"/>
      <c r="W10" s="134"/>
      <c r="X10" s="134"/>
    </row>
    <row r="11" spans="1:24" ht="15" customHeight="1" x14ac:dyDescent="0.35">
      <c r="A11" s="134"/>
      <c r="B11" s="126" t="s">
        <v>232</v>
      </c>
      <c r="C11" s="136" t="s">
        <v>40</v>
      </c>
      <c r="D11" s="134" t="s">
        <v>39</v>
      </c>
      <c r="E11" s="134" t="s">
        <v>333</v>
      </c>
      <c r="F11" s="134" t="s">
        <v>420</v>
      </c>
      <c r="G11" s="134" t="s">
        <v>284</v>
      </c>
      <c r="H11" s="134">
        <v>6</v>
      </c>
      <c r="I11" s="134" t="s">
        <v>290</v>
      </c>
      <c r="J11" s="134" t="s">
        <v>291</v>
      </c>
      <c r="K11" s="134">
        <v>6900</v>
      </c>
      <c r="L11" s="134">
        <v>1500</v>
      </c>
      <c r="M11" s="134">
        <v>10</v>
      </c>
      <c r="N11" s="135">
        <v>4885</v>
      </c>
      <c r="O11" s="134"/>
      <c r="P11" s="134"/>
      <c r="Q11" s="134"/>
      <c r="R11" s="134"/>
      <c r="S11" s="134"/>
      <c r="T11" s="134"/>
      <c r="U11" s="134"/>
      <c r="V11" s="134"/>
      <c r="W11" s="134"/>
      <c r="X11" s="134"/>
    </row>
    <row r="12" spans="1:24" ht="15" customHeight="1" x14ac:dyDescent="0.35">
      <c r="A12" s="134"/>
      <c r="B12" s="126" t="s">
        <v>232</v>
      </c>
      <c r="C12" s="136" t="s">
        <v>41</v>
      </c>
      <c r="D12" s="134" t="s">
        <v>39</v>
      </c>
      <c r="E12" s="134" t="s">
        <v>333</v>
      </c>
      <c r="F12" s="134" t="s">
        <v>420</v>
      </c>
      <c r="G12" s="134" t="s">
        <v>284</v>
      </c>
      <c r="H12" s="134">
        <v>6</v>
      </c>
      <c r="I12" s="134" t="s">
        <v>290</v>
      </c>
      <c r="J12" s="134" t="s">
        <v>291</v>
      </c>
      <c r="K12" s="134">
        <v>6900</v>
      </c>
      <c r="L12" s="134">
        <v>1500</v>
      </c>
      <c r="M12" s="134">
        <v>10</v>
      </c>
      <c r="N12" s="135">
        <v>4885</v>
      </c>
      <c r="O12" s="134"/>
      <c r="P12" s="134"/>
      <c r="Q12" s="134"/>
      <c r="R12" s="134"/>
      <c r="S12" s="134"/>
      <c r="T12" s="134"/>
      <c r="U12" s="134"/>
      <c r="V12" s="134"/>
      <c r="W12" s="134"/>
      <c r="X12" s="134"/>
    </row>
    <row r="13" spans="1:24" ht="15" customHeight="1" x14ac:dyDescent="0.35">
      <c r="A13" s="134">
        <v>3</v>
      </c>
      <c r="B13" s="126" t="s">
        <v>219</v>
      </c>
      <c r="C13" s="136" t="s">
        <v>16</v>
      </c>
      <c r="D13" s="134" t="s">
        <v>17</v>
      </c>
      <c r="E13" s="134" t="s">
        <v>334</v>
      </c>
      <c r="F13" s="134" t="s">
        <v>420</v>
      </c>
      <c r="G13" s="134" t="s">
        <v>284</v>
      </c>
      <c r="H13" s="134">
        <v>14</v>
      </c>
      <c r="I13" s="134" t="s">
        <v>290</v>
      </c>
      <c r="J13" s="134" t="s">
        <v>291</v>
      </c>
      <c r="K13" s="134">
        <v>8000</v>
      </c>
      <c r="L13" s="134">
        <v>1500</v>
      </c>
      <c r="M13" s="134">
        <v>4</v>
      </c>
      <c r="N13" s="135">
        <v>5300</v>
      </c>
      <c r="O13" s="134">
        <f>SUM(N13:N18)</f>
        <v>25220</v>
      </c>
      <c r="P13" s="130">
        <v>25220</v>
      </c>
      <c r="Q13" s="126" t="s">
        <v>219</v>
      </c>
      <c r="R13" s="126" t="s">
        <v>220</v>
      </c>
      <c r="S13" s="126" t="s">
        <v>221</v>
      </c>
      <c r="T13" s="126" t="s">
        <v>222</v>
      </c>
      <c r="U13" s="126" t="s">
        <v>223</v>
      </c>
      <c r="V13" s="126" t="s">
        <v>224</v>
      </c>
      <c r="W13" s="126" t="s">
        <v>225</v>
      </c>
      <c r="X13" s="126">
        <v>5400256000</v>
      </c>
    </row>
    <row r="14" spans="1:24" ht="15" customHeight="1" x14ac:dyDescent="0.35">
      <c r="A14" s="134"/>
      <c r="B14" s="126" t="s">
        <v>219</v>
      </c>
      <c r="C14" s="136" t="s">
        <v>18</v>
      </c>
      <c r="D14" s="134" t="s">
        <v>19</v>
      </c>
      <c r="E14" s="134" t="s">
        <v>333</v>
      </c>
      <c r="F14" s="134" t="s">
        <v>420</v>
      </c>
      <c r="G14" s="134" t="s">
        <v>284</v>
      </c>
      <c r="H14" s="134">
        <v>2</v>
      </c>
      <c r="I14" s="134" t="s">
        <v>290</v>
      </c>
      <c r="J14" s="134" t="s">
        <v>291</v>
      </c>
      <c r="K14" s="134">
        <v>6900</v>
      </c>
      <c r="L14" s="134">
        <v>1500</v>
      </c>
      <c r="M14" s="134">
        <v>10</v>
      </c>
      <c r="N14" s="135">
        <v>1650</v>
      </c>
      <c r="O14" s="134"/>
      <c r="P14" s="134"/>
      <c r="Q14" s="134"/>
      <c r="R14" s="134"/>
      <c r="S14" s="134"/>
      <c r="T14" s="134"/>
      <c r="U14" s="134"/>
      <c r="V14" s="134"/>
      <c r="W14" s="134"/>
      <c r="X14" s="134"/>
    </row>
    <row r="15" spans="1:24" ht="15" customHeight="1" x14ac:dyDescent="0.35">
      <c r="A15" s="134"/>
      <c r="B15" s="126" t="s">
        <v>219</v>
      </c>
      <c r="C15" s="136" t="s">
        <v>20</v>
      </c>
      <c r="D15" s="134" t="s">
        <v>21</v>
      </c>
      <c r="E15" s="134" t="s">
        <v>335</v>
      </c>
      <c r="F15" s="134" t="s">
        <v>419</v>
      </c>
      <c r="G15" s="134" t="s">
        <v>284</v>
      </c>
      <c r="H15" s="134">
        <v>4</v>
      </c>
      <c r="I15" s="134" t="s">
        <v>290</v>
      </c>
      <c r="J15" s="134" t="s">
        <v>291</v>
      </c>
      <c r="K15" s="134">
        <v>8000</v>
      </c>
      <c r="L15" s="134">
        <v>1500</v>
      </c>
      <c r="M15" s="134">
        <v>12</v>
      </c>
      <c r="N15" s="135">
        <v>4560</v>
      </c>
      <c r="O15" s="134"/>
      <c r="P15" s="134"/>
      <c r="Q15" s="134"/>
      <c r="R15" s="134"/>
      <c r="S15" s="134"/>
      <c r="T15" s="134"/>
      <c r="U15" s="134"/>
      <c r="V15" s="134"/>
      <c r="W15" s="134"/>
      <c r="X15" s="134"/>
    </row>
    <row r="16" spans="1:24" ht="15" customHeight="1" x14ac:dyDescent="0.35">
      <c r="A16" s="134"/>
      <c r="B16" s="126" t="s">
        <v>219</v>
      </c>
      <c r="C16" s="136" t="s">
        <v>22</v>
      </c>
      <c r="D16" s="134" t="s">
        <v>23</v>
      </c>
      <c r="E16" s="134" t="s">
        <v>335</v>
      </c>
      <c r="F16" s="134" t="s">
        <v>419</v>
      </c>
      <c r="G16" s="134" t="s">
        <v>284</v>
      </c>
      <c r="H16" s="134">
        <v>4</v>
      </c>
      <c r="I16" s="134" t="s">
        <v>290</v>
      </c>
      <c r="J16" s="134" t="s">
        <v>291</v>
      </c>
      <c r="K16" s="134">
        <v>8000</v>
      </c>
      <c r="L16" s="134">
        <v>1500</v>
      </c>
      <c r="M16" s="134">
        <v>12</v>
      </c>
      <c r="N16" s="135">
        <v>4560</v>
      </c>
      <c r="O16" s="134"/>
      <c r="P16" s="134"/>
      <c r="Q16" s="134"/>
      <c r="R16" s="134"/>
      <c r="S16" s="134"/>
      <c r="T16" s="134"/>
      <c r="U16" s="134"/>
      <c r="V16" s="134"/>
      <c r="W16" s="134"/>
      <c r="X16" s="134"/>
    </row>
    <row r="17" spans="1:24" ht="15" customHeight="1" x14ac:dyDescent="0.35">
      <c r="A17" s="134"/>
      <c r="B17" s="126" t="s">
        <v>219</v>
      </c>
      <c r="C17" s="136" t="s">
        <v>24</v>
      </c>
      <c r="D17" s="134" t="s">
        <v>23</v>
      </c>
      <c r="E17" s="134" t="s">
        <v>335</v>
      </c>
      <c r="F17" s="134" t="s">
        <v>419</v>
      </c>
      <c r="G17" s="134" t="s">
        <v>284</v>
      </c>
      <c r="H17" s="134">
        <v>4</v>
      </c>
      <c r="I17" s="134" t="s">
        <v>290</v>
      </c>
      <c r="J17" s="134" t="s">
        <v>291</v>
      </c>
      <c r="K17" s="134">
        <v>8000</v>
      </c>
      <c r="L17" s="134">
        <v>1500</v>
      </c>
      <c r="M17" s="134">
        <v>12</v>
      </c>
      <c r="N17" s="135">
        <v>4570</v>
      </c>
      <c r="O17" s="134"/>
      <c r="P17" s="134"/>
      <c r="Q17" s="134"/>
      <c r="R17" s="134"/>
      <c r="S17" s="134"/>
      <c r="T17" s="134"/>
      <c r="U17" s="134"/>
      <c r="V17" s="134"/>
      <c r="W17" s="134"/>
      <c r="X17" s="134"/>
    </row>
    <row r="18" spans="1:24" ht="15" customHeight="1" x14ac:dyDescent="0.35">
      <c r="A18" s="134"/>
      <c r="B18" s="126" t="s">
        <v>219</v>
      </c>
      <c r="C18" s="136" t="s">
        <v>25</v>
      </c>
      <c r="D18" s="134" t="s">
        <v>23</v>
      </c>
      <c r="E18" s="134" t="s">
        <v>335</v>
      </c>
      <c r="F18" s="134" t="s">
        <v>419</v>
      </c>
      <c r="G18" s="134" t="s">
        <v>284</v>
      </c>
      <c r="H18" s="134">
        <v>4</v>
      </c>
      <c r="I18" s="134" t="s">
        <v>290</v>
      </c>
      <c r="J18" s="134" t="s">
        <v>291</v>
      </c>
      <c r="K18" s="134">
        <v>8000</v>
      </c>
      <c r="L18" s="134">
        <v>1500</v>
      </c>
      <c r="M18" s="134">
        <v>12</v>
      </c>
      <c r="N18" s="135">
        <v>4580</v>
      </c>
      <c r="O18" s="134"/>
      <c r="P18" s="134"/>
      <c r="Q18" s="134"/>
      <c r="R18" s="134"/>
      <c r="S18" s="134"/>
      <c r="T18" s="134"/>
      <c r="U18" s="134"/>
      <c r="V18" s="134"/>
      <c r="W18" s="134"/>
      <c r="X18" s="134"/>
    </row>
    <row r="19" spans="1:24" ht="15" customHeight="1" x14ac:dyDescent="0.35">
      <c r="A19" s="134">
        <v>4</v>
      </c>
      <c r="B19" s="126" t="s">
        <v>250</v>
      </c>
      <c r="C19" s="136" t="s">
        <v>62</v>
      </c>
      <c r="D19" s="134" t="s">
        <v>17</v>
      </c>
      <c r="E19" s="134" t="s">
        <v>334</v>
      </c>
      <c r="F19" s="134" t="s">
        <v>420</v>
      </c>
      <c r="G19" s="134" t="s">
        <v>284</v>
      </c>
      <c r="H19" s="134">
        <v>14</v>
      </c>
      <c r="I19" s="134" t="s">
        <v>290</v>
      </c>
      <c r="J19" s="134" t="s">
        <v>291</v>
      </c>
      <c r="K19" s="134">
        <v>8000</v>
      </c>
      <c r="L19" s="134">
        <v>1500</v>
      </c>
      <c r="M19" s="134">
        <v>4</v>
      </c>
      <c r="N19" s="135">
        <v>5300</v>
      </c>
      <c r="O19" s="134">
        <f>SUM(N19:N23)</f>
        <v>25300</v>
      </c>
      <c r="P19" s="130" t="s">
        <v>322</v>
      </c>
      <c r="Q19" s="126" t="s">
        <v>250</v>
      </c>
      <c r="R19" s="126" t="s">
        <v>220</v>
      </c>
      <c r="S19" s="126" t="s">
        <v>251</v>
      </c>
      <c r="T19" s="126" t="s">
        <v>252</v>
      </c>
      <c r="U19" s="126" t="s">
        <v>253</v>
      </c>
      <c r="V19" s="126" t="s">
        <v>254</v>
      </c>
      <c r="W19" s="126" t="s">
        <v>255</v>
      </c>
      <c r="X19" s="126">
        <v>5557806364</v>
      </c>
    </row>
    <row r="20" spans="1:24" ht="15" customHeight="1" x14ac:dyDescent="0.35">
      <c r="A20" s="134"/>
      <c r="B20" s="126" t="s">
        <v>250</v>
      </c>
      <c r="C20" s="136" t="s">
        <v>63</v>
      </c>
      <c r="D20" s="134" t="s">
        <v>64</v>
      </c>
      <c r="E20" s="134" t="s">
        <v>334</v>
      </c>
      <c r="F20" s="134" t="s">
        <v>420</v>
      </c>
      <c r="G20" s="134" t="s">
        <v>284</v>
      </c>
      <c r="H20" s="134">
        <v>12</v>
      </c>
      <c r="I20" s="134" t="s">
        <v>290</v>
      </c>
      <c r="J20" s="134" t="s">
        <v>291</v>
      </c>
      <c r="K20" s="134">
        <v>8000</v>
      </c>
      <c r="L20" s="134">
        <v>1500</v>
      </c>
      <c r="M20" s="134">
        <v>4</v>
      </c>
      <c r="N20" s="135">
        <v>4560</v>
      </c>
      <c r="O20" s="134"/>
      <c r="P20" s="134"/>
      <c r="Q20" s="134"/>
      <c r="R20" s="134"/>
      <c r="S20" s="134"/>
      <c r="T20" s="134"/>
      <c r="U20" s="134"/>
      <c r="V20" s="134"/>
      <c r="W20" s="134"/>
      <c r="X20" s="134"/>
    </row>
    <row r="21" spans="1:24" ht="15" customHeight="1" x14ac:dyDescent="0.35">
      <c r="A21" s="134"/>
      <c r="B21" s="126" t="s">
        <v>250</v>
      </c>
      <c r="C21" s="136" t="s">
        <v>65</v>
      </c>
      <c r="D21" s="134" t="s">
        <v>36</v>
      </c>
      <c r="E21" s="134" t="s">
        <v>332</v>
      </c>
      <c r="F21" s="134" t="s">
        <v>420</v>
      </c>
      <c r="G21" s="134" t="s">
        <v>284</v>
      </c>
      <c r="H21" s="134">
        <v>8</v>
      </c>
      <c r="I21" s="134" t="s">
        <v>290</v>
      </c>
      <c r="J21" s="134" t="s">
        <v>291</v>
      </c>
      <c r="K21" s="134">
        <v>6900</v>
      </c>
      <c r="L21" s="134">
        <v>1500</v>
      </c>
      <c r="M21" s="134">
        <v>8</v>
      </c>
      <c r="N21" s="135">
        <v>5250</v>
      </c>
      <c r="O21" s="134"/>
      <c r="P21" s="134"/>
      <c r="Q21" s="134"/>
      <c r="R21" s="134"/>
      <c r="S21" s="134"/>
      <c r="T21" s="134"/>
      <c r="U21" s="134"/>
      <c r="V21" s="134"/>
      <c r="W21" s="134"/>
      <c r="X21" s="134"/>
    </row>
    <row r="22" spans="1:24" ht="15" customHeight="1" x14ac:dyDescent="0.35">
      <c r="A22" s="134"/>
      <c r="B22" s="126" t="s">
        <v>250</v>
      </c>
      <c r="C22" s="136" t="s">
        <v>66</v>
      </c>
      <c r="D22" s="134" t="s">
        <v>36</v>
      </c>
      <c r="E22" s="134" t="s">
        <v>332</v>
      </c>
      <c r="F22" s="134" t="s">
        <v>420</v>
      </c>
      <c r="G22" s="134" t="s">
        <v>284</v>
      </c>
      <c r="H22" s="134">
        <v>8</v>
      </c>
      <c r="I22" s="134" t="s">
        <v>290</v>
      </c>
      <c r="J22" s="134" t="s">
        <v>291</v>
      </c>
      <c r="K22" s="134">
        <v>6900</v>
      </c>
      <c r="L22" s="134">
        <v>1500</v>
      </c>
      <c r="M22" s="134">
        <v>8</v>
      </c>
      <c r="N22" s="135">
        <v>5250</v>
      </c>
      <c r="O22" s="134"/>
      <c r="P22" s="134"/>
      <c r="Q22" s="134"/>
      <c r="R22" s="134"/>
      <c r="S22" s="134"/>
      <c r="T22" s="134"/>
      <c r="U22" s="134"/>
      <c r="V22" s="134"/>
      <c r="W22" s="134"/>
      <c r="X22" s="134"/>
    </row>
    <row r="23" spans="1:24" ht="15" customHeight="1" x14ac:dyDescent="0.35">
      <c r="A23" s="134"/>
      <c r="B23" s="126" t="s">
        <v>250</v>
      </c>
      <c r="C23" s="136" t="s">
        <v>67</v>
      </c>
      <c r="D23" s="134" t="s">
        <v>34</v>
      </c>
      <c r="E23" s="134" t="s">
        <v>336</v>
      </c>
      <c r="F23" s="134" t="s">
        <v>419</v>
      </c>
      <c r="G23" s="134" t="s">
        <v>284</v>
      </c>
      <c r="H23" s="134">
        <v>5</v>
      </c>
      <c r="I23" s="134" t="s">
        <v>290</v>
      </c>
      <c r="J23" s="134" t="s">
        <v>291</v>
      </c>
      <c r="K23" s="134">
        <v>6900</v>
      </c>
      <c r="L23" s="134">
        <v>1500</v>
      </c>
      <c r="M23" s="134">
        <v>12</v>
      </c>
      <c r="N23" s="135">
        <v>4940</v>
      </c>
      <c r="O23" s="134"/>
      <c r="P23" s="134"/>
      <c r="Q23" s="134"/>
      <c r="R23" s="134"/>
      <c r="S23" s="134"/>
      <c r="T23" s="134"/>
      <c r="U23" s="134"/>
      <c r="V23" s="134"/>
      <c r="W23" s="134"/>
      <c r="X23" s="134"/>
    </row>
    <row r="24" spans="1:24" ht="15" customHeight="1" x14ac:dyDescent="0.35">
      <c r="A24" s="134">
        <v>5</v>
      </c>
      <c r="B24" s="126" t="s">
        <v>244</v>
      </c>
      <c r="C24" s="136" t="s">
        <v>51</v>
      </c>
      <c r="D24" s="134" t="s">
        <v>52</v>
      </c>
      <c r="E24" s="134" t="s">
        <v>337</v>
      </c>
      <c r="F24" s="134" t="s">
        <v>420</v>
      </c>
      <c r="G24" s="134" t="s">
        <v>284</v>
      </c>
      <c r="H24" s="134">
        <v>12</v>
      </c>
      <c r="I24" s="134" t="s">
        <v>290</v>
      </c>
      <c r="J24" s="134" t="s">
        <v>291</v>
      </c>
      <c r="K24" s="134">
        <v>6000</v>
      </c>
      <c r="L24" s="134">
        <v>1500</v>
      </c>
      <c r="M24" s="134">
        <v>6</v>
      </c>
      <c r="N24" s="135">
        <v>5140</v>
      </c>
      <c r="O24" s="134">
        <f>SUM(N24:N28)</f>
        <v>25160</v>
      </c>
      <c r="P24" s="130" t="s">
        <v>314</v>
      </c>
      <c r="Q24" s="126" t="s">
        <v>244</v>
      </c>
      <c r="R24" s="126" t="s">
        <v>220</v>
      </c>
      <c r="S24" s="126" t="s">
        <v>245</v>
      </c>
      <c r="T24" s="126" t="s">
        <v>246</v>
      </c>
      <c r="U24" s="126" t="s">
        <v>247</v>
      </c>
      <c r="V24" s="126" t="s">
        <v>248</v>
      </c>
      <c r="W24" s="126" t="s">
        <v>249</v>
      </c>
      <c r="X24" s="126">
        <v>5454191831</v>
      </c>
    </row>
    <row r="25" spans="1:24" ht="15" customHeight="1" x14ac:dyDescent="0.35">
      <c r="A25" s="134"/>
      <c r="B25" s="126" t="s">
        <v>244</v>
      </c>
      <c r="C25" s="136" t="s">
        <v>53</v>
      </c>
      <c r="D25" s="134" t="s">
        <v>39</v>
      </c>
      <c r="E25" s="134" t="s">
        <v>333</v>
      </c>
      <c r="F25" s="134" t="s">
        <v>420</v>
      </c>
      <c r="G25" s="134" t="s">
        <v>284</v>
      </c>
      <c r="H25" s="134">
        <v>6</v>
      </c>
      <c r="I25" s="134" t="s">
        <v>290</v>
      </c>
      <c r="J25" s="134" t="s">
        <v>291</v>
      </c>
      <c r="K25" s="134">
        <v>6900</v>
      </c>
      <c r="L25" s="134">
        <v>1500</v>
      </c>
      <c r="M25" s="134">
        <v>10</v>
      </c>
      <c r="N25" s="135">
        <v>4900</v>
      </c>
      <c r="O25" s="134"/>
      <c r="P25" s="134"/>
      <c r="Q25" s="134"/>
      <c r="R25" s="134"/>
      <c r="S25" s="134"/>
      <c r="T25" s="134"/>
      <c r="U25" s="134"/>
      <c r="V25" s="134"/>
      <c r="W25" s="134"/>
      <c r="X25" s="134"/>
    </row>
    <row r="26" spans="1:24" ht="15" customHeight="1" x14ac:dyDescent="0.35">
      <c r="A26" s="134"/>
      <c r="B26" s="126" t="s">
        <v>244</v>
      </c>
      <c r="C26" s="136" t="s">
        <v>54</v>
      </c>
      <c r="D26" s="134" t="s">
        <v>21</v>
      </c>
      <c r="E26" s="134" t="s">
        <v>335</v>
      </c>
      <c r="F26" s="134" t="s">
        <v>419</v>
      </c>
      <c r="G26" s="134" t="s">
        <v>284</v>
      </c>
      <c r="H26" s="134">
        <v>4</v>
      </c>
      <c r="I26" s="134" t="s">
        <v>290</v>
      </c>
      <c r="J26" s="134" t="s">
        <v>291</v>
      </c>
      <c r="K26" s="134">
        <v>8000</v>
      </c>
      <c r="L26" s="134">
        <v>1500</v>
      </c>
      <c r="M26" s="134">
        <v>12</v>
      </c>
      <c r="N26" s="135">
        <v>4540</v>
      </c>
      <c r="O26" s="134"/>
      <c r="P26" s="134"/>
      <c r="Q26" s="134"/>
      <c r="R26" s="134"/>
      <c r="S26" s="134"/>
      <c r="T26" s="134"/>
      <c r="U26" s="134"/>
      <c r="V26" s="134"/>
      <c r="W26" s="134"/>
      <c r="X26" s="134"/>
    </row>
    <row r="27" spans="1:24" ht="15" customHeight="1" x14ac:dyDescent="0.35">
      <c r="A27" s="134"/>
      <c r="B27" s="126" t="s">
        <v>244</v>
      </c>
      <c r="C27" s="136" t="s">
        <v>55</v>
      </c>
      <c r="D27" s="134" t="s">
        <v>49</v>
      </c>
      <c r="E27" s="134" t="s">
        <v>335</v>
      </c>
      <c r="F27" s="134" t="s">
        <v>419</v>
      </c>
      <c r="G27" s="134" t="s">
        <v>284</v>
      </c>
      <c r="H27" s="134">
        <v>5</v>
      </c>
      <c r="I27" s="134" t="s">
        <v>290</v>
      </c>
      <c r="J27" s="134" t="s">
        <v>291</v>
      </c>
      <c r="K27" s="134">
        <v>8000</v>
      </c>
      <c r="L27" s="134">
        <v>1500</v>
      </c>
      <c r="M27" s="134">
        <v>12</v>
      </c>
      <c r="N27" s="135">
        <v>5680</v>
      </c>
      <c r="O27" s="134"/>
      <c r="P27" s="134"/>
      <c r="Q27" s="134"/>
      <c r="R27" s="134"/>
      <c r="S27" s="134"/>
      <c r="T27" s="134"/>
      <c r="U27" s="134"/>
      <c r="V27" s="134"/>
      <c r="W27" s="134"/>
      <c r="X27" s="134"/>
    </row>
    <row r="28" spans="1:24" ht="15" customHeight="1" x14ac:dyDescent="0.35">
      <c r="A28" s="134"/>
      <c r="B28" s="126" t="s">
        <v>244</v>
      </c>
      <c r="C28" s="136" t="s">
        <v>56</v>
      </c>
      <c r="D28" s="134" t="s">
        <v>47</v>
      </c>
      <c r="E28" s="134" t="s">
        <v>336</v>
      </c>
      <c r="F28" s="134" t="s">
        <v>419</v>
      </c>
      <c r="G28" s="134" t="s">
        <v>284</v>
      </c>
      <c r="H28" s="134">
        <v>5</v>
      </c>
      <c r="I28" s="134" t="s">
        <v>290</v>
      </c>
      <c r="J28" s="134" t="s">
        <v>291</v>
      </c>
      <c r="K28" s="134">
        <v>6900</v>
      </c>
      <c r="L28" s="134">
        <v>1500</v>
      </c>
      <c r="M28" s="134">
        <v>12</v>
      </c>
      <c r="N28" s="135">
        <v>4900</v>
      </c>
      <c r="O28" s="134"/>
      <c r="P28" s="134"/>
      <c r="Q28" s="134"/>
      <c r="R28" s="134"/>
      <c r="S28" s="134"/>
      <c r="T28" s="134"/>
      <c r="U28" s="134"/>
      <c r="V28" s="134"/>
      <c r="W28" s="134"/>
      <c r="X28" s="134"/>
    </row>
    <row r="29" spans="1:24" ht="15" customHeight="1" x14ac:dyDescent="0.35">
      <c r="A29" s="134">
        <v>6</v>
      </c>
      <c r="B29" s="126" t="s">
        <v>259</v>
      </c>
      <c r="C29" s="136" t="s">
        <v>73</v>
      </c>
      <c r="D29" s="134" t="s">
        <v>43</v>
      </c>
      <c r="E29" s="134" t="s">
        <v>338</v>
      </c>
      <c r="F29" s="134" t="s">
        <v>420</v>
      </c>
      <c r="G29" s="134" t="s">
        <v>284</v>
      </c>
      <c r="H29" s="134">
        <v>17</v>
      </c>
      <c r="I29" s="134" t="s">
        <v>290</v>
      </c>
      <c r="J29" s="134" t="s">
        <v>291</v>
      </c>
      <c r="K29" s="134">
        <v>8000</v>
      </c>
      <c r="L29" s="134">
        <v>1500</v>
      </c>
      <c r="M29" s="134">
        <v>3</v>
      </c>
      <c r="N29" s="135">
        <v>4780</v>
      </c>
      <c r="O29" s="134">
        <f>SUM(N29:N33)</f>
        <v>25180</v>
      </c>
      <c r="P29" s="130" t="s">
        <v>309</v>
      </c>
      <c r="Q29" s="126" t="s">
        <v>259</v>
      </c>
      <c r="R29" s="126" t="s">
        <v>220</v>
      </c>
      <c r="S29" s="126" t="s">
        <v>260</v>
      </c>
      <c r="T29" s="126" t="s">
        <v>261</v>
      </c>
      <c r="U29" s="126" t="s">
        <v>262</v>
      </c>
      <c r="V29" s="126" t="s">
        <v>263</v>
      </c>
      <c r="W29" s="126" t="s">
        <v>264</v>
      </c>
      <c r="X29" s="126">
        <v>5398168504</v>
      </c>
    </row>
    <row r="30" spans="1:24" ht="15" customHeight="1" x14ac:dyDescent="0.35">
      <c r="A30" s="134"/>
      <c r="B30" s="126" t="s">
        <v>259</v>
      </c>
      <c r="C30" s="136" t="s">
        <v>74</v>
      </c>
      <c r="D30" s="134" t="s">
        <v>36</v>
      </c>
      <c r="E30" s="134" t="s">
        <v>332</v>
      </c>
      <c r="F30" s="134" t="s">
        <v>420</v>
      </c>
      <c r="G30" s="134" t="s">
        <v>284</v>
      </c>
      <c r="H30" s="134">
        <v>8</v>
      </c>
      <c r="I30" s="134" t="s">
        <v>290</v>
      </c>
      <c r="J30" s="134" t="s">
        <v>291</v>
      </c>
      <c r="K30" s="134">
        <v>6900</v>
      </c>
      <c r="L30" s="134">
        <v>1500</v>
      </c>
      <c r="M30" s="134">
        <v>8</v>
      </c>
      <c r="N30" s="135">
        <v>5220</v>
      </c>
      <c r="O30" s="134"/>
      <c r="P30" s="134"/>
      <c r="Q30" s="134"/>
      <c r="R30" s="134"/>
      <c r="S30" s="134"/>
      <c r="T30" s="134"/>
      <c r="U30" s="134"/>
      <c r="V30" s="134"/>
      <c r="W30" s="134"/>
      <c r="X30" s="134"/>
    </row>
    <row r="31" spans="1:24" ht="15" customHeight="1" x14ac:dyDescent="0.35">
      <c r="A31" s="134"/>
      <c r="B31" s="126" t="s">
        <v>259</v>
      </c>
      <c r="C31" s="136" t="s">
        <v>75</v>
      </c>
      <c r="D31" s="134" t="s">
        <v>47</v>
      </c>
      <c r="E31" s="134" t="s">
        <v>336</v>
      </c>
      <c r="F31" s="134" t="s">
        <v>419</v>
      </c>
      <c r="G31" s="134" t="s">
        <v>284</v>
      </c>
      <c r="H31" s="134">
        <v>5</v>
      </c>
      <c r="I31" s="134" t="s">
        <v>290</v>
      </c>
      <c r="J31" s="134" t="s">
        <v>291</v>
      </c>
      <c r="K31" s="134">
        <v>6900</v>
      </c>
      <c r="L31" s="134">
        <v>1500</v>
      </c>
      <c r="M31" s="134">
        <v>12</v>
      </c>
      <c r="N31" s="135">
        <v>4920</v>
      </c>
      <c r="O31" s="134"/>
      <c r="P31" s="134"/>
      <c r="Q31" s="134"/>
      <c r="R31" s="134"/>
      <c r="S31" s="134"/>
      <c r="T31" s="134"/>
      <c r="U31" s="134"/>
      <c r="V31" s="134"/>
      <c r="W31" s="134"/>
      <c r="X31" s="134"/>
    </row>
    <row r="32" spans="1:24" ht="15" customHeight="1" x14ac:dyDescent="0.35">
      <c r="A32" s="134"/>
      <c r="B32" s="126" t="s">
        <v>259</v>
      </c>
      <c r="C32" s="136" t="s">
        <v>76</v>
      </c>
      <c r="D32" s="134" t="s">
        <v>49</v>
      </c>
      <c r="E32" s="134" t="s">
        <v>335</v>
      </c>
      <c r="F32" s="134" t="s">
        <v>419</v>
      </c>
      <c r="G32" s="134" t="s">
        <v>284</v>
      </c>
      <c r="H32" s="134">
        <v>5</v>
      </c>
      <c r="I32" s="134" t="s">
        <v>290</v>
      </c>
      <c r="J32" s="134" t="s">
        <v>291</v>
      </c>
      <c r="K32" s="134">
        <v>8000</v>
      </c>
      <c r="L32" s="134">
        <v>1500</v>
      </c>
      <c r="M32" s="134">
        <v>12</v>
      </c>
      <c r="N32" s="135">
        <v>5700</v>
      </c>
      <c r="O32" s="134"/>
      <c r="P32" s="134"/>
      <c r="Q32" s="134"/>
      <c r="R32" s="134"/>
      <c r="S32" s="134"/>
      <c r="T32" s="134"/>
      <c r="U32" s="134"/>
      <c r="V32" s="134"/>
      <c r="W32" s="134"/>
      <c r="X32" s="134"/>
    </row>
    <row r="33" spans="1:24" ht="15" customHeight="1" x14ac:dyDescent="0.35">
      <c r="A33" s="134"/>
      <c r="B33" s="126" t="s">
        <v>259</v>
      </c>
      <c r="C33" s="136" t="s">
        <v>77</v>
      </c>
      <c r="D33" s="134" t="s">
        <v>23</v>
      </c>
      <c r="E33" s="134" t="s">
        <v>335</v>
      </c>
      <c r="F33" s="134" t="s">
        <v>419</v>
      </c>
      <c r="G33" s="134" t="s">
        <v>284</v>
      </c>
      <c r="H33" s="134">
        <v>4</v>
      </c>
      <c r="I33" s="134" t="s">
        <v>290</v>
      </c>
      <c r="J33" s="134" t="s">
        <v>291</v>
      </c>
      <c r="K33" s="134">
        <v>8000</v>
      </c>
      <c r="L33" s="134">
        <v>1500</v>
      </c>
      <c r="M33" s="134">
        <v>12</v>
      </c>
      <c r="N33" s="135">
        <v>4560</v>
      </c>
      <c r="O33" s="134"/>
      <c r="P33" s="134"/>
      <c r="Q33" s="134"/>
      <c r="R33" s="134"/>
      <c r="S33" s="134"/>
      <c r="T33" s="134"/>
      <c r="U33" s="134"/>
      <c r="V33" s="134"/>
      <c r="W33" s="134"/>
      <c r="X33" s="134"/>
    </row>
    <row r="34" spans="1:24" ht="15" customHeight="1" x14ac:dyDescent="0.35">
      <c r="A34" s="134">
        <v>7</v>
      </c>
      <c r="B34" s="126" t="s">
        <v>238</v>
      </c>
      <c r="C34" s="136" t="s">
        <v>42</v>
      </c>
      <c r="D34" s="134" t="s">
        <v>43</v>
      </c>
      <c r="E34" s="134" t="s">
        <v>338</v>
      </c>
      <c r="F34" s="134" t="s">
        <v>420</v>
      </c>
      <c r="G34" s="134" t="s">
        <v>284</v>
      </c>
      <c r="H34" s="134">
        <v>17</v>
      </c>
      <c r="I34" s="134" t="s">
        <v>290</v>
      </c>
      <c r="J34" s="134" t="s">
        <v>291</v>
      </c>
      <c r="K34" s="134">
        <v>8000</v>
      </c>
      <c r="L34" s="134">
        <v>1500</v>
      </c>
      <c r="M34" s="134">
        <v>3</v>
      </c>
      <c r="N34" s="135">
        <v>4760</v>
      </c>
      <c r="O34" s="134">
        <f>SUM(N34:N38)</f>
        <v>25120</v>
      </c>
      <c r="P34" s="130" t="s">
        <v>306</v>
      </c>
      <c r="Q34" s="126" t="s">
        <v>238</v>
      </c>
      <c r="R34" s="126" t="s">
        <v>220</v>
      </c>
      <c r="S34" s="126" t="s">
        <v>239</v>
      </c>
      <c r="T34" s="126" t="s">
        <v>240</v>
      </c>
      <c r="U34" s="126" t="s">
        <v>241</v>
      </c>
      <c r="V34" s="126" t="s">
        <v>242</v>
      </c>
      <c r="W34" s="126" t="s">
        <v>243</v>
      </c>
      <c r="X34" s="126">
        <v>5382203477</v>
      </c>
    </row>
    <row r="35" spans="1:24" ht="15" customHeight="1" x14ac:dyDescent="0.35">
      <c r="A35" s="134"/>
      <c r="B35" s="126" t="s">
        <v>238</v>
      </c>
      <c r="C35" s="136" t="s">
        <v>44</v>
      </c>
      <c r="D35" s="134" t="s">
        <v>45</v>
      </c>
      <c r="E35" s="134" t="s">
        <v>333</v>
      </c>
      <c r="F35" s="134" t="s">
        <v>420</v>
      </c>
      <c r="G35" s="134" t="s">
        <v>284</v>
      </c>
      <c r="H35" s="134">
        <v>5</v>
      </c>
      <c r="I35" s="134" t="s">
        <v>290</v>
      </c>
      <c r="J35" s="134" t="s">
        <v>291</v>
      </c>
      <c r="K35" s="134">
        <v>6900</v>
      </c>
      <c r="L35" s="134">
        <v>1500</v>
      </c>
      <c r="M35" s="134">
        <v>10</v>
      </c>
      <c r="N35" s="135">
        <v>4100</v>
      </c>
      <c r="O35" s="134"/>
      <c r="P35" s="134"/>
      <c r="Q35" s="134"/>
      <c r="R35" s="134"/>
      <c r="S35" s="134"/>
      <c r="T35" s="134"/>
      <c r="U35" s="134"/>
      <c r="V35" s="134"/>
      <c r="W35" s="134"/>
      <c r="X35" s="134"/>
    </row>
    <row r="36" spans="1:24" ht="15" customHeight="1" x14ac:dyDescent="0.35">
      <c r="A36" s="134"/>
      <c r="B36" s="126" t="s">
        <v>238</v>
      </c>
      <c r="C36" s="136" t="s">
        <v>46</v>
      </c>
      <c r="D36" s="134" t="s">
        <v>47</v>
      </c>
      <c r="E36" s="134" t="s">
        <v>336</v>
      </c>
      <c r="F36" s="134" t="s">
        <v>419</v>
      </c>
      <c r="G36" s="134" t="s">
        <v>284</v>
      </c>
      <c r="H36" s="134">
        <v>5</v>
      </c>
      <c r="I36" s="134" t="s">
        <v>290</v>
      </c>
      <c r="J36" s="134" t="s">
        <v>291</v>
      </c>
      <c r="K36" s="134">
        <v>6900</v>
      </c>
      <c r="L36" s="134">
        <v>1500</v>
      </c>
      <c r="M36" s="134">
        <v>12</v>
      </c>
      <c r="N36" s="135">
        <v>4900</v>
      </c>
      <c r="O36" s="134"/>
      <c r="P36" s="134"/>
      <c r="Q36" s="134"/>
      <c r="R36" s="134"/>
      <c r="S36" s="134"/>
      <c r="T36" s="134"/>
      <c r="U36" s="134"/>
      <c r="V36" s="134"/>
      <c r="W36" s="134"/>
      <c r="X36" s="134"/>
    </row>
    <row r="37" spans="1:24" ht="15" customHeight="1" x14ac:dyDescent="0.35">
      <c r="A37" s="134"/>
      <c r="B37" s="126" t="s">
        <v>238</v>
      </c>
      <c r="C37" s="136" t="s">
        <v>48</v>
      </c>
      <c r="D37" s="134" t="s">
        <v>49</v>
      </c>
      <c r="E37" s="134" t="s">
        <v>335</v>
      </c>
      <c r="F37" s="134" t="s">
        <v>419</v>
      </c>
      <c r="G37" s="134" t="s">
        <v>284</v>
      </c>
      <c r="H37" s="134">
        <v>5</v>
      </c>
      <c r="I37" s="134" t="s">
        <v>290</v>
      </c>
      <c r="J37" s="134" t="s">
        <v>291</v>
      </c>
      <c r="K37" s="134">
        <v>8000</v>
      </c>
      <c r="L37" s="134">
        <v>1500</v>
      </c>
      <c r="M37" s="134">
        <v>12</v>
      </c>
      <c r="N37" s="135">
        <v>5680</v>
      </c>
      <c r="O37" s="134"/>
      <c r="P37" s="134"/>
      <c r="Q37" s="134"/>
      <c r="R37" s="134"/>
      <c r="S37" s="134"/>
      <c r="T37" s="134"/>
      <c r="U37" s="134"/>
      <c r="V37" s="134"/>
      <c r="W37" s="134"/>
      <c r="X37" s="134"/>
    </row>
    <row r="38" spans="1:24" ht="15" customHeight="1" x14ac:dyDescent="0.35">
      <c r="A38" s="134"/>
      <c r="B38" s="126" t="s">
        <v>238</v>
      </c>
      <c r="C38" s="136" t="s">
        <v>50</v>
      </c>
      <c r="D38" s="134" t="s">
        <v>49</v>
      </c>
      <c r="E38" s="134" t="s">
        <v>335</v>
      </c>
      <c r="F38" s="134" t="s">
        <v>419</v>
      </c>
      <c r="G38" s="134" t="s">
        <v>284</v>
      </c>
      <c r="H38" s="134">
        <v>5</v>
      </c>
      <c r="I38" s="134" t="s">
        <v>290</v>
      </c>
      <c r="J38" s="134" t="s">
        <v>291</v>
      </c>
      <c r="K38" s="134">
        <v>8000</v>
      </c>
      <c r="L38" s="134">
        <v>1500</v>
      </c>
      <c r="M38" s="134">
        <v>12</v>
      </c>
      <c r="N38" s="135">
        <v>5680</v>
      </c>
      <c r="O38" s="134"/>
      <c r="P38" s="134"/>
      <c r="Q38" s="134"/>
      <c r="R38" s="134"/>
      <c r="S38" s="134"/>
      <c r="T38" s="134"/>
      <c r="U38" s="134"/>
      <c r="V38" s="134"/>
      <c r="W38" s="134"/>
      <c r="X38" s="134"/>
    </row>
    <row r="39" spans="1:24" ht="15" customHeight="1" x14ac:dyDescent="0.35">
      <c r="A39" s="134">
        <v>8</v>
      </c>
      <c r="B39" s="126" t="s">
        <v>271</v>
      </c>
      <c r="C39" s="136" t="s">
        <v>68</v>
      </c>
      <c r="D39" s="134" t="s">
        <v>17</v>
      </c>
      <c r="E39" s="134" t="s">
        <v>334</v>
      </c>
      <c r="F39" s="134" t="s">
        <v>420</v>
      </c>
      <c r="G39" s="134" t="s">
        <v>284</v>
      </c>
      <c r="H39" s="134">
        <v>14</v>
      </c>
      <c r="I39" s="134" t="s">
        <v>290</v>
      </c>
      <c r="J39" s="134" t="s">
        <v>291</v>
      </c>
      <c r="K39" s="134">
        <v>8000</v>
      </c>
      <c r="L39" s="134">
        <v>1500</v>
      </c>
      <c r="M39" s="134">
        <v>4</v>
      </c>
      <c r="N39" s="135">
        <v>5300</v>
      </c>
      <c r="O39" s="134">
        <f>SUM(N39:N43)</f>
        <v>25180</v>
      </c>
      <c r="P39" s="130">
        <v>25180</v>
      </c>
      <c r="Q39" s="126" t="s">
        <v>271</v>
      </c>
      <c r="R39" s="126" t="s">
        <v>220</v>
      </c>
      <c r="S39" s="126" t="s">
        <v>272</v>
      </c>
      <c r="T39" s="126" t="s">
        <v>273</v>
      </c>
      <c r="U39" s="126" t="s">
        <v>274</v>
      </c>
      <c r="V39" s="126" t="s">
        <v>275</v>
      </c>
      <c r="W39" s="126" t="s">
        <v>276</v>
      </c>
      <c r="X39" s="126">
        <v>5426237578</v>
      </c>
    </row>
    <row r="40" spans="1:24" ht="15" customHeight="1" x14ac:dyDescent="0.35">
      <c r="A40" s="134"/>
      <c r="B40" s="126" t="s">
        <v>271</v>
      </c>
      <c r="C40" s="136" t="s">
        <v>69</v>
      </c>
      <c r="D40" s="134" t="s">
        <v>36</v>
      </c>
      <c r="E40" s="134" t="s">
        <v>332</v>
      </c>
      <c r="F40" s="134" t="s">
        <v>420</v>
      </c>
      <c r="G40" s="134" t="s">
        <v>284</v>
      </c>
      <c r="H40" s="134">
        <v>8</v>
      </c>
      <c r="I40" s="134" t="s">
        <v>290</v>
      </c>
      <c r="J40" s="134" t="s">
        <v>291</v>
      </c>
      <c r="K40" s="134">
        <v>6900</v>
      </c>
      <c r="L40" s="134">
        <v>1500</v>
      </c>
      <c r="M40" s="134">
        <v>8</v>
      </c>
      <c r="N40" s="135">
        <v>5210</v>
      </c>
      <c r="O40" s="134"/>
      <c r="P40" s="134"/>
      <c r="Q40" s="134"/>
      <c r="R40" s="134"/>
      <c r="S40" s="134"/>
      <c r="T40" s="134"/>
      <c r="U40" s="134"/>
      <c r="V40" s="134"/>
      <c r="W40" s="134"/>
      <c r="X40" s="134"/>
    </row>
    <row r="41" spans="1:24" ht="15" customHeight="1" x14ac:dyDescent="0.35">
      <c r="A41" s="134"/>
      <c r="B41" s="126" t="s">
        <v>271</v>
      </c>
      <c r="C41" s="136" t="s">
        <v>70</v>
      </c>
      <c r="D41" s="134" t="s">
        <v>39</v>
      </c>
      <c r="E41" s="134" t="s">
        <v>333</v>
      </c>
      <c r="F41" s="134" t="s">
        <v>420</v>
      </c>
      <c r="G41" s="134" t="s">
        <v>284</v>
      </c>
      <c r="H41" s="134">
        <v>6</v>
      </c>
      <c r="I41" s="134" t="s">
        <v>290</v>
      </c>
      <c r="J41" s="134" t="s">
        <v>291</v>
      </c>
      <c r="K41" s="134">
        <v>6900</v>
      </c>
      <c r="L41" s="134">
        <v>1500</v>
      </c>
      <c r="M41" s="134">
        <v>10</v>
      </c>
      <c r="N41" s="135">
        <v>4900</v>
      </c>
      <c r="O41" s="134"/>
      <c r="P41" s="134"/>
      <c r="Q41" s="134"/>
      <c r="R41" s="134"/>
      <c r="S41" s="134"/>
      <c r="T41" s="134"/>
      <c r="U41" s="134"/>
      <c r="V41" s="134"/>
      <c r="W41" s="134"/>
      <c r="X41" s="134"/>
    </row>
    <row r="42" spans="1:24" ht="15" customHeight="1" x14ac:dyDescent="0.35">
      <c r="A42" s="134"/>
      <c r="B42" s="126" t="s">
        <v>271</v>
      </c>
      <c r="C42" s="136" t="s">
        <v>71</v>
      </c>
      <c r="D42" s="134" t="s">
        <v>45</v>
      </c>
      <c r="E42" s="134" t="s">
        <v>333</v>
      </c>
      <c r="F42" s="134" t="s">
        <v>420</v>
      </c>
      <c r="G42" s="134" t="s">
        <v>284</v>
      </c>
      <c r="H42" s="134">
        <v>5</v>
      </c>
      <c r="I42" s="134" t="s">
        <v>290</v>
      </c>
      <c r="J42" s="134" t="s">
        <v>291</v>
      </c>
      <c r="K42" s="134">
        <v>6900</v>
      </c>
      <c r="L42" s="134">
        <v>1500</v>
      </c>
      <c r="M42" s="134">
        <v>10</v>
      </c>
      <c r="N42" s="135">
        <v>4090</v>
      </c>
      <c r="O42" s="134"/>
      <c r="P42" s="134"/>
      <c r="Q42" s="134"/>
      <c r="R42" s="134"/>
      <c r="S42" s="134"/>
      <c r="T42" s="134"/>
      <c r="U42" s="134"/>
      <c r="V42" s="134"/>
      <c r="W42" s="134"/>
      <c r="X42" s="134"/>
    </row>
    <row r="43" spans="1:24" ht="15" customHeight="1" x14ac:dyDescent="0.35">
      <c r="A43" s="134"/>
      <c r="B43" s="126" t="s">
        <v>271</v>
      </c>
      <c r="C43" s="136" t="s">
        <v>72</v>
      </c>
      <c r="D43" s="134" t="s">
        <v>49</v>
      </c>
      <c r="E43" s="134" t="s">
        <v>335</v>
      </c>
      <c r="F43" s="134" t="s">
        <v>419</v>
      </c>
      <c r="G43" s="134" t="s">
        <v>284</v>
      </c>
      <c r="H43" s="134">
        <v>5</v>
      </c>
      <c r="I43" s="134" t="s">
        <v>290</v>
      </c>
      <c r="J43" s="134" t="s">
        <v>291</v>
      </c>
      <c r="K43" s="134">
        <v>8000</v>
      </c>
      <c r="L43" s="134">
        <v>1500</v>
      </c>
      <c r="M43" s="134">
        <v>12</v>
      </c>
      <c r="N43" s="135">
        <v>5680</v>
      </c>
      <c r="O43" s="134"/>
      <c r="P43" s="134"/>
      <c r="Q43" s="134"/>
      <c r="R43" s="134"/>
      <c r="S43" s="134"/>
      <c r="T43" s="134"/>
      <c r="U43" s="134"/>
      <c r="V43" s="134"/>
      <c r="W43" s="134"/>
      <c r="X43" s="134"/>
    </row>
    <row r="44" spans="1:24" ht="15" customHeight="1" x14ac:dyDescent="0.35">
      <c r="A44" s="134">
        <v>9</v>
      </c>
      <c r="B44" s="126" t="s">
        <v>256</v>
      </c>
      <c r="C44" s="136" t="s">
        <v>57</v>
      </c>
      <c r="D44" s="134" t="s">
        <v>43</v>
      </c>
      <c r="E44" s="134" t="s">
        <v>338</v>
      </c>
      <c r="F44" s="134" t="s">
        <v>420</v>
      </c>
      <c r="G44" s="134" t="s">
        <v>284</v>
      </c>
      <c r="H44" s="134">
        <v>17</v>
      </c>
      <c r="I44" s="134" t="s">
        <v>290</v>
      </c>
      <c r="J44" s="134" t="s">
        <v>291</v>
      </c>
      <c r="K44" s="134">
        <v>8000</v>
      </c>
      <c r="L44" s="134">
        <v>1500</v>
      </c>
      <c r="M44" s="134">
        <v>3</v>
      </c>
      <c r="N44" s="135">
        <v>4760</v>
      </c>
      <c r="O44" s="134">
        <f>SUM(N44:N48)</f>
        <v>25180</v>
      </c>
      <c r="P44" s="130" t="s">
        <v>309</v>
      </c>
      <c r="Q44" s="126" t="s">
        <v>256</v>
      </c>
      <c r="R44" s="126" t="s">
        <v>220</v>
      </c>
      <c r="S44" s="126" t="s">
        <v>257</v>
      </c>
      <c r="T44" s="126" t="s">
        <v>258</v>
      </c>
      <c r="U44" s="126" t="s">
        <v>229</v>
      </c>
      <c r="V44" s="126" t="s">
        <v>230</v>
      </c>
      <c r="W44" s="126" t="s">
        <v>231</v>
      </c>
      <c r="X44" s="126">
        <v>5453471497</v>
      </c>
    </row>
    <row r="45" spans="1:24" ht="15" customHeight="1" x14ac:dyDescent="0.35">
      <c r="A45" s="134"/>
      <c r="B45" s="126" t="s">
        <v>256</v>
      </c>
      <c r="C45" s="136" t="s">
        <v>58</v>
      </c>
      <c r="D45" s="134" t="s">
        <v>39</v>
      </c>
      <c r="E45" s="134" t="s">
        <v>333</v>
      </c>
      <c r="F45" s="134" t="s">
        <v>420</v>
      </c>
      <c r="G45" s="134" t="s">
        <v>284</v>
      </c>
      <c r="H45" s="134">
        <v>6</v>
      </c>
      <c r="I45" s="134" t="s">
        <v>290</v>
      </c>
      <c r="J45" s="134" t="s">
        <v>291</v>
      </c>
      <c r="K45" s="134">
        <v>6900</v>
      </c>
      <c r="L45" s="134">
        <v>1500</v>
      </c>
      <c r="M45" s="134">
        <v>10</v>
      </c>
      <c r="N45" s="135">
        <v>4900</v>
      </c>
      <c r="O45" s="134"/>
      <c r="P45" s="134"/>
      <c r="Q45" s="134"/>
      <c r="R45" s="134"/>
      <c r="S45" s="134"/>
      <c r="T45" s="134"/>
      <c r="U45" s="134"/>
      <c r="V45" s="134"/>
      <c r="W45" s="134"/>
      <c r="X45" s="134"/>
    </row>
    <row r="46" spans="1:24" ht="15" customHeight="1" x14ac:dyDescent="0.35">
      <c r="A46" s="134"/>
      <c r="B46" s="126" t="s">
        <v>256</v>
      </c>
      <c r="C46" s="136" t="s">
        <v>59</v>
      </c>
      <c r="D46" s="134" t="s">
        <v>39</v>
      </c>
      <c r="E46" s="134" t="s">
        <v>333</v>
      </c>
      <c r="F46" s="134" t="s">
        <v>420</v>
      </c>
      <c r="G46" s="134" t="s">
        <v>284</v>
      </c>
      <c r="H46" s="134">
        <v>6</v>
      </c>
      <c r="I46" s="134" t="s">
        <v>290</v>
      </c>
      <c r="J46" s="134" t="s">
        <v>291</v>
      </c>
      <c r="K46" s="134">
        <v>6900</v>
      </c>
      <c r="L46" s="134">
        <v>1500</v>
      </c>
      <c r="M46" s="134">
        <v>10</v>
      </c>
      <c r="N46" s="135">
        <v>4900</v>
      </c>
      <c r="O46" s="134"/>
      <c r="P46" s="134"/>
      <c r="Q46" s="134"/>
      <c r="R46" s="134"/>
      <c r="S46" s="134"/>
      <c r="T46" s="134"/>
      <c r="U46" s="134"/>
      <c r="V46" s="134"/>
      <c r="W46" s="134"/>
      <c r="X46" s="134"/>
    </row>
    <row r="47" spans="1:24" ht="15" customHeight="1" x14ac:dyDescent="0.35">
      <c r="A47" s="134"/>
      <c r="B47" s="126" t="s">
        <v>256</v>
      </c>
      <c r="C47" s="136" t="s">
        <v>60</v>
      </c>
      <c r="D47" s="134" t="s">
        <v>39</v>
      </c>
      <c r="E47" s="134" t="s">
        <v>333</v>
      </c>
      <c r="F47" s="134" t="s">
        <v>420</v>
      </c>
      <c r="G47" s="134" t="s">
        <v>284</v>
      </c>
      <c r="H47" s="134">
        <v>6</v>
      </c>
      <c r="I47" s="134" t="s">
        <v>290</v>
      </c>
      <c r="J47" s="134" t="s">
        <v>291</v>
      </c>
      <c r="K47" s="134">
        <v>6900</v>
      </c>
      <c r="L47" s="134">
        <v>1500</v>
      </c>
      <c r="M47" s="134">
        <v>10</v>
      </c>
      <c r="N47" s="135">
        <v>4910</v>
      </c>
      <c r="O47" s="134"/>
      <c r="P47" s="134"/>
      <c r="Q47" s="134"/>
      <c r="R47" s="134"/>
      <c r="S47" s="134"/>
      <c r="T47" s="134"/>
      <c r="U47" s="134"/>
      <c r="V47" s="134"/>
      <c r="W47" s="134"/>
      <c r="X47" s="134"/>
    </row>
    <row r="48" spans="1:24" ht="15" customHeight="1" x14ac:dyDescent="0.35">
      <c r="A48" s="134"/>
      <c r="B48" s="126" t="s">
        <v>256</v>
      </c>
      <c r="C48" s="136" t="s">
        <v>61</v>
      </c>
      <c r="D48" s="134" t="s">
        <v>49</v>
      </c>
      <c r="E48" s="134" t="s">
        <v>335</v>
      </c>
      <c r="F48" s="134" t="s">
        <v>419</v>
      </c>
      <c r="G48" s="134" t="s">
        <v>284</v>
      </c>
      <c r="H48" s="134">
        <v>5</v>
      </c>
      <c r="I48" s="134" t="s">
        <v>290</v>
      </c>
      <c r="J48" s="134" t="s">
        <v>291</v>
      </c>
      <c r="K48" s="134">
        <v>8000</v>
      </c>
      <c r="L48" s="134">
        <v>1500</v>
      </c>
      <c r="M48" s="134">
        <v>12</v>
      </c>
      <c r="N48" s="135">
        <v>5710</v>
      </c>
      <c r="O48" s="134"/>
      <c r="P48" s="134"/>
      <c r="Q48" s="134"/>
      <c r="R48" s="134"/>
      <c r="S48" s="134"/>
      <c r="T48" s="134"/>
      <c r="U48" s="134"/>
      <c r="V48" s="134"/>
      <c r="W48" s="134"/>
      <c r="X48" s="134"/>
    </row>
    <row r="49" spans="1:24" ht="15" customHeight="1" x14ac:dyDescent="0.35">
      <c r="A49" s="134">
        <v>10</v>
      </c>
      <c r="B49" s="126" t="s">
        <v>265</v>
      </c>
      <c r="C49" s="136" t="s">
        <v>78</v>
      </c>
      <c r="D49" s="134" t="s">
        <v>36</v>
      </c>
      <c r="E49" s="134" t="s">
        <v>332</v>
      </c>
      <c r="F49" s="134" t="s">
        <v>420</v>
      </c>
      <c r="G49" s="134" t="s">
        <v>284</v>
      </c>
      <c r="H49" s="134">
        <v>8</v>
      </c>
      <c r="I49" s="134" t="s">
        <v>290</v>
      </c>
      <c r="J49" s="134" t="s">
        <v>291</v>
      </c>
      <c r="K49" s="134">
        <v>6900</v>
      </c>
      <c r="L49" s="134">
        <v>1500</v>
      </c>
      <c r="M49" s="134">
        <v>8</v>
      </c>
      <c r="N49" s="135">
        <v>5200</v>
      </c>
      <c r="O49" s="134">
        <f>SUM(N49:N53)</f>
        <v>25080</v>
      </c>
      <c r="P49" s="130">
        <v>25080</v>
      </c>
      <c r="Q49" s="126" t="s">
        <v>265</v>
      </c>
      <c r="R49" s="126" t="s">
        <v>220</v>
      </c>
      <c r="S49" s="126" t="s">
        <v>266</v>
      </c>
      <c r="T49" s="126" t="s">
        <v>267</v>
      </c>
      <c r="U49" s="126" t="s">
        <v>268</v>
      </c>
      <c r="V49" s="126" t="s">
        <v>269</v>
      </c>
      <c r="W49" s="126" t="s">
        <v>270</v>
      </c>
      <c r="X49" s="126">
        <v>5362585180</v>
      </c>
    </row>
    <row r="50" spans="1:24" x14ac:dyDescent="0.35">
      <c r="A50" s="134"/>
      <c r="B50" s="126" t="s">
        <v>265</v>
      </c>
      <c r="C50" s="136" t="s">
        <v>79</v>
      </c>
      <c r="D50" s="134" t="s">
        <v>36</v>
      </c>
      <c r="E50" s="134" t="s">
        <v>332</v>
      </c>
      <c r="F50" s="134" t="s">
        <v>420</v>
      </c>
      <c r="G50" s="134" t="s">
        <v>284</v>
      </c>
      <c r="H50" s="134">
        <v>8</v>
      </c>
      <c r="I50" s="134" t="s">
        <v>290</v>
      </c>
      <c r="J50" s="134" t="s">
        <v>291</v>
      </c>
      <c r="K50" s="134">
        <v>6900</v>
      </c>
      <c r="L50" s="134">
        <v>1500</v>
      </c>
      <c r="M50" s="134">
        <v>8</v>
      </c>
      <c r="N50" s="135">
        <v>5200</v>
      </c>
      <c r="O50" s="134"/>
      <c r="P50" s="134"/>
      <c r="Q50" s="134"/>
      <c r="R50" s="134"/>
      <c r="S50" s="134"/>
      <c r="T50" s="134"/>
      <c r="U50" s="134"/>
      <c r="V50" s="134"/>
      <c r="W50" s="134"/>
      <c r="X50" s="134"/>
    </row>
    <row r="51" spans="1:24" x14ac:dyDescent="0.35">
      <c r="A51" s="134"/>
      <c r="B51" s="126" t="s">
        <v>265</v>
      </c>
      <c r="C51" s="136" t="s">
        <v>80</v>
      </c>
      <c r="D51" s="134" t="s">
        <v>39</v>
      </c>
      <c r="E51" s="134" t="s">
        <v>333</v>
      </c>
      <c r="F51" s="134" t="s">
        <v>420</v>
      </c>
      <c r="G51" s="134" t="s">
        <v>284</v>
      </c>
      <c r="H51" s="134">
        <v>6</v>
      </c>
      <c r="I51" s="134" t="s">
        <v>290</v>
      </c>
      <c r="J51" s="134" t="s">
        <v>291</v>
      </c>
      <c r="K51" s="134">
        <v>6900</v>
      </c>
      <c r="L51" s="134">
        <v>1500</v>
      </c>
      <c r="M51" s="134">
        <v>10</v>
      </c>
      <c r="N51" s="135">
        <v>4900</v>
      </c>
      <c r="O51" s="134"/>
      <c r="P51" s="134"/>
      <c r="Q51" s="134"/>
      <c r="R51" s="134"/>
      <c r="S51" s="134"/>
      <c r="T51" s="134"/>
      <c r="U51" s="134"/>
      <c r="V51" s="134"/>
      <c r="W51" s="134"/>
      <c r="X51" s="134"/>
    </row>
    <row r="52" spans="1:24" x14ac:dyDescent="0.35">
      <c r="A52" s="134"/>
      <c r="B52" s="126" t="s">
        <v>265</v>
      </c>
      <c r="C52" s="136" t="s">
        <v>81</v>
      </c>
      <c r="D52" s="134" t="s">
        <v>47</v>
      </c>
      <c r="E52" s="134" t="s">
        <v>336</v>
      </c>
      <c r="F52" s="134" t="s">
        <v>419</v>
      </c>
      <c r="G52" s="134" t="s">
        <v>284</v>
      </c>
      <c r="H52" s="134">
        <v>5</v>
      </c>
      <c r="I52" s="134" t="s">
        <v>290</v>
      </c>
      <c r="J52" s="134" t="s">
        <v>291</v>
      </c>
      <c r="K52" s="134">
        <v>6900</v>
      </c>
      <c r="L52" s="134">
        <v>1500</v>
      </c>
      <c r="M52" s="134">
        <v>12</v>
      </c>
      <c r="N52" s="135">
        <v>4890</v>
      </c>
      <c r="O52" s="134"/>
      <c r="P52" s="134"/>
      <c r="Q52" s="134"/>
      <c r="R52" s="134"/>
      <c r="S52" s="134"/>
      <c r="T52" s="134"/>
      <c r="U52" s="134"/>
      <c r="V52" s="134"/>
      <c r="W52" s="134"/>
      <c r="X52" s="134"/>
    </row>
    <row r="53" spans="1:24" x14ac:dyDescent="0.35">
      <c r="A53" s="134"/>
      <c r="B53" s="126" t="s">
        <v>265</v>
      </c>
      <c r="C53" s="136" t="s">
        <v>82</v>
      </c>
      <c r="D53" s="134" t="s">
        <v>47</v>
      </c>
      <c r="E53" s="134" t="s">
        <v>336</v>
      </c>
      <c r="F53" s="134" t="s">
        <v>419</v>
      </c>
      <c r="G53" s="134" t="s">
        <v>284</v>
      </c>
      <c r="H53" s="134">
        <v>5</v>
      </c>
      <c r="I53" s="134" t="s">
        <v>290</v>
      </c>
      <c r="J53" s="134" t="s">
        <v>291</v>
      </c>
      <c r="K53" s="134">
        <v>6900</v>
      </c>
      <c r="L53" s="134">
        <v>1500</v>
      </c>
      <c r="M53" s="134">
        <v>12</v>
      </c>
      <c r="N53" s="135">
        <v>4890</v>
      </c>
      <c r="O53" s="134"/>
      <c r="P53" s="134"/>
      <c r="Q53" s="134"/>
      <c r="R53" s="134"/>
      <c r="S53" s="134"/>
      <c r="T53" s="134"/>
      <c r="U53" s="134"/>
      <c r="V53" s="134"/>
      <c r="W53" s="134"/>
      <c r="X53" s="134"/>
    </row>
    <row r="54" spans="1:24" x14ac:dyDescent="0.35">
      <c r="A54" s="134">
        <v>11</v>
      </c>
      <c r="B54" s="126" t="s">
        <v>340</v>
      </c>
      <c r="C54" s="136" t="s">
        <v>83</v>
      </c>
      <c r="D54" s="134" t="s">
        <v>17</v>
      </c>
      <c r="E54" s="134" t="s">
        <v>334</v>
      </c>
      <c r="F54" s="134" t="s">
        <v>420</v>
      </c>
      <c r="G54" s="134" t="s">
        <v>284</v>
      </c>
      <c r="H54" s="134">
        <v>14</v>
      </c>
      <c r="I54" s="134" t="s">
        <v>290</v>
      </c>
      <c r="J54" s="134" t="s">
        <v>291</v>
      </c>
      <c r="K54" s="134">
        <v>8000</v>
      </c>
      <c r="L54" s="134">
        <v>1500</v>
      </c>
      <c r="M54" s="134">
        <v>4</v>
      </c>
      <c r="N54" s="135">
        <v>5320</v>
      </c>
      <c r="O54" s="134">
        <f>SUM(N54:N58)</f>
        <v>25225</v>
      </c>
      <c r="P54" s="134"/>
      <c r="Q54" s="126" t="s">
        <v>340</v>
      </c>
      <c r="R54" s="126" t="s">
        <v>406</v>
      </c>
      <c r="S54" s="126" t="s">
        <v>341</v>
      </c>
      <c r="T54" s="126" t="s">
        <v>342</v>
      </c>
      <c r="U54" s="126" t="s">
        <v>235</v>
      </c>
      <c r="V54" s="126" t="s">
        <v>236</v>
      </c>
      <c r="W54" s="126" t="s">
        <v>237</v>
      </c>
      <c r="X54" s="126">
        <v>5305918797</v>
      </c>
    </row>
    <row r="55" spans="1:24" x14ac:dyDescent="0.35">
      <c r="A55" s="134"/>
      <c r="B55" s="126" t="s">
        <v>340</v>
      </c>
      <c r="C55" s="136" t="s">
        <v>84</v>
      </c>
      <c r="D55" s="134" t="s">
        <v>21</v>
      </c>
      <c r="E55" s="134" t="s">
        <v>335</v>
      </c>
      <c r="F55" s="134" t="s">
        <v>419</v>
      </c>
      <c r="G55" s="134" t="s">
        <v>284</v>
      </c>
      <c r="H55" s="134">
        <v>4</v>
      </c>
      <c r="I55" s="134" t="s">
        <v>290</v>
      </c>
      <c r="J55" s="134" t="s">
        <v>291</v>
      </c>
      <c r="K55" s="134">
        <v>8000</v>
      </c>
      <c r="L55" s="134">
        <v>1500</v>
      </c>
      <c r="M55" s="134">
        <v>12</v>
      </c>
      <c r="N55" s="135">
        <v>4555</v>
      </c>
      <c r="O55" s="134"/>
      <c r="P55" s="134"/>
      <c r="Q55" s="134"/>
      <c r="R55" s="134"/>
      <c r="S55" s="134"/>
      <c r="T55" s="134"/>
      <c r="U55" s="134"/>
      <c r="V55" s="134"/>
      <c r="W55" s="134"/>
      <c r="X55" s="134"/>
    </row>
    <row r="56" spans="1:24" x14ac:dyDescent="0.35">
      <c r="A56" s="134"/>
      <c r="B56" s="126" t="s">
        <v>340</v>
      </c>
      <c r="C56" s="136" t="s">
        <v>85</v>
      </c>
      <c r="D56" s="134" t="s">
        <v>86</v>
      </c>
      <c r="E56" s="134" t="s">
        <v>336</v>
      </c>
      <c r="F56" s="134" t="s">
        <v>419</v>
      </c>
      <c r="G56" s="134" t="s">
        <v>284</v>
      </c>
      <c r="H56" s="134">
        <v>4</v>
      </c>
      <c r="I56" s="134" t="s">
        <v>290</v>
      </c>
      <c r="J56" s="134" t="s">
        <v>291</v>
      </c>
      <c r="K56" s="134">
        <v>6900</v>
      </c>
      <c r="L56" s="134">
        <v>1500</v>
      </c>
      <c r="M56" s="134">
        <v>12</v>
      </c>
      <c r="N56" s="135">
        <v>3930</v>
      </c>
      <c r="O56" s="134"/>
      <c r="P56" s="134"/>
      <c r="Q56" s="134"/>
      <c r="R56" s="134"/>
      <c r="S56" s="134"/>
      <c r="T56" s="134"/>
      <c r="U56" s="134"/>
      <c r="V56" s="134"/>
      <c r="W56" s="134"/>
      <c r="X56" s="134"/>
    </row>
    <row r="57" spans="1:24" x14ac:dyDescent="0.35">
      <c r="A57" s="134"/>
      <c r="B57" s="126" t="s">
        <v>340</v>
      </c>
      <c r="C57" s="136" t="s">
        <v>87</v>
      </c>
      <c r="D57" s="134" t="s">
        <v>29</v>
      </c>
      <c r="E57" s="134" t="s">
        <v>335</v>
      </c>
      <c r="F57" s="134" t="s">
        <v>419</v>
      </c>
      <c r="G57" s="134" t="s">
        <v>284</v>
      </c>
      <c r="H57" s="134">
        <v>6</v>
      </c>
      <c r="I57" s="134" t="s">
        <v>290</v>
      </c>
      <c r="J57" s="134" t="s">
        <v>291</v>
      </c>
      <c r="K57" s="134">
        <v>8000</v>
      </c>
      <c r="L57" s="134">
        <v>1500</v>
      </c>
      <c r="M57" s="134">
        <v>12</v>
      </c>
      <c r="N57" s="135">
        <v>6850</v>
      </c>
      <c r="O57" s="134"/>
      <c r="P57" s="134"/>
      <c r="Q57" s="134"/>
      <c r="R57" s="134"/>
      <c r="S57" s="134"/>
      <c r="T57" s="134"/>
      <c r="U57" s="134"/>
      <c r="V57" s="134"/>
      <c r="W57" s="134"/>
      <c r="X57" s="134"/>
    </row>
    <row r="58" spans="1:24" x14ac:dyDescent="0.35">
      <c r="A58" s="134"/>
      <c r="B58" s="126" t="s">
        <v>340</v>
      </c>
      <c r="C58" s="136" t="s">
        <v>88</v>
      </c>
      <c r="D58" s="134" t="s">
        <v>23</v>
      </c>
      <c r="E58" s="134" t="s">
        <v>335</v>
      </c>
      <c r="F58" s="134" t="s">
        <v>419</v>
      </c>
      <c r="G58" s="134" t="s">
        <v>284</v>
      </c>
      <c r="H58" s="134">
        <v>4</v>
      </c>
      <c r="I58" s="134" t="s">
        <v>290</v>
      </c>
      <c r="J58" s="134" t="s">
        <v>291</v>
      </c>
      <c r="K58" s="134">
        <v>8000</v>
      </c>
      <c r="L58" s="134">
        <v>1500</v>
      </c>
      <c r="M58" s="134">
        <v>12</v>
      </c>
      <c r="N58" s="135">
        <v>4570</v>
      </c>
      <c r="O58" s="134"/>
      <c r="P58" s="134"/>
      <c r="Q58" s="134"/>
      <c r="R58" s="134"/>
      <c r="S58" s="134"/>
      <c r="T58" s="134"/>
      <c r="U58" s="134"/>
      <c r="V58" s="134"/>
      <c r="W58" s="134"/>
      <c r="X58" s="134"/>
    </row>
    <row r="59" spans="1:24" x14ac:dyDescent="0.35">
      <c r="A59" s="134">
        <v>12</v>
      </c>
      <c r="B59" s="126" t="s">
        <v>343</v>
      </c>
      <c r="C59" s="136" t="s">
        <v>89</v>
      </c>
      <c r="D59" s="134" t="s">
        <v>43</v>
      </c>
      <c r="E59" s="134" t="s">
        <v>338</v>
      </c>
      <c r="F59" s="134" t="s">
        <v>420</v>
      </c>
      <c r="G59" s="134" t="s">
        <v>284</v>
      </c>
      <c r="H59" s="134">
        <v>17</v>
      </c>
      <c r="I59" s="134" t="s">
        <v>290</v>
      </c>
      <c r="J59" s="134" t="s">
        <v>291</v>
      </c>
      <c r="K59" s="134">
        <v>8000</v>
      </c>
      <c r="L59" s="134">
        <v>1500</v>
      </c>
      <c r="M59" s="134">
        <v>3</v>
      </c>
      <c r="N59" s="135">
        <v>4780</v>
      </c>
      <c r="O59" s="134">
        <f>SUM(N59:N63)</f>
        <v>25225</v>
      </c>
      <c r="P59" s="134"/>
      <c r="Q59" s="126" t="s">
        <v>343</v>
      </c>
      <c r="R59" s="126" t="s">
        <v>406</v>
      </c>
      <c r="S59" s="126" t="s">
        <v>344</v>
      </c>
      <c r="T59" s="126" t="s">
        <v>345</v>
      </c>
      <c r="U59" s="126" t="s">
        <v>241</v>
      </c>
      <c r="V59" s="126" t="s">
        <v>242</v>
      </c>
      <c r="W59" s="126" t="s">
        <v>243</v>
      </c>
      <c r="X59" s="126">
        <v>5382203477</v>
      </c>
    </row>
    <row r="60" spans="1:24" x14ac:dyDescent="0.35">
      <c r="A60" s="134"/>
      <c r="B60" s="126" t="s">
        <v>343</v>
      </c>
      <c r="C60" s="136" t="s">
        <v>90</v>
      </c>
      <c r="D60" s="134" t="s">
        <v>27</v>
      </c>
      <c r="E60" s="134" t="s">
        <v>329</v>
      </c>
      <c r="F60" s="134" t="s">
        <v>420</v>
      </c>
      <c r="G60" s="134" t="s">
        <v>284</v>
      </c>
      <c r="H60" s="134">
        <v>11</v>
      </c>
      <c r="I60" s="134" t="s">
        <v>290</v>
      </c>
      <c r="J60" s="134" t="s">
        <v>291</v>
      </c>
      <c r="K60" s="134">
        <v>6900</v>
      </c>
      <c r="L60" s="134">
        <v>1500</v>
      </c>
      <c r="M60" s="134">
        <v>6</v>
      </c>
      <c r="N60" s="135">
        <v>5430</v>
      </c>
      <c r="O60" s="134"/>
      <c r="P60" s="134"/>
      <c r="Q60" s="134"/>
      <c r="R60" s="134"/>
      <c r="S60" s="134"/>
      <c r="T60" s="134"/>
      <c r="U60" s="134"/>
      <c r="V60" s="134"/>
      <c r="W60" s="134"/>
      <c r="X60" s="134"/>
    </row>
    <row r="61" spans="1:24" x14ac:dyDescent="0.35">
      <c r="A61" s="134"/>
      <c r="B61" s="126" t="s">
        <v>343</v>
      </c>
      <c r="C61" s="136" t="s">
        <v>91</v>
      </c>
      <c r="D61" s="134" t="s">
        <v>36</v>
      </c>
      <c r="E61" s="134" t="s">
        <v>332</v>
      </c>
      <c r="F61" s="134" t="s">
        <v>420</v>
      </c>
      <c r="G61" s="134" t="s">
        <v>284</v>
      </c>
      <c r="H61" s="134">
        <v>8</v>
      </c>
      <c r="I61" s="134" t="s">
        <v>290</v>
      </c>
      <c r="J61" s="134" t="s">
        <v>291</v>
      </c>
      <c r="K61" s="134">
        <v>6900</v>
      </c>
      <c r="L61" s="134">
        <v>1500</v>
      </c>
      <c r="M61" s="134">
        <v>8</v>
      </c>
      <c r="N61" s="135">
        <v>5230</v>
      </c>
      <c r="O61" s="134"/>
      <c r="P61" s="134"/>
      <c r="Q61" s="134"/>
      <c r="R61" s="134"/>
      <c r="S61" s="134"/>
      <c r="T61" s="134"/>
      <c r="U61" s="134"/>
      <c r="V61" s="134"/>
      <c r="W61" s="134"/>
      <c r="X61" s="134"/>
    </row>
    <row r="62" spans="1:24" x14ac:dyDescent="0.35">
      <c r="A62" s="134"/>
      <c r="B62" s="126" t="s">
        <v>343</v>
      </c>
      <c r="C62" s="136" t="s">
        <v>92</v>
      </c>
      <c r="D62" s="134" t="s">
        <v>36</v>
      </c>
      <c r="E62" s="134" t="s">
        <v>332</v>
      </c>
      <c r="F62" s="134" t="s">
        <v>420</v>
      </c>
      <c r="G62" s="134" t="s">
        <v>284</v>
      </c>
      <c r="H62" s="134">
        <v>8</v>
      </c>
      <c r="I62" s="134" t="s">
        <v>290</v>
      </c>
      <c r="J62" s="134" t="s">
        <v>291</v>
      </c>
      <c r="K62" s="134">
        <v>6900</v>
      </c>
      <c r="L62" s="134">
        <v>1500</v>
      </c>
      <c r="M62" s="134">
        <v>8</v>
      </c>
      <c r="N62" s="135">
        <v>5230</v>
      </c>
      <c r="O62" s="134"/>
      <c r="P62" s="134"/>
      <c r="Q62" s="134"/>
      <c r="R62" s="134"/>
      <c r="S62" s="134"/>
      <c r="T62" s="134"/>
      <c r="U62" s="134"/>
      <c r="V62" s="134"/>
      <c r="W62" s="134"/>
      <c r="X62" s="134"/>
    </row>
    <row r="63" spans="1:24" x14ac:dyDescent="0.35">
      <c r="A63" s="134"/>
      <c r="B63" s="126" t="s">
        <v>343</v>
      </c>
      <c r="C63" s="136" t="s">
        <v>93</v>
      </c>
      <c r="D63" s="134" t="s">
        <v>21</v>
      </c>
      <c r="E63" s="134" t="s">
        <v>335</v>
      </c>
      <c r="F63" s="134" t="s">
        <v>419</v>
      </c>
      <c r="G63" s="134" t="s">
        <v>284</v>
      </c>
      <c r="H63" s="134">
        <v>4</v>
      </c>
      <c r="I63" s="134" t="s">
        <v>290</v>
      </c>
      <c r="J63" s="134" t="s">
        <v>291</v>
      </c>
      <c r="K63" s="134">
        <v>8000</v>
      </c>
      <c r="L63" s="134">
        <v>1500</v>
      </c>
      <c r="M63" s="134">
        <v>12</v>
      </c>
      <c r="N63" s="135">
        <v>4555</v>
      </c>
      <c r="O63" s="134"/>
      <c r="P63" s="134"/>
      <c r="Q63" s="134"/>
      <c r="R63" s="134"/>
      <c r="S63" s="134"/>
      <c r="T63" s="134"/>
      <c r="U63" s="134"/>
      <c r="V63" s="134"/>
      <c r="W63" s="134"/>
      <c r="X63" s="134"/>
    </row>
    <row r="64" spans="1:24" x14ac:dyDescent="0.35">
      <c r="A64" s="134">
        <v>13</v>
      </c>
      <c r="B64" s="126" t="s">
        <v>346</v>
      </c>
      <c r="C64" s="136" t="s">
        <v>94</v>
      </c>
      <c r="D64" s="134" t="s">
        <v>17</v>
      </c>
      <c r="E64" s="134" t="s">
        <v>334</v>
      </c>
      <c r="F64" s="134" t="s">
        <v>420</v>
      </c>
      <c r="G64" s="134" t="s">
        <v>284</v>
      </c>
      <c r="H64" s="134">
        <v>14</v>
      </c>
      <c r="I64" s="134" t="s">
        <v>290</v>
      </c>
      <c r="J64" s="134" t="s">
        <v>291</v>
      </c>
      <c r="K64" s="134">
        <v>8000</v>
      </c>
      <c r="L64" s="134">
        <v>1500</v>
      </c>
      <c r="M64" s="134">
        <v>4</v>
      </c>
      <c r="N64" s="135">
        <v>5300</v>
      </c>
      <c r="O64" s="134">
        <f>SUM(N64:N68)</f>
        <v>25225</v>
      </c>
      <c r="P64" s="134"/>
      <c r="Q64" s="126" t="s">
        <v>346</v>
      </c>
      <c r="R64" s="126" t="s">
        <v>406</v>
      </c>
      <c r="S64" s="126" t="s">
        <v>347</v>
      </c>
      <c r="T64" s="126" t="s">
        <v>348</v>
      </c>
      <c r="U64" s="126" t="s">
        <v>247</v>
      </c>
      <c r="V64" s="126" t="s">
        <v>248</v>
      </c>
      <c r="W64" s="126" t="s">
        <v>249</v>
      </c>
      <c r="X64" s="126">
        <v>5454191831</v>
      </c>
    </row>
    <row r="65" spans="1:24" x14ac:dyDescent="0.35">
      <c r="A65" s="134"/>
      <c r="B65" s="126" t="s">
        <v>346</v>
      </c>
      <c r="C65" s="136" t="s">
        <v>95</v>
      </c>
      <c r="D65" s="134" t="s">
        <v>36</v>
      </c>
      <c r="E65" s="134" t="s">
        <v>332</v>
      </c>
      <c r="F65" s="134" t="s">
        <v>420</v>
      </c>
      <c r="G65" s="134" t="s">
        <v>284</v>
      </c>
      <c r="H65" s="134">
        <v>8</v>
      </c>
      <c r="I65" s="134" t="s">
        <v>290</v>
      </c>
      <c r="J65" s="134" t="s">
        <v>291</v>
      </c>
      <c r="K65" s="134">
        <v>6900</v>
      </c>
      <c r="L65" s="134">
        <v>1500</v>
      </c>
      <c r="M65" s="134">
        <v>8</v>
      </c>
      <c r="N65" s="135">
        <v>5240</v>
      </c>
      <c r="O65" s="134"/>
      <c r="P65" s="134"/>
      <c r="Q65" s="134"/>
      <c r="R65" s="134"/>
      <c r="S65" s="134"/>
      <c r="T65" s="134"/>
      <c r="U65" s="134"/>
      <c r="V65" s="134"/>
      <c r="W65" s="134"/>
      <c r="X65" s="134"/>
    </row>
    <row r="66" spans="1:24" x14ac:dyDescent="0.35">
      <c r="A66" s="134"/>
      <c r="B66" s="126" t="s">
        <v>346</v>
      </c>
      <c r="C66" s="136" t="s">
        <v>96</v>
      </c>
      <c r="D66" s="134" t="s">
        <v>36</v>
      </c>
      <c r="E66" s="134" t="s">
        <v>332</v>
      </c>
      <c r="F66" s="134" t="s">
        <v>420</v>
      </c>
      <c r="G66" s="134" t="s">
        <v>284</v>
      </c>
      <c r="H66" s="134">
        <v>8</v>
      </c>
      <c r="I66" s="134" t="s">
        <v>290</v>
      </c>
      <c r="J66" s="134" t="s">
        <v>291</v>
      </c>
      <c r="K66" s="134">
        <v>6900</v>
      </c>
      <c r="L66" s="134">
        <v>1500</v>
      </c>
      <c r="M66" s="134">
        <v>8</v>
      </c>
      <c r="N66" s="135">
        <v>5230</v>
      </c>
      <c r="O66" s="134"/>
      <c r="P66" s="134"/>
      <c r="Q66" s="134"/>
      <c r="R66" s="134"/>
      <c r="S66" s="134"/>
      <c r="T66" s="134"/>
      <c r="U66" s="134"/>
      <c r="V66" s="134"/>
      <c r="W66" s="134"/>
      <c r="X66" s="134"/>
    </row>
    <row r="67" spans="1:24" x14ac:dyDescent="0.35">
      <c r="A67" s="134"/>
      <c r="B67" s="126" t="s">
        <v>346</v>
      </c>
      <c r="C67" s="136" t="s">
        <v>97</v>
      </c>
      <c r="D67" s="134" t="s">
        <v>21</v>
      </c>
      <c r="E67" s="134" t="s">
        <v>335</v>
      </c>
      <c r="F67" s="134" t="s">
        <v>419</v>
      </c>
      <c r="G67" s="134" t="s">
        <v>284</v>
      </c>
      <c r="H67" s="134">
        <v>4</v>
      </c>
      <c r="I67" s="134" t="s">
        <v>290</v>
      </c>
      <c r="J67" s="134" t="s">
        <v>291</v>
      </c>
      <c r="K67" s="134">
        <v>8000</v>
      </c>
      <c r="L67" s="134">
        <v>1500</v>
      </c>
      <c r="M67" s="134">
        <v>12</v>
      </c>
      <c r="N67" s="135">
        <v>4555</v>
      </c>
      <c r="O67" s="134"/>
      <c r="P67" s="134"/>
      <c r="Q67" s="134"/>
      <c r="R67" s="134"/>
      <c r="S67" s="134"/>
      <c r="T67" s="134"/>
      <c r="U67" s="134"/>
      <c r="V67" s="134"/>
      <c r="W67" s="134"/>
      <c r="X67" s="134"/>
    </row>
    <row r="68" spans="1:24" x14ac:dyDescent="0.35">
      <c r="A68" s="134"/>
      <c r="B68" s="126" t="s">
        <v>346</v>
      </c>
      <c r="C68" s="136" t="s">
        <v>98</v>
      </c>
      <c r="D68" s="134" t="s">
        <v>47</v>
      </c>
      <c r="E68" s="134" t="s">
        <v>336</v>
      </c>
      <c r="F68" s="134" t="s">
        <v>419</v>
      </c>
      <c r="G68" s="134" t="s">
        <v>284</v>
      </c>
      <c r="H68" s="134">
        <v>5</v>
      </c>
      <c r="I68" s="134" t="s">
        <v>290</v>
      </c>
      <c r="J68" s="134" t="s">
        <v>291</v>
      </c>
      <c r="K68" s="134">
        <v>6900</v>
      </c>
      <c r="L68" s="134">
        <v>1500</v>
      </c>
      <c r="M68" s="134">
        <v>12</v>
      </c>
      <c r="N68" s="135">
        <v>4900</v>
      </c>
      <c r="O68" s="134"/>
      <c r="P68" s="134"/>
      <c r="Q68" s="134"/>
      <c r="R68" s="134"/>
      <c r="S68" s="134"/>
      <c r="T68" s="134"/>
      <c r="U68" s="134"/>
      <c r="V68" s="134"/>
      <c r="W68" s="134"/>
      <c r="X68" s="134"/>
    </row>
    <row r="69" spans="1:24" ht="15.5" customHeight="1" x14ac:dyDescent="0.35">
      <c r="A69" s="134">
        <v>14</v>
      </c>
      <c r="B69" s="126" t="s">
        <v>349</v>
      </c>
      <c r="C69" s="136" t="s">
        <v>99</v>
      </c>
      <c r="D69" s="134" t="s">
        <v>43</v>
      </c>
      <c r="E69" s="134" t="s">
        <v>338</v>
      </c>
      <c r="F69" s="134" t="s">
        <v>420</v>
      </c>
      <c r="G69" s="134" t="s">
        <v>284</v>
      </c>
      <c r="H69" s="134">
        <v>17</v>
      </c>
      <c r="I69" s="134" t="s">
        <v>290</v>
      </c>
      <c r="J69" s="134" t="s">
        <v>291</v>
      </c>
      <c r="K69" s="134">
        <v>8000</v>
      </c>
      <c r="L69" s="134">
        <v>1500</v>
      </c>
      <c r="M69" s="134">
        <v>3</v>
      </c>
      <c r="N69" s="135">
        <v>4790</v>
      </c>
      <c r="O69" s="134">
        <f>SUM(N69:N73)</f>
        <v>25225</v>
      </c>
      <c r="P69" s="134"/>
      <c r="Q69" s="126" t="s">
        <v>349</v>
      </c>
      <c r="R69" s="126" t="s">
        <v>406</v>
      </c>
      <c r="S69" s="126" t="s">
        <v>350</v>
      </c>
      <c r="T69" s="126" t="s">
        <v>351</v>
      </c>
      <c r="U69" s="126" t="s">
        <v>352</v>
      </c>
      <c r="V69" s="126" t="s">
        <v>353</v>
      </c>
      <c r="W69" s="126" t="s">
        <v>354</v>
      </c>
      <c r="X69" s="126">
        <v>5385425030</v>
      </c>
    </row>
    <row r="70" spans="1:24" x14ac:dyDescent="0.35">
      <c r="A70" s="134"/>
      <c r="B70" s="126" t="s">
        <v>349</v>
      </c>
      <c r="C70" s="136" t="s">
        <v>100</v>
      </c>
      <c r="D70" s="134" t="s">
        <v>36</v>
      </c>
      <c r="E70" s="134" t="s">
        <v>332</v>
      </c>
      <c r="F70" s="134" t="s">
        <v>420</v>
      </c>
      <c r="G70" s="134" t="s">
        <v>284</v>
      </c>
      <c r="H70" s="134">
        <v>8</v>
      </c>
      <c r="I70" s="134" t="s">
        <v>290</v>
      </c>
      <c r="J70" s="134" t="s">
        <v>291</v>
      </c>
      <c r="K70" s="134">
        <v>6900</v>
      </c>
      <c r="L70" s="134">
        <v>1500</v>
      </c>
      <c r="M70" s="134">
        <v>8</v>
      </c>
      <c r="N70" s="135">
        <v>5240</v>
      </c>
      <c r="O70" s="134"/>
      <c r="P70" s="134"/>
      <c r="Q70" s="134"/>
      <c r="R70" s="134"/>
      <c r="S70" s="134"/>
      <c r="T70" s="134"/>
      <c r="U70" s="134"/>
      <c r="V70" s="134"/>
      <c r="W70" s="134"/>
      <c r="X70" s="134"/>
    </row>
    <row r="71" spans="1:24" x14ac:dyDescent="0.35">
      <c r="A71" s="134"/>
      <c r="B71" s="126" t="s">
        <v>349</v>
      </c>
      <c r="C71" s="136" t="s">
        <v>101</v>
      </c>
      <c r="D71" s="134" t="s">
        <v>21</v>
      </c>
      <c r="E71" s="134" t="s">
        <v>335</v>
      </c>
      <c r="F71" s="134" t="s">
        <v>419</v>
      </c>
      <c r="G71" s="134" t="s">
        <v>284</v>
      </c>
      <c r="H71" s="134">
        <v>4</v>
      </c>
      <c r="I71" s="134" t="s">
        <v>290</v>
      </c>
      <c r="J71" s="134" t="s">
        <v>291</v>
      </c>
      <c r="K71" s="134">
        <v>8000</v>
      </c>
      <c r="L71" s="134">
        <v>1500</v>
      </c>
      <c r="M71" s="134">
        <v>12</v>
      </c>
      <c r="N71" s="135">
        <v>4555</v>
      </c>
      <c r="O71" s="134"/>
      <c r="P71" s="134"/>
      <c r="Q71" s="134"/>
      <c r="R71" s="134"/>
      <c r="S71" s="134"/>
      <c r="T71" s="134"/>
      <c r="U71" s="134"/>
      <c r="V71" s="134"/>
      <c r="W71" s="134"/>
      <c r="X71" s="134"/>
    </row>
    <row r="72" spans="1:24" x14ac:dyDescent="0.35">
      <c r="A72" s="134"/>
      <c r="B72" s="126" t="s">
        <v>349</v>
      </c>
      <c r="C72" s="136" t="s">
        <v>102</v>
      </c>
      <c r="D72" s="134" t="s">
        <v>47</v>
      </c>
      <c r="E72" s="134" t="s">
        <v>336</v>
      </c>
      <c r="F72" s="134" t="s">
        <v>419</v>
      </c>
      <c r="G72" s="134" t="s">
        <v>284</v>
      </c>
      <c r="H72" s="134">
        <v>5</v>
      </c>
      <c r="I72" s="134" t="s">
        <v>290</v>
      </c>
      <c r="J72" s="134" t="s">
        <v>291</v>
      </c>
      <c r="K72" s="134">
        <v>6900</v>
      </c>
      <c r="L72" s="134">
        <v>1500</v>
      </c>
      <c r="M72" s="134">
        <v>12</v>
      </c>
      <c r="N72" s="135">
        <v>4930</v>
      </c>
      <c r="O72" s="134"/>
      <c r="P72" s="134"/>
      <c r="Q72" s="134"/>
      <c r="R72" s="134"/>
      <c r="S72" s="134"/>
      <c r="T72" s="134"/>
      <c r="U72" s="134"/>
      <c r="V72" s="134"/>
      <c r="W72" s="134"/>
      <c r="X72" s="134"/>
    </row>
    <row r="73" spans="1:24" x14ac:dyDescent="0.35">
      <c r="A73" s="134"/>
      <c r="B73" s="126" t="s">
        <v>349</v>
      </c>
      <c r="C73" s="136" t="s">
        <v>103</v>
      </c>
      <c r="D73" s="134" t="s">
        <v>49</v>
      </c>
      <c r="E73" s="134" t="s">
        <v>335</v>
      </c>
      <c r="F73" s="134" t="s">
        <v>419</v>
      </c>
      <c r="G73" s="134" t="s">
        <v>284</v>
      </c>
      <c r="H73" s="134">
        <v>5</v>
      </c>
      <c r="I73" s="134" t="s">
        <v>290</v>
      </c>
      <c r="J73" s="134" t="s">
        <v>291</v>
      </c>
      <c r="K73" s="134">
        <v>8000</v>
      </c>
      <c r="L73" s="134">
        <v>1500</v>
      </c>
      <c r="M73" s="134">
        <v>12</v>
      </c>
      <c r="N73" s="135">
        <v>5710</v>
      </c>
      <c r="O73" s="134"/>
      <c r="P73" s="134"/>
      <c r="Q73" s="134"/>
      <c r="R73" s="134"/>
      <c r="S73" s="134"/>
      <c r="T73" s="134"/>
      <c r="U73" s="134"/>
      <c r="V73" s="134"/>
      <c r="W73" s="134"/>
      <c r="X73" s="134"/>
    </row>
    <row r="74" spans="1:24" ht="11.5" customHeight="1" x14ac:dyDescent="0.35">
      <c r="A74" s="134">
        <v>15</v>
      </c>
      <c r="B74" s="126" t="s">
        <v>355</v>
      </c>
      <c r="C74" s="136" t="s">
        <v>104</v>
      </c>
      <c r="D74" s="134" t="s">
        <v>43</v>
      </c>
      <c r="E74" s="134" t="s">
        <v>338</v>
      </c>
      <c r="F74" s="134" t="s">
        <v>420</v>
      </c>
      <c r="G74" s="134" t="s">
        <v>284</v>
      </c>
      <c r="H74" s="134">
        <v>17</v>
      </c>
      <c r="I74" s="134" t="s">
        <v>290</v>
      </c>
      <c r="J74" s="134" t="s">
        <v>291</v>
      </c>
      <c r="K74" s="134">
        <v>8000</v>
      </c>
      <c r="L74" s="134">
        <v>1500</v>
      </c>
      <c r="M74" s="134">
        <v>3</v>
      </c>
      <c r="N74" s="135">
        <v>4790</v>
      </c>
      <c r="O74" s="134">
        <f>SUM(N74:N78)</f>
        <v>25220</v>
      </c>
      <c r="P74" s="134"/>
      <c r="Q74" s="126" t="s">
        <v>355</v>
      </c>
      <c r="R74" s="126" t="s">
        <v>406</v>
      </c>
      <c r="S74" s="126" t="s">
        <v>356</v>
      </c>
      <c r="T74" s="126" t="s">
        <v>357</v>
      </c>
      <c r="U74" s="126" t="s">
        <v>358</v>
      </c>
      <c r="V74" s="126" t="s">
        <v>275</v>
      </c>
      <c r="W74" s="126" t="s">
        <v>276</v>
      </c>
      <c r="X74" s="126">
        <v>5426237578</v>
      </c>
    </row>
    <row r="75" spans="1:24" x14ac:dyDescent="0.35">
      <c r="A75" s="134"/>
      <c r="B75" s="126" t="s">
        <v>355</v>
      </c>
      <c r="C75" s="136" t="s">
        <v>105</v>
      </c>
      <c r="D75" s="134" t="s">
        <v>43</v>
      </c>
      <c r="E75" s="134" t="s">
        <v>338</v>
      </c>
      <c r="F75" s="134" t="s">
        <v>420</v>
      </c>
      <c r="G75" s="134" t="s">
        <v>284</v>
      </c>
      <c r="H75" s="134">
        <v>17</v>
      </c>
      <c r="I75" s="134" t="s">
        <v>290</v>
      </c>
      <c r="J75" s="134" t="s">
        <v>291</v>
      </c>
      <c r="K75" s="134">
        <v>8000</v>
      </c>
      <c r="L75" s="134">
        <v>1500</v>
      </c>
      <c r="M75" s="134">
        <v>3</v>
      </c>
      <c r="N75" s="135">
        <v>4780</v>
      </c>
      <c r="O75" s="134"/>
      <c r="P75" s="134"/>
      <c r="Q75" s="134"/>
      <c r="R75" s="134"/>
      <c r="S75" s="134"/>
      <c r="T75" s="134"/>
      <c r="U75" s="134"/>
      <c r="V75" s="134"/>
      <c r="W75" s="134"/>
      <c r="X75" s="134"/>
    </row>
    <row r="76" spans="1:24" x14ac:dyDescent="0.35">
      <c r="A76" s="134"/>
      <c r="B76" s="126" t="s">
        <v>355</v>
      </c>
      <c r="C76" s="136" t="s">
        <v>106</v>
      </c>
      <c r="D76" s="134" t="s">
        <v>17</v>
      </c>
      <c r="E76" s="134" t="s">
        <v>334</v>
      </c>
      <c r="F76" s="134" t="s">
        <v>420</v>
      </c>
      <c r="G76" s="134" t="s">
        <v>284</v>
      </c>
      <c r="H76" s="134">
        <v>14</v>
      </c>
      <c r="I76" s="134" t="s">
        <v>290</v>
      </c>
      <c r="J76" s="134" t="s">
        <v>291</v>
      </c>
      <c r="K76" s="134">
        <v>8000</v>
      </c>
      <c r="L76" s="134">
        <v>1500</v>
      </c>
      <c r="M76" s="134">
        <v>4</v>
      </c>
      <c r="N76" s="135">
        <v>5320</v>
      </c>
      <c r="O76" s="134"/>
      <c r="P76" s="134"/>
      <c r="Q76" s="134"/>
      <c r="R76" s="134"/>
      <c r="S76" s="134"/>
      <c r="T76" s="134"/>
      <c r="U76" s="134"/>
      <c r="V76" s="134"/>
      <c r="W76" s="134"/>
      <c r="X76" s="134"/>
    </row>
    <row r="77" spans="1:24" x14ac:dyDescent="0.35">
      <c r="A77" s="134"/>
      <c r="B77" s="126" t="s">
        <v>355</v>
      </c>
      <c r="C77" s="136" t="s">
        <v>107</v>
      </c>
      <c r="D77" s="134" t="s">
        <v>108</v>
      </c>
      <c r="E77" s="134" t="s">
        <v>329</v>
      </c>
      <c r="F77" s="134" t="s">
        <v>420</v>
      </c>
      <c r="G77" s="134" t="s">
        <v>284</v>
      </c>
      <c r="H77" s="134">
        <v>7</v>
      </c>
      <c r="I77" s="134" t="s">
        <v>290</v>
      </c>
      <c r="J77" s="134" t="s">
        <v>291</v>
      </c>
      <c r="K77" s="134">
        <v>6900</v>
      </c>
      <c r="L77" s="134">
        <v>1500</v>
      </c>
      <c r="M77" s="134">
        <v>6</v>
      </c>
      <c r="N77" s="135">
        <v>3460</v>
      </c>
      <c r="O77" s="134"/>
      <c r="P77" s="134"/>
      <c r="Q77" s="134"/>
      <c r="R77" s="134"/>
      <c r="S77" s="134"/>
      <c r="T77" s="134"/>
      <c r="U77" s="134"/>
      <c r="V77" s="134"/>
      <c r="W77" s="134"/>
      <c r="X77" s="134"/>
    </row>
    <row r="78" spans="1:24" x14ac:dyDescent="0.35">
      <c r="A78" s="134"/>
      <c r="B78" s="126" t="s">
        <v>355</v>
      </c>
      <c r="C78" s="136" t="s">
        <v>109</v>
      </c>
      <c r="D78" s="134" t="s">
        <v>29</v>
      </c>
      <c r="E78" s="134" t="s">
        <v>335</v>
      </c>
      <c r="F78" s="134" t="s">
        <v>419</v>
      </c>
      <c r="G78" s="134" t="s">
        <v>284</v>
      </c>
      <c r="H78" s="134">
        <v>6</v>
      </c>
      <c r="I78" s="134" t="s">
        <v>290</v>
      </c>
      <c r="J78" s="134" t="s">
        <v>291</v>
      </c>
      <c r="K78" s="134">
        <v>8000</v>
      </c>
      <c r="L78" s="134">
        <v>1500</v>
      </c>
      <c r="M78" s="134">
        <v>12</v>
      </c>
      <c r="N78" s="135">
        <v>6870</v>
      </c>
      <c r="O78" s="134"/>
      <c r="P78" s="134"/>
      <c r="Q78" s="134"/>
      <c r="R78" s="134"/>
      <c r="S78" s="134"/>
      <c r="T78" s="134"/>
      <c r="U78" s="134"/>
      <c r="V78" s="134"/>
      <c r="W78" s="134"/>
      <c r="X78" s="134"/>
    </row>
    <row r="79" spans="1:24" ht="13" customHeight="1" x14ac:dyDescent="0.35">
      <c r="A79" s="134">
        <v>16</v>
      </c>
      <c r="B79" s="126" t="s">
        <v>359</v>
      </c>
      <c r="C79" s="136" t="s">
        <v>110</v>
      </c>
      <c r="D79" s="134" t="s">
        <v>64</v>
      </c>
      <c r="E79" s="134" t="s">
        <v>334</v>
      </c>
      <c r="F79" s="134" t="s">
        <v>420</v>
      </c>
      <c r="G79" s="134" t="s">
        <v>284</v>
      </c>
      <c r="H79" s="134">
        <v>12</v>
      </c>
      <c r="I79" s="134" t="s">
        <v>290</v>
      </c>
      <c r="J79" s="134" t="s">
        <v>291</v>
      </c>
      <c r="K79" s="134">
        <v>8000</v>
      </c>
      <c r="L79" s="134">
        <v>1500</v>
      </c>
      <c r="M79" s="134">
        <v>4</v>
      </c>
      <c r="N79" s="135">
        <v>4560</v>
      </c>
      <c r="O79" s="134">
        <f>SUM(N79:N83)</f>
        <v>25220</v>
      </c>
      <c r="P79" s="134"/>
      <c r="Q79" s="126" t="s">
        <v>359</v>
      </c>
      <c r="R79" s="126" t="s">
        <v>406</v>
      </c>
      <c r="S79" s="126" t="s">
        <v>360</v>
      </c>
      <c r="T79" s="126" t="s">
        <v>361</v>
      </c>
      <c r="U79" s="126" t="s">
        <v>229</v>
      </c>
      <c r="V79" s="126" t="s">
        <v>230</v>
      </c>
      <c r="W79" s="126" t="s">
        <v>231</v>
      </c>
      <c r="X79" s="126">
        <v>5453471497</v>
      </c>
    </row>
    <row r="80" spans="1:24" x14ac:dyDescent="0.35">
      <c r="A80" s="134"/>
      <c r="B80" s="126" t="s">
        <v>359</v>
      </c>
      <c r="C80" s="136" t="s">
        <v>111</v>
      </c>
      <c r="D80" s="134" t="s">
        <v>36</v>
      </c>
      <c r="E80" s="134" t="s">
        <v>332</v>
      </c>
      <c r="F80" s="134" t="s">
        <v>420</v>
      </c>
      <c r="G80" s="134" t="s">
        <v>284</v>
      </c>
      <c r="H80" s="134">
        <v>8</v>
      </c>
      <c r="I80" s="134" t="s">
        <v>290</v>
      </c>
      <c r="J80" s="134" t="s">
        <v>291</v>
      </c>
      <c r="K80" s="134">
        <v>6900</v>
      </c>
      <c r="L80" s="134">
        <v>1500</v>
      </c>
      <c r="M80" s="134">
        <v>8</v>
      </c>
      <c r="N80" s="135">
        <v>5240</v>
      </c>
      <c r="O80" s="134"/>
      <c r="P80" s="134"/>
      <c r="Q80" s="134"/>
      <c r="R80" s="134"/>
      <c r="S80" s="134"/>
      <c r="T80" s="134"/>
      <c r="U80" s="134"/>
      <c r="V80" s="134"/>
      <c r="W80" s="134"/>
      <c r="X80" s="134"/>
    </row>
    <row r="81" spans="1:24" x14ac:dyDescent="0.35">
      <c r="A81" s="134"/>
      <c r="B81" s="126" t="s">
        <v>359</v>
      </c>
      <c r="C81" s="136" t="s">
        <v>112</v>
      </c>
      <c r="D81" s="134" t="s">
        <v>113</v>
      </c>
      <c r="E81" s="134" t="s">
        <v>423</v>
      </c>
      <c r="F81" s="134" t="s">
        <v>420</v>
      </c>
      <c r="G81" s="134" t="s">
        <v>284</v>
      </c>
      <c r="H81" s="134">
        <v>9</v>
      </c>
      <c r="I81" s="134" t="s">
        <v>290</v>
      </c>
      <c r="J81" s="134" t="s">
        <v>291</v>
      </c>
      <c r="K81" s="134">
        <v>6000</v>
      </c>
      <c r="L81" s="134">
        <v>1500</v>
      </c>
      <c r="M81" s="134">
        <v>8</v>
      </c>
      <c r="N81" s="135">
        <v>5130</v>
      </c>
      <c r="O81" s="134"/>
      <c r="P81" s="134"/>
      <c r="Q81" s="134"/>
      <c r="R81" s="134"/>
      <c r="S81" s="134"/>
      <c r="T81" s="134"/>
      <c r="U81" s="134"/>
      <c r="V81" s="134"/>
      <c r="W81" s="134"/>
      <c r="X81" s="134"/>
    </row>
    <row r="82" spans="1:24" x14ac:dyDescent="0.35">
      <c r="A82" s="134"/>
      <c r="B82" s="126" t="s">
        <v>359</v>
      </c>
      <c r="C82" s="136" t="s">
        <v>114</v>
      </c>
      <c r="D82" s="134" t="s">
        <v>21</v>
      </c>
      <c r="E82" s="134" t="s">
        <v>335</v>
      </c>
      <c r="F82" s="134" t="s">
        <v>419</v>
      </c>
      <c r="G82" s="134" t="s">
        <v>284</v>
      </c>
      <c r="H82" s="134">
        <v>4</v>
      </c>
      <c r="I82" s="134" t="s">
        <v>290</v>
      </c>
      <c r="J82" s="134" t="s">
        <v>291</v>
      </c>
      <c r="K82" s="134">
        <v>8000</v>
      </c>
      <c r="L82" s="134">
        <v>1500</v>
      </c>
      <c r="M82" s="134">
        <v>12</v>
      </c>
      <c r="N82" s="135">
        <v>4560</v>
      </c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 spans="1:24" x14ac:dyDescent="0.35">
      <c r="A83" s="134"/>
      <c r="B83" s="126" t="s">
        <v>359</v>
      </c>
      <c r="C83" s="136" t="s">
        <v>115</v>
      </c>
      <c r="D83" s="134" t="s">
        <v>49</v>
      </c>
      <c r="E83" s="134" t="s">
        <v>335</v>
      </c>
      <c r="F83" s="134" t="s">
        <v>419</v>
      </c>
      <c r="G83" s="134" t="s">
        <v>284</v>
      </c>
      <c r="H83" s="134">
        <v>5</v>
      </c>
      <c r="I83" s="134" t="s">
        <v>290</v>
      </c>
      <c r="J83" s="134" t="s">
        <v>291</v>
      </c>
      <c r="K83" s="134">
        <v>8000</v>
      </c>
      <c r="L83" s="134">
        <v>1500</v>
      </c>
      <c r="M83" s="134">
        <v>12</v>
      </c>
      <c r="N83" s="135">
        <v>5730</v>
      </c>
      <c r="O83" s="134"/>
      <c r="P83" s="134"/>
      <c r="Q83" s="134"/>
      <c r="R83" s="134"/>
      <c r="S83" s="134"/>
      <c r="T83" s="134"/>
      <c r="U83" s="134"/>
      <c r="V83" s="134"/>
      <c r="W83" s="134"/>
      <c r="X83" s="134"/>
    </row>
    <row r="84" spans="1:24" ht="19" customHeight="1" x14ac:dyDescent="0.35">
      <c r="A84" s="134">
        <v>17</v>
      </c>
      <c r="B84" s="126" t="s">
        <v>362</v>
      </c>
      <c r="C84" s="136" t="s">
        <v>116</v>
      </c>
      <c r="D84" s="134" t="s">
        <v>113</v>
      </c>
      <c r="E84" s="134" t="s">
        <v>423</v>
      </c>
      <c r="F84" s="134" t="s">
        <v>420</v>
      </c>
      <c r="G84" s="134" t="s">
        <v>284</v>
      </c>
      <c r="H84" s="134">
        <v>9</v>
      </c>
      <c r="I84" s="134" t="s">
        <v>290</v>
      </c>
      <c r="J84" s="134" t="s">
        <v>291</v>
      </c>
      <c r="K84" s="134">
        <v>6000</v>
      </c>
      <c r="L84" s="134">
        <v>1500</v>
      </c>
      <c r="M84" s="134">
        <v>8</v>
      </c>
      <c r="N84" s="135">
        <v>5120</v>
      </c>
      <c r="O84" s="134">
        <f>SUM(N84:N88)</f>
        <v>25220</v>
      </c>
      <c r="P84" s="134"/>
      <c r="Q84" s="126" t="s">
        <v>362</v>
      </c>
      <c r="R84" s="126" t="s">
        <v>406</v>
      </c>
      <c r="S84" s="126" t="s">
        <v>363</v>
      </c>
      <c r="T84" s="126" t="s">
        <v>364</v>
      </c>
      <c r="U84" s="126" t="s">
        <v>365</v>
      </c>
      <c r="V84" s="126" t="s">
        <v>366</v>
      </c>
      <c r="W84" s="126" t="s">
        <v>367</v>
      </c>
      <c r="X84" s="126">
        <v>5347650211</v>
      </c>
    </row>
    <row r="85" spans="1:24" x14ac:dyDescent="0.35">
      <c r="A85" s="134"/>
      <c r="B85" s="126" t="s">
        <v>362</v>
      </c>
      <c r="C85" s="136" t="s">
        <v>117</v>
      </c>
      <c r="D85" s="134" t="s">
        <v>21</v>
      </c>
      <c r="E85" s="134" t="s">
        <v>335</v>
      </c>
      <c r="F85" s="134" t="s">
        <v>419</v>
      </c>
      <c r="G85" s="134" t="s">
        <v>284</v>
      </c>
      <c r="H85" s="134">
        <v>4</v>
      </c>
      <c r="I85" s="134" t="s">
        <v>290</v>
      </c>
      <c r="J85" s="134" t="s">
        <v>291</v>
      </c>
      <c r="K85" s="134">
        <v>8000</v>
      </c>
      <c r="L85" s="134">
        <v>1500</v>
      </c>
      <c r="M85" s="134">
        <v>12</v>
      </c>
      <c r="N85" s="135">
        <v>4560</v>
      </c>
      <c r="O85" s="134"/>
      <c r="P85" s="134"/>
      <c r="Q85" s="134"/>
      <c r="R85" s="134"/>
      <c r="S85" s="134"/>
      <c r="T85" s="134"/>
      <c r="U85" s="134"/>
      <c r="V85" s="134"/>
      <c r="W85" s="134"/>
      <c r="X85" s="134"/>
    </row>
    <row r="86" spans="1:24" x14ac:dyDescent="0.35">
      <c r="A86" s="134"/>
      <c r="B86" s="126" t="s">
        <v>362</v>
      </c>
      <c r="C86" s="136" t="s">
        <v>118</v>
      </c>
      <c r="D86" s="134" t="s">
        <v>47</v>
      </c>
      <c r="E86" s="134" t="s">
        <v>336</v>
      </c>
      <c r="F86" s="134" t="s">
        <v>419</v>
      </c>
      <c r="G86" s="134" t="s">
        <v>284</v>
      </c>
      <c r="H86" s="134">
        <v>5</v>
      </c>
      <c r="I86" s="134" t="s">
        <v>290</v>
      </c>
      <c r="J86" s="134" t="s">
        <v>291</v>
      </c>
      <c r="K86" s="134">
        <v>6900</v>
      </c>
      <c r="L86" s="134">
        <v>1500</v>
      </c>
      <c r="M86" s="134">
        <v>12</v>
      </c>
      <c r="N86" s="135">
        <v>4930</v>
      </c>
      <c r="O86" s="134"/>
      <c r="P86" s="134"/>
      <c r="Q86" s="134"/>
      <c r="R86" s="134"/>
      <c r="S86" s="134"/>
      <c r="T86" s="134"/>
      <c r="U86" s="134"/>
      <c r="V86" s="134"/>
      <c r="W86" s="134"/>
      <c r="X86" s="134"/>
    </row>
    <row r="87" spans="1:24" x14ac:dyDescent="0.35">
      <c r="A87" s="134"/>
      <c r="B87" s="126" t="s">
        <v>362</v>
      </c>
      <c r="C87" s="136" t="s">
        <v>119</v>
      </c>
      <c r="D87" s="134" t="s">
        <v>47</v>
      </c>
      <c r="E87" s="134" t="s">
        <v>336</v>
      </c>
      <c r="F87" s="134" t="s">
        <v>419</v>
      </c>
      <c r="G87" s="134" t="s">
        <v>284</v>
      </c>
      <c r="H87" s="134">
        <v>5</v>
      </c>
      <c r="I87" s="134" t="s">
        <v>290</v>
      </c>
      <c r="J87" s="134" t="s">
        <v>291</v>
      </c>
      <c r="K87" s="134">
        <v>6900</v>
      </c>
      <c r="L87" s="134">
        <v>1500</v>
      </c>
      <c r="M87" s="134">
        <v>12</v>
      </c>
      <c r="N87" s="135">
        <v>4900</v>
      </c>
      <c r="O87" s="134"/>
      <c r="P87" s="134"/>
      <c r="Q87" s="134"/>
      <c r="R87" s="134"/>
      <c r="S87" s="134"/>
      <c r="T87" s="134"/>
      <c r="U87" s="134"/>
      <c r="V87" s="134"/>
      <c r="W87" s="134"/>
      <c r="X87" s="134"/>
    </row>
    <row r="88" spans="1:24" x14ac:dyDescent="0.35">
      <c r="A88" s="134"/>
      <c r="B88" s="126" t="s">
        <v>362</v>
      </c>
      <c r="C88" s="136" t="s">
        <v>120</v>
      </c>
      <c r="D88" s="134" t="s">
        <v>49</v>
      </c>
      <c r="E88" s="134" t="s">
        <v>335</v>
      </c>
      <c r="F88" s="134" t="s">
        <v>419</v>
      </c>
      <c r="G88" s="134" t="s">
        <v>284</v>
      </c>
      <c r="H88" s="134">
        <v>5</v>
      </c>
      <c r="I88" s="134" t="s">
        <v>290</v>
      </c>
      <c r="J88" s="134" t="s">
        <v>291</v>
      </c>
      <c r="K88" s="134">
        <v>8000</v>
      </c>
      <c r="L88" s="134">
        <v>1500</v>
      </c>
      <c r="M88" s="134">
        <v>12</v>
      </c>
      <c r="N88" s="135">
        <v>5710</v>
      </c>
      <c r="O88" s="134"/>
      <c r="P88" s="134"/>
      <c r="Q88" s="134"/>
      <c r="R88" s="134"/>
      <c r="S88" s="134"/>
      <c r="T88" s="134"/>
      <c r="U88" s="134"/>
      <c r="V88" s="134"/>
      <c r="W88" s="134"/>
      <c r="X88" s="134"/>
    </row>
    <row r="89" spans="1:24" ht="18" customHeight="1" x14ac:dyDescent="0.35">
      <c r="A89" s="134">
        <v>18</v>
      </c>
      <c r="B89" s="126" t="s">
        <v>407</v>
      </c>
      <c r="C89" s="136" t="s">
        <v>121</v>
      </c>
      <c r="D89" s="134" t="s">
        <v>43</v>
      </c>
      <c r="E89" s="134" t="s">
        <v>338</v>
      </c>
      <c r="F89" s="134" t="s">
        <v>420</v>
      </c>
      <c r="G89" s="134" t="s">
        <v>284</v>
      </c>
      <c r="H89" s="134">
        <v>17</v>
      </c>
      <c r="I89" s="134" t="s">
        <v>290</v>
      </c>
      <c r="J89" s="134" t="s">
        <v>291</v>
      </c>
      <c r="K89" s="134">
        <v>8000</v>
      </c>
      <c r="L89" s="134">
        <v>1500</v>
      </c>
      <c r="M89" s="134">
        <v>3</v>
      </c>
      <c r="N89" s="135">
        <v>4790</v>
      </c>
      <c r="O89" s="134">
        <f>SUM(N89:N93)</f>
        <v>25220</v>
      </c>
      <c r="P89" s="134"/>
      <c r="Q89" s="126" t="s">
        <v>407</v>
      </c>
      <c r="R89" s="126" t="s">
        <v>406</v>
      </c>
      <c r="S89" s="126" t="s">
        <v>408</v>
      </c>
      <c r="T89" s="126" t="s">
        <v>409</v>
      </c>
      <c r="U89" s="126" t="s">
        <v>352</v>
      </c>
      <c r="V89" s="126" t="s">
        <v>353</v>
      </c>
      <c r="W89" s="126" t="s">
        <v>354</v>
      </c>
      <c r="X89" s="126">
        <v>5385425030</v>
      </c>
    </row>
    <row r="90" spans="1:24" x14ac:dyDescent="0.35">
      <c r="A90" s="134"/>
      <c r="B90" s="126" t="s">
        <v>407</v>
      </c>
      <c r="C90" s="136" t="s">
        <v>122</v>
      </c>
      <c r="D90" s="134" t="s">
        <v>17</v>
      </c>
      <c r="E90" s="134" t="s">
        <v>334</v>
      </c>
      <c r="F90" s="134" t="s">
        <v>420</v>
      </c>
      <c r="G90" s="134" t="s">
        <v>284</v>
      </c>
      <c r="H90" s="134">
        <v>14</v>
      </c>
      <c r="I90" s="134" t="s">
        <v>290</v>
      </c>
      <c r="J90" s="134" t="s">
        <v>291</v>
      </c>
      <c r="K90" s="134">
        <v>8000</v>
      </c>
      <c r="L90" s="134">
        <v>1500</v>
      </c>
      <c r="M90" s="134">
        <v>4</v>
      </c>
      <c r="N90" s="135">
        <v>5320</v>
      </c>
      <c r="O90" s="134"/>
      <c r="P90" s="134"/>
      <c r="Q90" s="134"/>
      <c r="R90" s="134"/>
      <c r="S90" s="134"/>
      <c r="T90" s="134"/>
      <c r="U90" s="134"/>
      <c r="V90" s="134"/>
      <c r="W90" s="134"/>
      <c r="X90" s="134"/>
    </row>
    <row r="91" spans="1:24" x14ac:dyDescent="0.35">
      <c r="A91" s="134"/>
      <c r="B91" s="126" t="s">
        <v>407</v>
      </c>
      <c r="C91" s="136" t="s">
        <v>123</v>
      </c>
      <c r="D91" s="134" t="s">
        <v>124</v>
      </c>
      <c r="E91" s="134" t="s">
        <v>329</v>
      </c>
      <c r="F91" s="134" t="s">
        <v>420</v>
      </c>
      <c r="G91" s="134" t="s">
        <v>284</v>
      </c>
      <c r="H91" s="134">
        <v>10</v>
      </c>
      <c r="I91" s="134" t="s">
        <v>290</v>
      </c>
      <c r="J91" s="134" t="s">
        <v>291</v>
      </c>
      <c r="K91" s="134">
        <v>6900</v>
      </c>
      <c r="L91" s="134">
        <v>1500</v>
      </c>
      <c r="M91" s="134">
        <v>6</v>
      </c>
      <c r="N91" s="135">
        <v>4940</v>
      </c>
      <c r="O91" s="134"/>
      <c r="P91" s="134"/>
      <c r="Q91" s="134"/>
      <c r="R91" s="134"/>
      <c r="S91" s="134"/>
      <c r="T91" s="134"/>
      <c r="U91" s="134"/>
      <c r="V91" s="134"/>
      <c r="W91" s="134"/>
      <c r="X91" s="134"/>
    </row>
    <row r="92" spans="1:24" x14ac:dyDescent="0.35">
      <c r="A92" s="134"/>
      <c r="B92" s="126" t="s">
        <v>407</v>
      </c>
      <c r="C92" s="136" t="s">
        <v>125</v>
      </c>
      <c r="D92" s="134" t="s">
        <v>124</v>
      </c>
      <c r="E92" s="134" t="s">
        <v>329</v>
      </c>
      <c r="F92" s="134" t="s">
        <v>420</v>
      </c>
      <c r="G92" s="134" t="s">
        <v>284</v>
      </c>
      <c r="H92" s="134">
        <v>10</v>
      </c>
      <c r="I92" s="134" t="s">
        <v>290</v>
      </c>
      <c r="J92" s="134" t="s">
        <v>291</v>
      </c>
      <c r="K92" s="134">
        <v>6900</v>
      </c>
      <c r="L92" s="134">
        <v>1500</v>
      </c>
      <c r="M92" s="134">
        <v>6</v>
      </c>
      <c r="N92" s="135">
        <v>4930</v>
      </c>
      <c r="O92" s="134"/>
      <c r="P92" s="134"/>
      <c r="Q92" s="134"/>
      <c r="R92" s="134"/>
      <c r="S92" s="134"/>
      <c r="T92" s="134"/>
      <c r="U92" s="134"/>
      <c r="V92" s="134"/>
      <c r="W92" s="134"/>
      <c r="X92" s="134"/>
    </row>
    <row r="93" spans="1:24" x14ac:dyDescent="0.35">
      <c r="A93" s="134"/>
      <c r="B93" s="126" t="s">
        <v>407</v>
      </c>
      <c r="C93" s="136" t="s">
        <v>126</v>
      </c>
      <c r="D93" s="134" t="s">
        <v>36</v>
      </c>
      <c r="E93" s="134" t="s">
        <v>332</v>
      </c>
      <c r="F93" s="134" t="s">
        <v>420</v>
      </c>
      <c r="G93" s="134" t="s">
        <v>284</v>
      </c>
      <c r="H93" s="134">
        <v>8</v>
      </c>
      <c r="I93" s="134" t="s">
        <v>290</v>
      </c>
      <c r="J93" s="134" t="s">
        <v>291</v>
      </c>
      <c r="K93" s="134">
        <v>6900</v>
      </c>
      <c r="L93" s="134">
        <v>1500</v>
      </c>
      <c r="M93" s="134">
        <v>8</v>
      </c>
      <c r="N93" s="135">
        <v>5240</v>
      </c>
      <c r="O93" s="134"/>
      <c r="P93" s="134"/>
      <c r="Q93" s="134"/>
      <c r="R93" s="134"/>
      <c r="S93" s="134"/>
      <c r="T93" s="134"/>
      <c r="U93" s="134"/>
      <c r="V93" s="134"/>
      <c r="W93" s="134"/>
      <c r="X93" s="134"/>
    </row>
    <row r="94" spans="1:24" ht="13" customHeight="1" x14ac:dyDescent="0.35">
      <c r="A94" s="134">
        <v>19</v>
      </c>
      <c r="B94" s="126" t="s">
        <v>410</v>
      </c>
      <c r="C94" s="136" t="s">
        <v>127</v>
      </c>
      <c r="D94" s="134" t="s">
        <v>17</v>
      </c>
      <c r="E94" s="134" t="s">
        <v>334</v>
      </c>
      <c r="F94" s="134" t="s">
        <v>420</v>
      </c>
      <c r="G94" s="134" t="s">
        <v>284</v>
      </c>
      <c r="H94" s="134">
        <v>14</v>
      </c>
      <c r="I94" s="134" t="s">
        <v>290</v>
      </c>
      <c r="J94" s="134" t="s">
        <v>291</v>
      </c>
      <c r="K94" s="134">
        <v>8000</v>
      </c>
      <c r="L94" s="134">
        <v>1500</v>
      </c>
      <c r="M94" s="134">
        <v>4</v>
      </c>
      <c r="N94" s="135">
        <v>5330</v>
      </c>
      <c r="O94" s="134">
        <f>SUM(N94:N98)</f>
        <v>25220</v>
      </c>
      <c r="P94" s="134"/>
      <c r="Q94" s="126" t="s">
        <v>410</v>
      </c>
      <c r="R94" s="126" t="s">
        <v>406</v>
      </c>
      <c r="S94" s="126" t="s">
        <v>411</v>
      </c>
      <c r="T94" s="126" t="s">
        <v>412</v>
      </c>
      <c r="U94" s="126" t="s">
        <v>365</v>
      </c>
      <c r="V94" s="126" t="s">
        <v>366</v>
      </c>
      <c r="W94" s="126" t="s">
        <v>367</v>
      </c>
      <c r="X94" s="126">
        <v>5347650211</v>
      </c>
    </row>
    <row r="95" spans="1:24" x14ac:dyDescent="0.35">
      <c r="A95" s="134"/>
      <c r="B95" s="126" t="s">
        <v>410</v>
      </c>
      <c r="C95" s="136" t="s">
        <v>128</v>
      </c>
      <c r="D95" s="134" t="s">
        <v>124</v>
      </c>
      <c r="E95" s="134" t="s">
        <v>329</v>
      </c>
      <c r="F95" s="134" t="s">
        <v>420</v>
      </c>
      <c r="G95" s="134" t="s">
        <v>284</v>
      </c>
      <c r="H95" s="134">
        <v>10</v>
      </c>
      <c r="I95" s="134" t="s">
        <v>290</v>
      </c>
      <c r="J95" s="134" t="s">
        <v>291</v>
      </c>
      <c r="K95" s="134">
        <v>6900</v>
      </c>
      <c r="L95" s="134">
        <v>1500</v>
      </c>
      <c r="M95" s="134">
        <v>6</v>
      </c>
      <c r="N95" s="135">
        <v>4940</v>
      </c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 spans="1:24" x14ac:dyDescent="0.35">
      <c r="A96" s="134"/>
      <c r="B96" s="126" t="s">
        <v>410</v>
      </c>
      <c r="C96" s="136" t="s">
        <v>129</v>
      </c>
      <c r="D96" s="134" t="s">
        <v>124</v>
      </c>
      <c r="E96" s="134" t="s">
        <v>329</v>
      </c>
      <c r="F96" s="134" t="s">
        <v>420</v>
      </c>
      <c r="G96" s="134" t="s">
        <v>284</v>
      </c>
      <c r="H96" s="134">
        <v>10</v>
      </c>
      <c r="I96" s="134" t="s">
        <v>290</v>
      </c>
      <c r="J96" s="134" t="s">
        <v>291</v>
      </c>
      <c r="K96" s="134">
        <v>6900</v>
      </c>
      <c r="L96" s="134">
        <v>1500</v>
      </c>
      <c r="M96" s="134">
        <v>6</v>
      </c>
      <c r="N96" s="135">
        <v>4940</v>
      </c>
      <c r="O96" s="134"/>
      <c r="P96" s="134"/>
      <c r="Q96" s="134"/>
      <c r="R96" s="134"/>
      <c r="S96" s="134"/>
      <c r="T96" s="134"/>
      <c r="U96" s="134"/>
      <c r="V96" s="134"/>
      <c r="W96" s="134"/>
      <c r="X96" s="134"/>
    </row>
    <row r="97" spans="1:24" x14ac:dyDescent="0.35">
      <c r="A97" s="134"/>
      <c r="B97" s="126" t="s">
        <v>410</v>
      </c>
      <c r="C97" s="136" t="s">
        <v>130</v>
      </c>
      <c r="D97" s="134" t="s">
        <v>27</v>
      </c>
      <c r="E97" s="134" t="s">
        <v>329</v>
      </c>
      <c r="F97" s="134" t="s">
        <v>420</v>
      </c>
      <c r="G97" s="134" t="s">
        <v>284</v>
      </c>
      <c r="H97" s="134">
        <v>11</v>
      </c>
      <c r="I97" s="134" t="s">
        <v>290</v>
      </c>
      <c r="J97" s="134" t="s">
        <v>291</v>
      </c>
      <c r="K97" s="134">
        <v>6900</v>
      </c>
      <c r="L97" s="134">
        <v>1500</v>
      </c>
      <c r="M97" s="134">
        <v>6</v>
      </c>
      <c r="N97" s="135">
        <v>5430</v>
      </c>
      <c r="O97" s="134"/>
      <c r="P97" s="134"/>
      <c r="Q97" s="134"/>
      <c r="R97" s="134"/>
      <c r="S97" s="134"/>
      <c r="T97" s="134"/>
      <c r="U97" s="134"/>
      <c r="V97" s="134"/>
      <c r="W97" s="134"/>
      <c r="X97" s="134"/>
    </row>
    <row r="98" spans="1:24" x14ac:dyDescent="0.35">
      <c r="A98" s="134"/>
      <c r="B98" s="126" t="s">
        <v>410</v>
      </c>
      <c r="C98" s="136" t="s">
        <v>131</v>
      </c>
      <c r="D98" s="134" t="s">
        <v>23</v>
      </c>
      <c r="E98" s="134" t="s">
        <v>335</v>
      </c>
      <c r="F98" s="134" t="s">
        <v>419</v>
      </c>
      <c r="G98" s="134" t="s">
        <v>284</v>
      </c>
      <c r="H98" s="134">
        <v>4</v>
      </c>
      <c r="I98" s="134" t="s">
        <v>290</v>
      </c>
      <c r="J98" s="134" t="s">
        <v>291</v>
      </c>
      <c r="K98" s="134">
        <v>8000</v>
      </c>
      <c r="L98" s="134">
        <v>1500</v>
      </c>
      <c r="M98" s="134">
        <v>12</v>
      </c>
      <c r="N98" s="135">
        <v>4580</v>
      </c>
      <c r="O98" s="134"/>
      <c r="P98" s="134"/>
      <c r="Q98" s="134"/>
      <c r="R98" s="134"/>
      <c r="S98" s="134"/>
      <c r="T98" s="134"/>
      <c r="U98" s="134"/>
      <c r="V98" s="134"/>
      <c r="W98" s="134"/>
      <c r="X98" s="134"/>
    </row>
    <row r="99" spans="1:24" x14ac:dyDescent="0.35">
      <c r="A99" s="134">
        <v>20</v>
      </c>
      <c r="B99" s="126" t="s">
        <v>413</v>
      </c>
      <c r="C99" s="136" t="s">
        <v>132</v>
      </c>
      <c r="D99" s="134" t="s">
        <v>133</v>
      </c>
      <c r="E99" s="134" t="s">
        <v>430</v>
      </c>
      <c r="F99" s="134" t="s">
        <v>420</v>
      </c>
      <c r="G99" s="134" t="s">
        <v>284</v>
      </c>
      <c r="H99" s="134">
        <v>8</v>
      </c>
      <c r="I99" s="134" t="s">
        <v>290</v>
      </c>
      <c r="J99" s="134" t="s">
        <v>291</v>
      </c>
      <c r="K99" s="134">
        <v>6000</v>
      </c>
      <c r="L99" s="134">
        <v>1500</v>
      </c>
      <c r="M99" s="134">
        <v>4</v>
      </c>
      <c r="N99" s="135">
        <v>2280</v>
      </c>
      <c r="O99" s="134">
        <f>SUM(N99:N103)</f>
        <v>25200</v>
      </c>
      <c r="P99" s="134"/>
      <c r="Q99" s="126" t="s">
        <v>413</v>
      </c>
      <c r="R99" s="126" t="s">
        <v>406</v>
      </c>
      <c r="S99" s="126" t="s">
        <v>414</v>
      </c>
      <c r="T99" s="126" t="s">
        <v>415</v>
      </c>
      <c r="U99" s="126" t="s">
        <v>241</v>
      </c>
      <c r="V99" s="126" t="s">
        <v>242</v>
      </c>
      <c r="W99" s="126" t="s">
        <v>243</v>
      </c>
      <c r="X99" s="126">
        <v>5382203477</v>
      </c>
    </row>
    <row r="100" spans="1:24" x14ac:dyDescent="0.35">
      <c r="A100" s="134"/>
      <c r="B100" s="126" t="s">
        <v>413</v>
      </c>
      <c r="C100" s="136" t="s">
        <v>134</v>
      </c>
      <c r="D100" s="134" t="s">
        <v>135</v>
      </c>
      <c r="E100" s="134" t="s">
        <v>333</v>
      </c>
      <c r="F100" s="134" t="s">
        <v>420</v>
      </c>
      <c r="G100" s="134" t="s">
        <v>284</v>
      </c>
      <c r="H100" s="134">
        <v>7</v>
      </c>
      <c r="I100" s="134" t="s">
        <v>290</v>
      </c>
      <c r="J100" s="134" t="s">
        <v>291</v>
      </c>
      <c r="K100" s="134">
        <v>6900</v>
      </c>
      <c r="L100" s="134">
        <v>1500</v>
      </c>
      <c r="M100" s="134">
        <v>10</v>
      </c>
      <c r="N100" s="135">
        <v>5730</v>
      </c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</row>
    <row r="101" spans="1:24" x14ac:dyDescent="0.35">
      <c r="A101" s="134"/>
      <c r="B101" s="126" t="s">
        <v>413</v>
      </c>
      <c r="C101" s="136" t="s">
        <v>136</v>
      </c>
      <c r="D101" s="134" t="s">
        <v>135</v>
      </c>
      <c r="E101" s="134" t="s">
        <v>333</v>
      </c>
      <c r="F101" s="134" t="s">
        <v>420</v>
      </c>
      <c r="G101" s="134" t="s">
        <v>284</v>
      </c>
      <c r="H101" s="134">
        <v>7</v>
      </c>
      <c r="I101" s="134" t="s">
        <v>290</v>
      </c>
      <c r="J101" s="134" t="s">
        <v>291</v>
      </c>
      <c r="K101" s="134">
        <v>6900</v>
      </c>
      <c r="L101" s="134">
        <v>1500</v>
      </c>
      <c r="M101" s="134">
        <v>10</v>
      </c>
      <c r="N101" s="135">
        <v>5730</v>
      </c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</row>
    <row r="102" spans="1:24" x14ac:dyDescent="0.35">
      <c r="A102" s="134"/>
      <c r="B102" s="126" t="s">
        <v>413</v>
      </c>
      <c r="C102" s="136" t="s">
        <v>137</v>
      </c>
      <c r="D102" s="134" t="s">
        <v>49</v>
      </c>
      <c r="E102" s="134" t="s">
        <v>335</v>
      </c>
      <c r="F102" s="134" t="s">
        <v>419</v>
      </c>
      <c r="G102" s="134" t="s">
        <v>284</v>
      </c>
      <c r="H102" s="134">
        <v>5</v>
      </c>
      <c r="I102" s="134" t="s">
        <v>290</v>
      </c>
      <c r="J102" s="134" t="s">
        <v>291</v>
      </c>
      <c r="K102" s="134">
        <v>8000</v>
      </c>
      <c r="L102" s="134">
        <v>1500</v>
      </c>
      <c r="M102" s="134">
        <v>12</v>
      </c>
      <c r="N102" s="135">
        <v>5730</v>
      </c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</row>
    <row r="103" spans="1:24" x14ac:dyDescent="0.35">
      <c r="A103" s="134"/>
      <c r="B103" s="126" t="s">
        <v>413</v>
      </c>
      <c r="C103" s="136" t="s">
        <v>138</v>
      </c>
      <c r="D103" s="134" t="s">
        <v>49</v>
      </c>
      <c r="E103" s="134" t="s">
        <v>335</v>
      </c>
      <c r="F103" s="134" t="s">
        <v>419</v>
      </c>
      <c r="G103" s="134" t="s">
        <v>284</v>
      </c>
      <c r="H103" s="134">
        <v>5</v>
      </c>
      <c r="I103" s="134" t="s">
        <v>290</v>
      </c>
      <c r="J103" s="134" t="s">
        <v>291</v>
      </c>
      <c r="K103" s="134">
        <v>8000</v>
      </c>
      <c r="L103" s="134">
        <v>1500</v>
      </c>
      <c r="M103" s="134">
        <v>12</v>
      </c>
      <c r="N103" s="135">
        <v>5730</v>
      </c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</row>
    <row r="104" spans="1:24" s="242" customFormat="1" ht="12" customHeight="1" x14ac:dyDescent="0.35">
      <c r="A104" s="135">
        <v>21</v>
      </c>
      <c r="B104" s="126" t="s">
        <v>416</v>
      </c>
      <c r="C104" s="241" t="s">
        <v>426</v>
      </c>
      <c r="D104" s="135" t="s">
        <v>34</v>
      </c>
      <c r="E104" s="135" t="s">
        <v>336</v>
      </c>
      <c r="F104" s="135" t="s">
        <v>420</v>
      </c>
      <c r="G104" s="135" t="s">
        <v>284</v>
      </c>
      <c r="H104" s="135">
        <v>5</v>
      </c>
      <c r="I104" s="135" t="s">
        <v>290</v>
      </c>
      <c r="J104" s="135" t="s">
        <v>291</v>
      </c>
      <c r="K104" s="135">
        <v>6900</v>
      </c>
      <c r="L104" s="135">
        <v>1500</v>
      </c>
      <c r="M104" s="135">
        <v>12</v>
      </c>
      <c r="N104" s="135">
        <v>2280</v>
      </c>
      <c r="O104" s="135">
        <f>SUM(N104:N107)</f>
        <v>19470</v>
      </c>
      <c r="P104" s="135"/>
      <c r="Q104" s="126" t="s">
        <v>416</v>
      </c>
      <c r="R104" s="126" t="s">
        <v>406</v>
      </c>
      <c r="S104" s="126" t="s">
        <v>417</v>
      </c>
      <c r="T104" s="126" t="s">
        <v>418</v>
      </c>
      <c r="U104" s="126" t="s">
        <v>229</v>
      </c>
      <c r="V104" s="126" t="s">
        <v>230</v>
      </c>
      <c r="W104" s="126" t="s">
        <v>231</v>
      </c>
      <c r="X104" s="126">
        <v>5453471497</v>
      </c>
    </row>
    <row r="105" spans="1:24" x14ac:dyDescent="0.35">
      <c r="A105" s="134"/>
      <c r="B105" s="126" t="s">
        <v>416</v>
      </c>
      <c r="C105" s="136" t="s">
        <v>427</v>
      </c>
      <c r="D105" s="134" t="s">
        <v>34</v>
      </c>
      <c r="E105" s="134" t="s">
        <v>336</v>
      </c>
      <c r="F105" s="134" t="s">
        <v>420</v>
      </c>
      <c r="G105" s="134" t="s">
        <v>284</v>
      </c>
      <c r="H105" s="134">
        <v>5</v>
      </c>
      <c r="I105" s="134" t="s">
        <v>290</v>
      </c>
      <c r="J105" s="134" t="s">
        <v>291</v>
      </c>
      <c r="K105" s="134">
        <v>6900</v>
      </c>
      <c r="L105" s="134">
        <v>1500</v>
      </c>
      <c r="M105" s="134">
        <v>12</v>
      </c>
      <c r="N105" s="135">
        <v>5730</v>
      </c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</row>
    <row r="106" spans="1:24" x14ac:dyDescent="0.35">
      <c r="A106" s="134"/>
      <c r="B106" s="126" t="s">
        <v>416</v>
      </c>
      <c r="C106" s="136" t="s">
        <v>428</v>
      </c>
      <c r="D106" s="134" t="s">
        <v>34</v>
      </c>
      <c r="E106" s="134" t="s">
        <v>336</v>
      </c>
      <c r="F106" s="134" t="s">
        <v>420</v>
      </c>
      <c r="G106" s="134" t="s">
        <v>284</v>
      </c>
      <c r="H106" s="134">
        <v>5</v>
      </c>
      <c r="I106" s="134" t="s">
        <v>290</v>
      </c>
      <c r="J106" s="134" t="s">
        <v>291</v>
      </c>
      <c r="K106" s="134">
        <v>6900</v>
      </c>
      <c r="L106" s="134">
        <v>1500</v>
      </c>
      <c r="M106" s="134">
        <v>12</v>
      </c>
      <c r="N106" s="135">
        <v>5730</v>
      </c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</row>
    <row r="107" spans="1:24" x14ac:dyDescent="0.35">
      <c r="A107" s="134"/>
      <c r="B107" s="126" t="s">
        <v>416</v>
      </c>
      <c r="C107" s="136" t="s">
        <v>429</v>
      </c>
      <c r="D107" s="134" t="s">
        <v>425</v>
      </c>
      <c r="E107" s="134" t="s">
        <v>336</v>
      </c>
      <c r="F107" s="134" t="s">
        <v>419</v>
      </c>
      <c r="G107" s="134" t="s">
        <v>284</v>
      </c>
      <c r="H107" s="134">
        <v>5</v>
      </c>
      <c r="I107" s="134" t="s">
        <v>290</v>
      </c>
      <c r="J107" s="134" t="s">
        <v>291</v>
      </c>
      <c r="K107" s="134">
        <v>6900</v>
      </c>
      <c r="L107" s="134">
        <v>1500</v>
      </c>
      <c r="M107" s="134">
        <v>12</v>
      </c>
      <c r="N107" s="135">
        <v>5730</v>
      </c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</row>
  </sheetData>
  <autoFilter ref="A2:X103" xr:uid="{C9F0F9B6-95E0-4D92-B5A6-6D8A1E5E99A4}"/>
  <phoneticPr fontId="20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9" tint="0.79998168889431442"/>
  </sheetPr>
  <dimension ref="A1:O39"/>
  <sheetViews>
    <sheetView showGridLines="0" topLeftCell="A5" zoomScale="70" zoomScaleNormal="70" workbookViewId="0">
      <selection activeCell="M13" sqref="M13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340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421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83</v>
      </c>
      <c r="D13" s="135" t="s">
        <v>334</v>
      </c>
      <c r="E13" s="135" t="s">
        <v>420</v>
      </c>
      <c r="F13" s="135" t="s">
        <v>284</v>
      </c>
      <c r="G13" s="135">
        <v>14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4</v>
      </c>
      <c r="M13" s="135">
        <v>5312</v>
      </c>
      <c r="N13" s="169"/>
      <c r="O13" s="169"/>
    </row>
    <row r="14" spans="1:15" ht="21" customHeight="1" x14ac:dyDescent="0.35">
      <c r="A14" s="163">
        <v>2</v>
      </c>
      <c r="B14" s="160"/>
      <c r="C14" s="159" t="s">
        <v>85</v>
      </c>
      <c r="D14" s="135" t="s">
        <v>336</v>
      </c>
      <c r="E14" s="135" t="s">
        <v>419</v>
      </c>
      <c r="F14" s="135" t="s">
        <v>284</v>
      </c>
      <c r="G14" s="135">
        <v>4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12</v>
      </c>
      <c r="M14" s="135">
        <v>3922</v>
      </c>
      <c r="N14" s="238"/>
      <c r="O14" s="238"/>
    </row>
    <row r="15" spans="1:15" ht="21" customHeight="1" x14ac:dyDescent="0.35">
      <c r="A15" s="163">
        <v>3</v>
      </c>
      <c r="B15" s="160"/>
      <c r="C15" s="159" t="s">
        <v>87</v>
      </c>
      <c r="D15" s="135" t="s">
        <v>335</v>
      </c>
      <c r="E15" s="135" t="s">
        <v>419</v>
      </c>
      <c r="F15" s="135" t="s">
        <v>284</v>
      </c>
      <c r="G15" s="135">
        <v>6</v>
      </c>
      <c r="H15" s="135" t="s">
        <v>290</v>
      </c>
      <c r="I15" s="135" t="s">
        <v>291</v>
      </c>
      <c r="J15" s="135">
        <v>8000</v>
      </c>
      <c r="K15" s="135">
        <v>1500</v>
      </c>
      <c r="L15" s="135">
        <v>12</v>
      </c>
      <c r="M15" s="135">
        <v>6861</v>
      </c>
      <c r="N15" s="169"/>
      <c r="O15" s="169"/>
    </row>
    <row r="16" spans="1:15" ht="21" customHeight="1" x14ac:dyDescent="0.35">
      <c r="A16" s="163">
        <v>4</v>
      </c>
      <c r="B16" s="160"/>
      <c r="C16" s="159" t="s">
        <v>88</v>
      </c>
      <c r="D16" s="135" t="s">
        <v>335</v>
      </c>
      <c r="E16" s="135" t="s">
        <v>419</v>
      </c>
      <c r="F16" s="135" t="s">
        <v>284</v>
      </c>
      <c r="G16" s="135">
        <v>4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4540</v>
      </c>
      <c r="N16" s="169"/>
      <c r="O16" s="169"/>
    </row>
    <row r="17" spans="1:15" ht="21" customHeight="1" x14ac:dyDescent="0.35">
      <c r="A17" s="163">
        <v>5</v>
      </c>
      <c r="B17" s="160"/>
      <c r="C17" s="159" t="s">
        <v>84</v>
      </c>
      <c r="D17" s="135" t="s">
        <v>335</v>
      </c>
      <c r="E17" s="135" t="s">
        <v>419</v>
      </c>
      <c r="F17" s="135" t="s">
        <v>284</v>
      </c>
      <c r="G17" s="135">
        <v>4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4540</v>
      </c>
      <c r="N17" s="169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32</v>
      </c>
      <c r="H23" s="166"/>
      <c r="I23" s="166"/>
      <c r="J23" s="166"/>
      <c r="K23" s="166"/>
      <c r="L23" s="166"/>
      <c r="M23" s="165">
        <f>SUM(M13:M22)</f>
        <v>25175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32</v>
      </c>
      <c r="G25" s="277" t="s">
        <v>198</v>
      </c>
      <c r="H25" s="277"/>
      <c r="I25" s="119">
        <f>SUM(M13:M22)</f>
        <v>25175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BCA8-5E92-481E-8755-E3E5D34AB1D2}">
  <sheetPr>
    <tabColor theme="9" tint="0.79998168889431442"/>
  </sheetPr>
  <dimension ref="A1:O39"/>
  <sheetViews>
    <sheetView showGridLines="0" topLeftCell="A5" zoomScale="70" zoomScaleNormal="70" workbookViewId="0">
      <selection activeCell="M18" sqref="M18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343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393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89</v>
      </c>
      <c r="D13" s="135" t="s">
        <v>338</v>
      </c>
      <c r="E13" s="135" t="s">
        <v>420</v>
      </c>
      <c r="F13" s="135" t="s">
        <v>284</v>
      </c>
      <c r="G13" s="135">
        <v>17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3</v>
      </c>
      <c r="M13" s="135">
        <v>4773</v>
      </c>
      <c r="N13" s="169"/>
      <c r="O13" s="169"/>
    </row>
    <row r="14" spans="1:15" ht="21" customHeight="1" x14ac:dyDescent="0.35">
      <c r="A14" s="163">
        <v>2</v>
      </c>
      <c r="B14" s="160"/>
      <c r="C14" s="159" t="s">
        <v>90</v>
      </c>
      <c r="D14" s="135" t="s">
        <v>329</v>
      </c>
      <c r="E14" s="135" t="s">
        <v>420</v>
      </c>
      <c r="F14" s="135" t="s">
        <v>284</v>
      </c>
      <c r="G14" s="135">
        <v>11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6</v>
      </c>
      <c r="M14" s="135">
        <v>5419</v>
      </c>
      <c r="N14" s="239"/>
      <c r="O14" s="239"/>
    </row>
    <row r="15" spans="1:15" ht="21" customHeight="1" x14ac:dyDescent="0.35">
      <c r="A15" s="163">
        <v>3</v>
      </c>
      <c r="B15" s="160"/>
      <c r="C15" s="159" t="s">
        <v>91</v>
      </c>
      <c r="D15" s="135" t="s">
        <v>332</v>
      </c>
      <c r="E15" s="135" t="s">
        <v>420</v>
      </c>
      <c r="F15" s="135" t="s">
        <v>284</v>
      </c>
      <c r="G15" s="135">
        <v>8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8</v>
      </c>
      <c r="M15" s="135">
        <v>5219</v>
      </c>
      <c r="N15" s="169"/>
      <c r="O15" s="169"/>
    </row>
    <row r="16" spans="1:15" ht="21" customHeight="1" x14ac:dyDescent="0.35">
      <c r="A16" s="163">
        <v>4</v>
      </c>
      <c r="B16" s="160"/>
      <c r="C16" s="159" t="s">
        <v>92</v>
      </c>
      <c r="D16" s="135" t="s">
        <v>332</v>
      </c>
      <c r="E16" s="135" t="s">
        <v>420</v>
      </c>
      <c r="F16" s="135" t="s">
        <v>284</v>
      </c>
      <c r="G16" s="135">
        <v>8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8</v>
      </c>
      <c r="M16" s="135">
        <v>5219</v>
      </c>
      <c r="N16" s="169"/>
      <c r="O16" s="169"/>
    </row>
    <row r="17" spans="1:15" ht="21" customHeight="1" x14ac:dyDescent="0.35">
      <c r="A17" s="163">
        <v>5</v>
      </c>
      <c r="B17" s="160"/>
      <c r="C17" s="159" t="s">
        <v>93</v>
      </c>
      <c r="D17" s="135" t="s">
        <v>335</v>
      </c>
      <c r="E17" s="135" t="s">
        <v>419</v>
      </c>
      <c r="F17" s="135" t="s">
        <v>284</v>
      </c>
      <c r="G17" s="135">
        <v>4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4545</v>
      </c>
      <c r="N17" s="169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48</v>
      </c>
      <c r="H23" s="166"/>
      <c r="I23" s="166"/>
      <c r="J23" s="166"/>
      <c r="K23" s="166"/>
      <c r="L23" s="166"/>
      <c r="M23" s="165">
        <f>SUM(M13:M22)</f>
        <v>25175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48</v>
      </c>
      <c r="G25" s="277" t="s">
        <v>198</v>
      </c>
      <c r="H25" s="277"/>
      <c r="I25" s="119">
        <f>SUM(M13:M22)</f>
        <v>25175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9ABE-B569-4526-8F1C-E3EA74236D81}">
  <sheetPr>
    <tabColor theme="9" tint="0.79998168889431442"/>
  </sheetPr>
  <dimension ref="A1:O39"/>
  <sheetViews>
    <sheetView showGridLines="0" topLeftCell="A5" zoomScale="70" zoomScaleNormal="70" workbookViewId="0">
      <selection activeCell="S16" sqref="S16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346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422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89</v>
      </c>
      <c r="D13" s="135" t="s">
        <v>338</v>
      </c>
      <c r="E13" s="135" t="s">
        <v>420</v>
      </c>
      <c r="F13" s="135" t="s">
        <v>284</v>
      </c>
      <c r="G13" s="135">
        <v>17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3</v>
      </c>
      <c r="M13" s="135">
        <v>4773</v>
      </c>
      <c r="N13" s="169"/>
      <c r="O13" s="169"/>
    </row>
    <row r="14" spans="1:15" ht="21" customHeight="1" x14ac:dyDescent="0.35">
      <c r="A14" s="163">
        <v>2</v>
      </c>
      <c r="B14" s="160"/>
      <c r="C14" s="159" t="s">
        <v>90</v>
      </c>
      <c r="D14" s="135" t="s">
        <v>329</v>
      </c>
      <c r="E14" s="135" t="s">
        <v>420</v>
      </c>
      <c r="F14" s="135" t="s">
        <v>284</v>
      </c>
      <c r="G14" s="135">
        <v>11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6</v>
      </c>
      <c r="M14" s="135">
        <v>5419</v>
      </c>
      <c r="N14" s="239"/>
      <c r="O14" s="239"/>
    </row>
    <row r="15" spans="1:15" ht="21" customHeight="1" x14ac:dyDescent="0.35">
      <c r="A15" s="163">
        <v>3</v>
      </c>
      <c r="B15" s="160"/>
      <c r="C15" s="159" t="s">
        <v>91</v>
      </c>
      <c r="D15" s="135" t="s">
        <v>332</v>
      </c>
      <c r="E15" s="135" t="s">
        <v>420</v>
      </c>
      <c r="F15" s="135" t="s">
        <v>284</v>
      </c>
      <c r="G15" s="135">
        <v>8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8</v>
      </c>
      <c r="M15" s="135">
        <v>5219</v>
      </c>
      <c r="N15" s="169"/>
      <c r="O15" s="169"/>
    </row>
    <row r="16" spans="1:15" ht="21" customHeight="1" x14ac:dyDescent="0.35">
      <c r="A16" s="163">
        <v>4</v>
      </c>
      <c r="B16" s="160"/>
      <c r="C16" s="159" t="s">
        <v>92</v>
      </c>
      <c r="D16" s="135" t="s">
        <v>332</v>
      </c>
      <c r="E16" s="135" t="s">
        <v>420</v>
      </c>
      <c r="F16" s="135" t="s">
        <v>284</v>
      </c>
      <c r="G16" s="135">
        <v>8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8</v>
      </c>
      <c r="M16" s="135">
        <v>5219</v>
      </c>
      <c r="N16" s="169"/>
      <c r="O16" s="169"/>
    </row>
    <row r="17" spans="1:15" ht="21" customHeight="1" x14ac:dyDescent="0.35">
      <c r="A17" s="163">
        <v>5</v>
      </c>
      <c r="B17" s="160"/>
      <c r="C17" s="159" t="s">
        <v>93</v>
      </c>
      <c r="D17" s="135" t="s">
        <v>335</v>
      </c>
      <c r="E17" s="135" t="s">
        <v>419</v>
      </c>
      <c r="F17" s="135" t="s">
        <v>284</v>
      </c>
      <c r="G17" s="135">
        <v>4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4545</v>
      </c>
      <c r="N17" s="169"/>
      <c r="O17" s="16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48</v>
      </c>
      <c r="H23" s="166"/>
      <c r="I23" s="166"/>
      <c r="J23" s="166"/>
      <c r="K23" s="166"/>
      <c r="L23" s="166"/>
      <c r="M23" s="165">
        <f>SUM(M13:M22)</f>
        <v>25175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48</v>
      </c>
      <c r="G25" s="277" t="s">
        <v>198</v>
      </c>
      <c r="H25" s="277"/>
      <c r="I25" s="119">
        <f>SUM(M13:M22)</f>
        <v>25175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2E0A-6EB3-47FC-AD2E-BF3C26EC50AF}">
  <sheetPr>
    <tabColor theme="9" tint="0.79998168889431442"/>
  </sheetPr>
  <dimension ref="A1:O39"/>
  <sheetViews>
    <sheetView showGridLines="0" topLeftCell="A5" zoomScale="70" zoomScaleNormal="70" workbookViewId="0">
      <selection activeCell="Q20" sqref="Q20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349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431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99</v>
      </c>
      <c r="D13" s="135" t="s">
        <v>338</v>
      </c>
      <c r="E13" s="135" t="s">
        <v>420</v>
      </c>
      <c r="F13" s="135" t="s">
        <v>284</v>
      </c>
      <c r="G13" s="135">
        <v>17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3</v>
      </c>
      <c r="M13" s="135">
        <v>4764</v>
      </c>
      <c r="N13" s="169"/>
      <c r="O13" s="238"/>
    </row>
    <row r="14" spans="1:15" ht="21" customHeight="1" x14ac:dyDescent="0.35">
      <c r="A14" s="163">
        <v>2</v>
      </c>
      <c r="B14" s="160"/>
      <c r="C14" s="159" t="s">
        <v>100</v>
      </c>
      <c r="D14" s="135" t="s">
        <v>332</v>
      </c>
      <c r="E14" s="135" t="s">
        <v>420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5208</v>
      </c>
      <c r="N14" s="239"/>
      <c r="O14" s="238"/>
    </row>
    <row r="15" spans="1:15" ht="21" customHeight="1" x14ac:dyDescent="0.35">
      <c r="A15" s="163">
        <v>3</v>
      </c>
      <c r="B15" s="160"/>
      <c r="C15" s="159" t="s">
        <v>101</v>
      </c>
      <c r="D15" s="135" t="s">
        <v>335</v>
      </c>
      <c r="E15" s="135" t="s">
        <v>419</v>
      </c>
      <c r="F15" s="135" t="s">
        <v>284</v>
      </c>
      <c r="G15" s="135">
        <v>4</v>
      </c>
      <c r="H15" s="135" t="s">
        <v>290</v>
      </c>
      <c r="I15" s="135" t="s">
        <v>291</v>
      </c>
      <c r="J15" s="135">
        <v>8000</v>
      </c>
      <c r="K15" s="135">
        <v>1500</v>
      </c>
      <c r="L15" s="135">
        <v>12</v>
      </c>
      <c r="M15" s="135">
        <v>4600</v>
      </c>
      <c r="N15" s="169"/>
      <c r="O15" s="238"/>
    </row>
    <row r="16" spans="1:15" ht="21" customHeight="1" x14ac:dyDescent="0.35">
      <c r="A16" s="163">
        <v>4</v>
      </c>
      <c r="B16" s="160"/>
      <c r="C16" s="159" t="s">
        <v>103</v>
      </c>
      <c r="D16" s="135" t="s">
        <v>335</v>
      </c>
      <c r="E16" s="135" t="s">
        <v>419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5603</v>
      </c>
      <c r="N16" s="169"/>
      <c r="O16" s="238"/>
    </row>
    <row r="17" spans="1:15" ht="21" customHeight="1" x14ac:dyDescent="0.35">
      <c r="A17" s="163">
        <v>5</v>
      </c>
      <c r="B17" s="160"/>
      <c r="C17" s="159" t="s">
        <v>102</v>
      </c>
      <c r="D17" s="135" t="s">
        <v>336</v>
      </c>
      <c r="E17" s="135" t="s">
        <v>419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12</v>
      </c>
      <c r="M17" s="135">
        <v>4900</v>
      </c>
      <c r="N17" s="169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39</v>
      </c>
      <c r="H23" s="166"/>
      <c r="I23" s="166"/>
      <c r="J23" s="166"/>
      <c r="K23" s="166"/>
      <c r="L23" s="166"/>
      <c r="M23" s="165">
        <f>SUM(M13:M22)</f>
        <v>25075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39</v>
      </c>
      <c r="G25" s="277" t="s">
        <v>198</v>
      </c>
      <c r="H25" s="277"/>
      <c r="I25" s="119">
        <f>SUM(M13:M22)</f>
        <v>25075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9D27-B534-4A2B-8C92-F9BA13D4F5D9}">
  <sheetPr>
    <tabColor theme="9" tint="0.79998168889431442"/>
  </sheetPr>
  <dimension ref="A1:O39"/>
  <sheetViews>
    <sheetView showGridLines="0" topLeftCell="A5" zoomScale="70" zoomScaleNormal="70" workbookViewId="0">
      <selection activeCell="N21" sqref="N21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355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432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104</v>
      </c>
      <c r="D13" s="135" t="s">
        <v>338</v>
      </c>
      <c r="E13" s="135" t="s">
        <v>420</v>
      </c>
      <c r="F13" s="135" t="s">
        <v>284</v>
      </c>
      <c r="G13" s="135">
        <v>17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3</v>
      </c>
      <c r="M13" s="135">
        <v>4790</v>
      </c>
      <c r="N13" s="239"/>
      <c r="O13" s="239"/>
    </row>
    <row r="14" spans="1:15" ht="21" customHeight="1" x14ac:dyDescent="0.35">
      <c r="A14" s="163">
        <v>2</v>
      </c>
      <c r="B14" s="160"/>
      <c r="C14" s="159" t="s">
        <v>105</v>
      </c>
      <c r="D14" s="135" t="s">
        <v>338</v>
      </c>
      <c r="E14" s="135" t="s">
        <v>420</v>
      </c>
      <c r="F14" s="135" t="s">
        <v>284</v>
      </c>
      <c r="G14" s="135">
        <v>17</v>
      </c>
      <c r="H14" s="135" t="s">
        <v>290</v>
      </c>
      <c r="I14" s="135" t="s">
        <v>291</v>
      </c>
      <c r="J14" s="135">
        <v>8000</v>
      </c>
      <c r="K14" s="135">
        <v>1500</v>
      </c>
      <c r="L14" s="135">
        <v>3</v>
      </c>
      <c r="M14" s="135">
        <v>4780</v>
      </c>
      <c r="N14" s="239"/>
      <c r="O14" s="239"/>
    </row>
    <row r="15" spans="1:15" ht="21" customHeight="1" x14ac:dyDescent="0.35">
      <c r="A15" s="163">
        <v>3</v>
      </c>
      <c r="B15" s="160"/>
      <c r="C15" s="159" t="s">
        <v>106</v>
      </c>
      <c r="D15" s="135" t="s">
        <v>334</v>
      </c>
      <c r="E15" s="135" t="s">
        <v>420</v>
      </c>
      <c r="F15" s="135" t="s">
        <v>284</v>
      </c>
      <c r="G15" s="135">
        <v>14</v>
      </c>
      <c r="H15" s="135" t="s">
        <v>290</v>
      </c>
      <c r="I15" s="135" t="s">
        <v>291</v>
      </c>
      <c r="J15" s="135">
        <v>8000</v>
      </c>
      <c r="K15" s="135">
        <v>1500</v>
      </c>
      <c r="L15" s="135">
        <v>4</v>
      </c>
      <c r="M15" s="135">
        <v>5320</v>
      </c>
      <c r="N15" s="239"/>
      <c r="O15" s="239"/>
    </row>
    <row r="16" spans="1:15" ht="21" customHeight="1" x14ac:dyDescent="0.35">
      <c r="A16" s="163">
        <v>4</v>
      </c>
      <c r="B16" s="160"/>
      <c r="C16" s="159" t="s">
        <v>107</v>
      </c>
      <c r="D16" s="135" t="s">
        <v>329</v>
      </c>
      <c r="E16" s="135" t="s">
        <v>420</v>
      </c>
      <c r="F16" s="135" t="s">
        <v>284</v>
      </c>
      <c r="G16" s="135">
        <v>7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6</v>
      </c>
      <c r="M16" s="135">
        <v>3460</v>
      </c>
      <c r="N16" s="239"/>
      <c r="O16" s="239"/>
    </row>
    <row r="17" spans="1:15" ht="21" customHeight="1" x14ac:dyDescent="0.35">
      <c r="A17" s="163">
        <v>5</v>
      </c>
      <c r="B17" s="160"/>
      <c r="C17" s="159" t="s">
        <v>109</v>
      </c>
      <c r="D17" s="135" t="s">
        <v>335</v>
      </c>
      <c r="E17" s="135" t="s">
        <v>419</v>
      </c>
      <c r="F17" s="135" t="s">
        <v>284</v>
      </c>
      <c r="G17" s="135">
        <v>6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6870</v>
      </c>
      <c r="N17" s="239"/>
      <c r="O17" s="239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61</v>
      </c>
      <c r="H23" s="166"/>
      <c r="I23" s="166"/>
      <c r="J23" s="166"/>
      <c r="K23" s="166"/>
      <c r="L23" s="166"/>
      <c r="M23" s="165">
        <f>SUM(M13:M22)</f>
        <v>25220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61</v>
      </c>
      <c r="G25" s="277" t="s">
        <v>198</v>
      </c>
      <c r="H25" s="277"/>
      <c r="I25" s="119">
        <f>SUM(M13:M22)</f>
        <v>25220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6668-F894-4843-807C-BDB7EB57ED23}">
  <sheetPr>
    <tabColor theme="9" tint="0.79998168889431442"/>
  </sheetPr>
  <dimension ref="A1:O39"/>
  <sheetViews>
    <sheetView showGridLines="0" topLeftCell="A5" zoomScale="70" zoomScaleNormal="70" workbookViewId="0">
      <selection activeCell="S18" sqref="S18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359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395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110</v>
      </c>
      <c r="D13" s="135" t="s">
        <v>334</v>
      </c>
      <c r="E13" s="135" t="s">
        <v>420</v>
      </c>
      <c r="F13" s="135" t="s">
        <v>284</v>
      </c>
      <c r="G13" s="135">
        <v>12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4</v>
      </c>
      <c r="M13" s="135">
        <v>4540</v>
      </c>
      <c r="N13" s="239"/>
      <c r="O13" s="238"/>
    </row>
    <row r="14" spans="1:15" ht="21" customHeight="1" x14ac:dyDescent="0.35">
      <c r="A14" s="163">
        <v>2</v>
      </c>
      <c r="B14" s="160"/>
      <c r="C14" s="159" t="s">
        <v>111</v>
      </c>
      <c r="D14" s="135" t="s">
        <v>332</v>
      </c>
      <c r="E14" s="135" t="s">
        <v>420</v>
      </c>
      <c r="F14" s="135" t="s">
        <v>284</v>
      </c>
      <c r="G14" s="135">
        <v>8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8</v>
      </c>
      <c r="M14" s="135">
        <v>5215</v>
      </c>
      <c r="N14" s="239"/>
      <c r="O14" s="238"/>
    </row>
    <row r="15" spans="1:15" ht="21" customHeight="1" x14ac:dyDescent="0.35">
      <c r="A15" s="163">
        <v>3</v>
      </c>
      <c r="B15" s="160"/>
      <c r="C15" s="159" t="s">
        <v>112</v>
      </c>
      <c r="D15" s="135" t="s">
        <v>423</v>
      </c>
      <c r="E15" s="135" t="s">
        <v>420</v>
      </c>
      <c r="F15" s="135" t="s">
        <v>284</v>
      </c>
      <c r="G15" s="135">
        <v>9</v>
      </c>
      <c r="H15" s="135" t="s">
        <v>290</v>
      </c>
      <c r="I15" s="135" t="s">
        <v>291</v>
      </c>
      <c r="J15" s="135">
        <v>6000</v>
      </c>
      <c r="K15" s="135">
        <v>1500</v>
      </c>
      <c r="L15" s="135">
        <v>8</v>
      </c>
      <c r="M15" s="135">
        <v>5105</v>
      </c>
      <c r="N15" s="239"/>
      <c r="O15" s="238"/>
    </row>
    <row r="16" spans="1:15" ht="21" customHeight="1" x14ac:dyDescent="0.35">
      <c r="A16" s="163">
        <v>4</v>
      </c>
      <c r="B16" s="160"/>
      <c r="C16" s="159" t="s">
        <v>114</v>
      </c>
      <c r="D16" s="135" t="s">
        <v>335</v>
      </c>
      <c r="E16" s="135" t="s">
        <v>419</v>
      </c>
      <c r="F16" s="135" t="s">
        <v>284</v>
      </c>
      <c r="G16" s="135">
        <v>4</v>
      </c>
      <c r="H16" s="135" t="s">
        <v>290</v>
      </c>
      <c r="I16" s="135" t="s">
        <v>291</v>
      </c>
      <c r="J16" s="135">
        <v>8000</v>
      </c>
      <c r="K16" s="135">
        <v>1500</v>
      </c>
      <c r="L16" s="135">
        <v>12</v>
      </c>
      <c r="M16" s="135">
        <v>4535</v>
      </c>
      <c r="N16" s="239"/>
      <c r="O16" s="238"/>
    </row>
    <row r="17" spans="1:15" ht="21" customHeight="1" x14ac:dyDescent="0.35">
      <c r="A17" s="163">
        <v>5</v>
      </c>
      <c r="B17" s="160"/>
      <c r="C17" s="159" t="s">
        <v>115</v>
      </c>
      <c r="D17" s="135" t="s">
        <v>335</v>
      </c>
      <c r="E17" s="135" t="s">
        <v>419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5705</v>
      </c>
      <c r="N17" s="239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38</v>
      </c>
      <c r="H23" s="166"/>
      <c r="I23" s="166"/>
      <c r="J23" s="166"/>
      <c r="K23" s="166"/>
      <c r="L23" s="166"/>
      <c r="M23" s="165">
        <f>SUM(M13:M22)</f>
        <v>25100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38</v>
      </c>
      <c r="G25" s="277" t="s">
        <v>198</v>
      </c>
      <c r="H25" s="277"/>
      <c r="I25" s="119">
        <f>SUM(M13:M22)</f>
        <v>25100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D088-2E51-40B9-B9C1-04C1D5492579}">
  <sheetPr>
    <tabColor theme="9" tint="0.79998168889431442"/>
  </sheetPr>
  <dimension ref="A1:O39"/>
  <sheetViews>
    <sheetView showGridLines="0" topLeftCell="A5" zoomScale="70" zoomScaleNormal="70" workbookViewId="0">
      <selection activeCell="P12" sqref="P12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362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394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116</v>
      </c>
      <c r="D13" s="135" t="s">
        <v>423</v>
      </c>
      <c r="E13" s="135" t="s">
        <v>420</v>
      </c>
      <c r="F13" s="135" t="s">
        <v>284</v>
      </c>
      <c r="G13" s="135">
        <v>9</v>
      </c>
      <c r="H13" s="135" t="s">
        <v>290</v>
      </c>
      <c r="I13" s="135" t="s">
        <v>291</v>
      </c>
      <c r="J13" s="135">
        <v>6000</v>
      </c>
      <c r="K13" s="135">
        <v>1500</v>
      </c>
      <c r="L13" s="135">
        <v>8</v>
      </c>
      <c r="M13" s="135">
        <v>5079</v>
      </c>
      <c r="N13" s="238"/>
      <c r="O13" s="238"/>
    </row>
    <row r="14" spans="1:15" ht="21" customHeight="1" x14ac:dyDescent="0.35">
      <c r="A14" s="163">
        <v>2</v>
      </c>
      <c r="B14" s="160"/>
      <c r="C14" s="159" t="s">
        <v>117</v>
      </c>
      <c r="D14" s="135" t="s">
        <v>335</v>
      </c>
      <c r="E14" s="135" t="s">
        <v>419</v>
      </c>
      <c r="F14" s="135" t="s">
        <v>284</v>
      </c>
      <c r="G14" s="135">
        <v>4</v>
      </c>
      <c r="H14" s="135" t="s">
        <v>290</v>
      </c>
      <c r="I14" s="135" t="s">
        <v>291</v>
      </c>
      <c r="J14" s="135">
        <v>8000</v>
      </c>
      <c r="K14" s="135">
        <v>1500</v>
      </c>
      <c r="L14" s="135">
        <v>12</v>
      </c>
      <c r="M14" s="135">
        <v>4510</v>
      </c>
      <c r="N14" s="238"/>
      <c r="O14" s="238"/>
    </row>
    <row r="15" spans="1:15" ht="21" customHeight="1" x14ac:dyDescent="0.35">
      <c r="A15" s="163">
        <v>3</v>
      </c>
      <c r="B15" s="160"/>
      <c r="C15" s="159" t="s">
        <v>118</v>
      </c>
      <c r="D15" s="135" t="s">
        <v>336</v>
      </c>
      <c r="E15" s="135" t="s">
        <v>419</v>
      </c>
      <c r="F15" s="135" t="s">
        <v>284</v>
      </c>
      <c r="G15" s="135">
        <v>5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12</v>
      </c>
      <c r="M15" s="135">
        <v>4877</v>
      </c>
      <c r="N15" s="238"/>
      <c r="O15" s="238"/>
    </row>
    <row r="16" spans="1:15" ht="21" customHeight="1" x14ac:dyDescent="0.35">
      <c r="A16" s="163">
        <v>4</v>
      </c>
      <c r="B16" s="160"/>
      <c r="C16" s="159" t="s">
        <v>119</v>
      </c>
      <c r="D16" s="135" t="s">
        <v>336</v>
      </c>
      <c r="E16" s="135" t="s">
        <v>419</v>
      </c>
      <c r="F16" s="135" t="s">
        <v>284</v>
      </c>
      <c r="G16" s="135">
        <v>5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12</v>
      </c>
      <c r="M16" s="135">
        <v>4877</v>
      </c>
      <c r="N16" s="238"/>
      <c r="O16" s="238"/>
    </row>
    <row r="17" spans="1:15" ht="21" customHeight="1" x14ac:dyDescent="0.35">
      <c r="A17" s="163">
        <v>5</v>
      </c>
      <c r="B17" s="160"/>
      <c r="C17" s="159" t="s">
        <v>120</v>
      </c>
      <c r="D17" s="135" t="s">
        <v>335</v>
      </c>
      <c r="E17" s="135" t="s">
        <v>419</v>
      </c>
      <c r="F17" s="135" t="s">
        <v>284</v>
      </c>
      <c r="G17" s="135">
        <v>5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5697</v>
      </c>
      <c r="N17" s="238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28</v>
      </c>
      <c r="H23" s="166"/>
      <c r="I23" s="166"/>
      <c r="J23" s="166"/>
      <c r="K23" s="166"/>
      <c r="L23" s="166"/>
      <c r="M23" s="165">
        <f>SUM(M13:M22)</f>
        <v>25040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28</v>
      </c>
      <c r="G25" s="277" t="s">
        <v>198</v>
      </c>
      <c r="H25" s="277"/>
      <c r="I25" s="119">
        <f>SUM(M13:M22)</f>
        <v>25040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1711-E59F-4678-A42D-12ACB5B3D2E5}">
  <sheetPr>
    <tabColor theme="9" tint="0.79998168889431442"/>
  </sheetPr>
  <dimension ref="A1:O39"/>
  <sheetViews>
    <sheetView showGridLines="0" topLeftCell="A5" zoomScale="70" zoomScaleNormal="70" workbookViewId="0">
      <selection activeCell="Q14" sqref="Q14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407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433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121</v>
      </c>
      <c r="D13" s="135" t="s">
        <v>338</v>
      </c>
      <c r="E13" s="135" t="s">
        <v>420</v>
      </c>
      <c r="F13" s="135" t="s">
        <v>284</v>
      </c>
      <c r="G13" s="135">
        <v>17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3</v>
      </c>
      <c r="M13" s="135">
        <v>4790</v>
      </c>
      <c r="N13" s="238"/>
      <c r="O13" s="238"/>
    </row>
    <row r="14" spans="1:15" ht="21" customHeight="1" x14ac:dyDescent="0.35">
      <c r="A14" s="163">
        <v>2</v>
      </c>
      <c r="B14" s="160"/>
      <c r="C14" s="159" t="s">
        <v>122</v>
      </c>
      <c r="D14" s="135" t="s">
        <v>334</v>
      </c>
      <c r="E14" s="135" t="s">
        <v>420</v>
      </c>
      <c r="F14" s="135" t="s">
        <v>284</v>
      </c>
      <c r="G14" s="135">
        <v>14</v>
      </c>
      <c r="H14" s="135" t="s">
        <v>290</v>
      </c>
      <c r="I14" s="135" t="s">
        <v>291</v>
      </c>
      <c r="J14" s="135">
        <v>8000</v>
      </c>
      <c r="K14" s="135">
        <v>1500</v>
      </c>
      <c r="L14" s="135">
        <v>4</v>
      </c>
      <c r="M14" s="135">
        <v>5320</v>
      </c>
      <c r="N14" s="238"/>
      <c r="O14" s="238"/>
    </row>
    <row r="15" spans="1:15" ht="21" customHeight="1" x14ac:dyDescent="0.35">
      <c r="A15" s="163">
        <v>3</v>
      </c>
      <c r="B15" s="160"/>
      <c r="C15" s="159" t="s">
        <v>123</v>
      </c>
      <c r="D15" s="135" t="s">
        <v>329</v>
      </c>
      <c r="E15" s="135" t="s">
        <v>420</v>
      </c>
      <c r="F15" s="135" t="s">
        <v>284</v>
      </c>
      <c r="G15" s="135">
        <v>10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6</v>
      </c>
      <c r="M15" s="135">
        <v>4940</v>
      </c>
      <c r="N15" s="238"/>
      <c r="O15" s="238"/>
    </row>
    <row r="16" spans="1:15" ht="21" customHeight="1" x14ac:dyDescent="0.35">
      <c r="A16" s="163">
        <v>4</v>
      </c>
      <c r="B16" s="160"/>
      <c r="C16" s="159" t="s">
        <v>125</v>
      </c>
      <c r="D16" s="135" t="s">
        <v>329</v>
      </c>
      <c r="E16" s="135" t="s">
        <v>420</v>
      </c>
      <c r="F16" s="135" t="s">
        <v>284</v>
      </c>
      <c r="G16" s="135">
        <v>10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6</v>
      </c>
      <c r="M16" s="135">
        <v>4930</v>
      </c>
      <c r="N16" s="238"/>
      <c r="O16" s="238"/>
    </row>
    <row r="17" spans="1:15" ht="21" customHeight="1" x14ac:dyDescent="0.35">
      <c r="A17" s="163">
        <v>5</v>
      </c>
      <c r="B17" s="160"/>
      <c r="C17" s="159" t="s">
        <v>126</v>
      </c>
      <c r="D17" s="135" t="s">
        <v>332</v>
      </c>
      <c r="E17" s="135" t="s">
        <v>420</v>
      </c>
      <c r="F17" s="135" t="s">
        <v>284</v>
      </c>
      <c r="G17" s="135">
        <v>8</v>
      </c>
      <c r="H17" s="135" t="s">
        <v>290</v>
      </c>
      <c r="I17" s="135" t="s">
        <v>291</v>
      </c>
      <c r="J17" s="135">
        <v>6900</v>
      </c>
      <c r="K17" s="135">
        <v>1500</v>
      </c>
      <c r="L17" s="135">
        <v>8</v>
      </c>
      <c r="M17" s="135">
        <v>5240</v>
      </c>
      <c r="N17" s="238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59</v>
      </c>
      <c r="H23" s="166"/>
      <c r="I23" s="166"/>
      <c r="J23" s="166"/>
      <c r="K23" s="166"/>
      <c r="L23" s="166"/>
      <c r="M23" s="165">
        <f>SUM(M13:M22)</f>
        <v>25220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59</v>
      </c>
      <c r="G25" s="277" t="s">
        <v>198</v>
      </c>
      <c r="H25" s="277"/>
      <c r="I25" s="119">
        <f>SUM(M13:M22)</f>
        <v>25220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D3F2-D0F1-4AA7-A55F-8644D23F3CD1}">
  <sheetPr>
    <tabColor theme="9" tint="0.79998168889431442"/>
  </sheetPr>
  <dimension ref="A1:O39"/>
  <sheetViews>
    <sheetView showGridLines="0" topLeftCell="A5" zoomScale="70" zoomScaleNormal="70" workbookViewId="0">
      <selection activeCell="P20" sqref="P20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410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4" t="s">
        <v>434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59" t="s">
        <v>127</v>
      </c>
      <c r="D13" s="135" t="s">
        <v>334</v>
      </c>
      <c r="E13" s="135" t="s">
        <v>420</v>
      </c>
      <c r="F13" s="135" t="s">
        <v>284</v>
      </c>
      <c r="G13" s="135">
        <v>14</v>
      </c>
      <c r="H13" s="135" t="s">
        <v>290</v>
      </c>
      <c r="I13" s="135" t="s">
        <v>291</v>
      </c>
      <c r="J13" s="135">
        <v>8000</v>
      </c>
      <c r="K13" s="135">
        <v>1500</v>
      </c>
      <c r="L13" s="135">
        <v>4</v>
      </c>
      <c r="M13" s="135">
        <v>5330</v>
      </c>
      <c r="N13" s="238"/>
      <c r="O13" s="238"/>
    </row>
    <row r="14" spans="1:15" ht="21" customHeight="1" x14ac:dyDescent="0.35">
      <c r="A14" s="163">
        <v>2</v>
      </c>
      <c r="B14" s="160"/>
      <c r="C14" s="159" t="s">
        <v>128</v>
      </c>
      <c r="D14" s="135" t="s">
        <v>329</v>
      </c>
      <c r="E14" s="135" t="s">
        <v>420</v>
      </c>
      <c r="F14" s="135" t="s">
        <v>284</v>
      </c>
      <c r="G14" s="135">
        <v>10</v>
      </c>
      <c r="H14" s="135" t="s">
        <v>290</v>
      </c>
      <c r="I14" s="135" t="s">
        <v>291</v>
      </c>
      <c r="J14" s="135">
        <v>6900</v>
      </c>
      <c r="K14" s="135">
        <v>1500</v>
      </c>
      <c r="L14" s="135">
        <v>6</v>
      </c>
      <c r="M14" s="135">
        <v>4940</v>
      </c>
      <c r="N14" s="238"/>
      <c r="O14" s="238"/>
    </row>
    <row r="15" spans="1:15" ht="21" customHeight="1" x14ac:dyDescent="0.35">
      <c r="A15" s="163">
        <v>3</v>
      </c>
      <c r="B15" s="160"/>
      <c r="C15" s="159" t="s">
        <v>129</v>
      </c>
      <c r="D15" s="135" t="s">
        <v>329</v>
      </c>
      <c r="E15" s="135" t="s">
        <v>420</v>
      </c>
      <c r="F15" s="135" t="s">
        <v>284</v>
      </c>
      <c r="G15" s="135">
        <v>10</v>
      </c>
      <c r="H15" s="135" t="s">
        <v>290</v>
      </c>
      <c r="I15" s="135" t="s">
        <v>291</v>
      </c>
      <c r="J15" s="135">
        <v>6900</v>
      </c>
      <c r="K15" s="135">
        <v>1500</v>
      </c>
      <c r="L15" s="135">
        <v>6</v>
      </c>
      <c r="M15" s="135">
        <v>4940</v>
      </c>
      <c r="N15" s="238"/>
      <c r="O15" s="238"/>
    </row>
    <row r="16" spans="1:15" ht="21" customHeight="1" x14ac:dyDescent="0.35">
      <c r="A16" s="163">
        <v>4</v>
      </c>
      <c r="B16" s="160"/>
      <c r="C16" s="159" t="s">
        <v>130</v>
      </c>
      <c r="D16" s="135" t="s">
        <v>329</v>
      </c>
      <c r="E16" s="135" t="s">
        <v>420</v>
      </c>
      <c r="F16" s="135" t="s">
        <v>284</v>
      </c>
      <c r="G16" s="135">
        <v>11</v>
      </c>
      <c r="H16" s="135" t="s">
        <v>290</v>
      </c>
      <c r="I16" s="135" t="s">
        <v>291</v>
      </c>
      <c r="J16" s="135">
        <v>6900</v>
      </c>
      <c r="K16" s="135">
        <v>1500</v>
      </c>
      <c r="L16" s="135">
        <v>6</v>
      </c>
      <c r="M16" s="135">
        <v>5430</v>
      </c>
      <c r="N16" s="238"/>
      <c r="O16" s="238"/>
    </row>
    <row r="17" spans="1:15" ht="21" customHeight="1" x14ac:dyDescent="0.35">
      <c r="A17" s="163">
        <v>5</v>
      </c>
      <c r="B17" s="160"/>
      <c r="C17" s="159" t="s">
        <v>131</v>
      </c>
      <c r="D17" s="135" t="s">
        <v>335</v>
      </c>
      <c r="E17" s="135" t="s">
        <v>419</v>
      </c>
      <c r="F17" s="135" t="s">
        <v>284</v>
      </c>
      <c r="G17" s="135">
        <v>4</v>
      </c>
      <c r="H17" s="135" t="s">
        <v>290</v>
      </c>
      <c r="I17" s="135" t="s">
        <v>291</v>
      </c>
      <c r="J17" s="135">
        <v>8000</v>
      </c>
      <c r="K17" s="135">
        <v>1500</v>
      </c>
      <c r="L17" s="135">
        <v>12</v>
      </c>
      <c r="M17" s="135">
        <v>4580</v>
      </c>
      <c r="N17" s="238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49</v>
      </c>
      <c r="H23" s="166"/>
      <c r="I23" s="166"/>
      <c r="J23" s="166"/>
      <c r="K23" s="166"/>
      <c r="L23" s="166"/>
      <c r="M23" s="165">
        <f>SUM(M13:M22)</f>
        <v>25220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49</v>
      </c>
      <c r="G25" s="277" t="s">
        <v>198</v>
      </c>
      <c r="H25" s="277"/>
      <c r="I25" s="119">
        <f>SUM(M13:M22)</f>
        <v>25220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D1EC-7EEC-4891-B801-B38D7E0F6971}">
  <sheetPr>
    <tabColor theme="9" tint="0.79998168889431442"/>
  </sheetPr>
  <dimension ref="A1:O39"/>
  <sheetViews>
    <sheetView showGridLines="0" topLeftCell="A5" zoomScale="70" zoomScaleNormal="70" workbookViewId="0">
      <selection activeCell="M16" sqref="M16:M17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46119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413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2" t="s">
        <v>435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136" t="s">
        <v>132</v>
      </c>
      <c r="D13" s="134" t="s">
        <v>430</v>
      </c>
      <c r="E13" s="134" t="s">
        <v>420</v>
      </c>
      <c r="F13" s="134" t="s">
        <v>284</v>
      </c>
      <c r="G13" s="134">
        <v>8</v>
      </c>
      <c r="H13" s="134" t="s">
        <v>290</v>
      </c>
      <c r="I13" s="134" t="s">
        <v>291</v>
      </c>
      <c r="J13" s="134">
        <v>6000</v>
      </c>
      <c r="K13" s="134">
        <v>1500</v>
      </c>
      <c r="L13" s="134">
        <v>4</v>
      </c>
      <c r="M13" s="135">
        <v>2261</v>
      </c>
      <c r="N13" s="238"/>
      <c r="O13" s="238"/>
    </row>
    <row r="14" spans="1:15" ht="21" customHeight="1" x14ac:dyDescent="0.35">
      <c r="A14" s="163">
        <v>2</v>
      </c>
      <c r="B14" s="160"/>
      <c r="C14" s="136" t="s">
        <v>134</v>
      </c>
      <c r="D14" s="134" t="s">
        <v>333</v>
      </c>
      <c r="E14" s="134" t="s">
        <v>420</v>
      </c>
      <c r="F14" s="134" t="s">
        <v>284</v>
      </c>
      <c r="G14" s="134">
        <v>7</v>
      </c>
      <c r="H14" s="134" t="s">
        <v>290</v>
      </c>
      <c r="I14" s="134" t="s">
        <v>291</v>
      </c>
      <c r="J14" s="134">
        <v>6900</v>
      </c>
      <c r="K14" s="134">
        <v>1500</v>
      </c>
      <c r="L14" s="134">
        <v>10</v>
      </c>
      <c r="M14" s="135">
        <v>5685</v>
      </c>
      <c r="N14" s="238"/>
      <c r="O14" s="238"/>
    </row>
    <row r="15" spans="1:15" ht="21" customHeight="1" x14ac:dyDescent="0.35">
      <c r="A15" s="163">
        <v>3</v>
      </c>
      <c r="B15" s="160"/>
      <c r="C15" s="136" t="s">
        <v>136</v>
      </c>
      <c r="D15" s="134" t="s">
        <v>333</v>
      </c>
      <c r="E15" s="134" t="s">
        <v>420</v>
      </c>
      <c r="F15" s="134" t="s">
        <v>284</v>
      </c>
      <c r="G15" s="134">
        <v>7</v>
      </c>
      <c r="H15" s="134" t="s">
        <v>290</v>
      </c>
      <c r="I15" s="134" t="s">
        <v>291</v>
      </c>
      <c r="J15" s="134">
        <v>6900</v>
      </c>
      <c r="K15" s="134">
        <v>1500</v>
      </c>
      <c r="L15" s="134">
        <v>10</v>
      </c>
      <c r="M15" s="135">
        <v>5686</v>
      </c>
      <c r="N15" s="238"/>
      <c r="O15" s="238"/>
    </row>
    <row r="16" spans="1:15" ht="21" customHeight="1" x14ac:dyDescent="0.35">
      <c r="A16" s="163">
        <v>4</v>
      </c>
      <c r="B16" s="160"/>
      <c r="C16" s="136" t="s">
        <v>137</v>
      </c>
      <c r="D16" s="134" t="s">
        <v>335</v>
      </c>
      <c r="E16" s="134" t="s">
        <v>419</v>
      </c>
      <c r="F16" s="134" t="s">
        <v>284</v>
      </c>
      <c r="G16" s="134">
        <v>5</v>
      </c>
      <c r="H16" s="134" t="s">
        <v>290</v>
      </c>
      <c r="I16" s="134" t="s">
        <v>291</v>
      </c>
      <c r="J16" s="134">
        <v>8000</v>
      </c>
      <c r="K16" s="134">
        <v>1500</v>
      </c>
      <c r="L16" s="134">
        <v>12</v>
      </c>
      <c r="M16" s="135">
        <v>5684</v>
      </c>
      <c r="N16" s="238"/>
      <c r="O16" s="238"/>
    </row>
    <row r="17" spans="1:15" ht="21" customHeight="1" x14ac:dyDescent="0.35">
      <c r="A17" s="163">
        <v>5</v>
      </c>
      <c r="B17" s="160"/>
      <c r="C17" s="136" t="s">
        <v>138</v>
      </c>
      <c r="D17" s="134" t="s">
        <v>335</v>
      </c>
      <c r="E17" s="134" t="s">
        <v>419</v>
      </c>
      <c r="F17" s="134" t="s">
        <v>284</v>
      </c>
      <c r="G17" s="134">
        <v>5</v>
      </c>
      <c r="H17" s="134" t="s">
        <v>290</v>
      </c>
      <c r="I17" s="134" t="s">
        <v>291</v>
      </c>
      <c r="J17" s="134">
        <v>8000</v>
      </c>
      <c r="K17" s="134">
        <v>1500</v>
      </c>
      <c r="L17" s="134">
        <v>12</v>
      </c>
      <c r="M17" s="135">
        <v>5684</v>
      </c>
      <c r="N17" s="238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32</v>
      </c>
      <c r="H23" s="166"/>
      <c r="I23" s="166"/>
      <c r="J23" s="166"/>
      <c r="K23" s="166"/>
      <c r="L23" s="166"/>
      <c r="M23" s="165">
        <f>SUM(M13:M22)</f>
        <v>25000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32</v>
      </c>
      <c r="G25" s="277" t="s">
        <v>198</v>
      </c>
      <c r="H25" s="277"/>
      <c r="I25" s="119">
        <f>SUM(M13:M22)</f>
        <v>25000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3A35-A2A1-4DCE-8899-8EC3AFB50253}">
  <sheetPr>
    <tabColor theme="8" tint="0.59999389629810485"/>
  </sheetPr>
  <dimension ref="A1:O39"/>
  <sheetViews>
    <sheetView showGridLines="0" topLeftCell="A5" zoomScale="70" zoomScaleNormal="70" workbookViewId="0">
      <selection activeCell="C7" sqref="C7:H7"/>
    </sheetView>
  </sheetViews>
  <sheetFormatPr defaultRowHeight="14.5" x14ac:dyDescent="0.35"/>
  <cols>
    <col min="1" max="1" width="8" style="112" customWidth="1"/>
    <col min="2" max="2" width="13" style="112" customWidth="1"/>
    <col min="3" max="3" width="11.08984375" style="112" bestFit="1" customWidth="1"/>
    <col min="4" max="4" width="28" style="112" customWidth="1"/>
    <col min="5" max="5" width="15.08984375" style="112" bestFit="1" customWidth="1"/>
    <col min="6" max="6" width="6.54296875" style="112" bestFit="1" customWidth="1"/>
    <col min="7" max="8" width="8" style="112" customWidth="1"/>
    <col min="9" max="9" width="11.26953125" style="112" bestFit="1" customWidth="1"/>
    <col min="10" max="10" width="7.90625" style="112" customWidth="1"/>
    <col min="11" max="11" width="8.26953125" style="112" customWidth="1"/>
    <col min="12" max="12" width="8.36328125" style="112" customWidth="1"/>
    <col min="13" max="13" width="12" style="112" customWidth="1"/>
    <col min="14" max="14" width="13" style="112" customWidth="1"/>
    <col min="15" max="15" width="12" style="112" customWidth="1"/>
    <col min="16" max="16384" width="8.7265625" style="112"/>
  </cols>
  <sheetData>
    <row r="1" spans="1:15" ht="17.25" customHeight="1" x14ac:dyDescent="0.35">
      <c r="A1" s="243" t="e" vm="1">
        <v>#VALUE!</v>
      </c>
      <c r="B1" s="244"/>
      <c r="C1" s="245"/>
      <c r="D1" s="252" t="s">
        <v>154</v>
      </c>
      <c r="E1" s="253"/>
      <c r="F1" s="253"/>
      <c r="G1" s="253"/>
      <c r="H1" s="253"/>
      <c r="I1" s="253"/>
      <c r="J1" s="253"/>
      <c r="K1" s="254"/>
      <c r="L1" s="261" t="s">
        <v>155</v>
      </c>
      <c r="M1" s="262"/>
      <c r="N1" s="263">
        <v>46098</v>
      </c>
      <c r="O1" s="264"/>
    </row>
    <row r="2" spans="1:15" ht="18" customHeight="1" x14ac:dyDescent="0.35">
      <c r="A2" s="246"/>
      <c r="B2" s="247"/>
      <c r="C2" s="248"/>
      <c r="D2" s="255"/>
      <c r="E2" s="256"/>
      <c r="F2" s="256"/>
      <c r="G2" s="256"/>
      <c r="H2" s="256"/>
      <c r="I2" s="256"/>
      <c r="J2" s="256"/>
      <c r="K2" s="257"/>
      <c r="L2" s="265" t="s">
        <v>156</v>
      </c>
      <c r="M2" s="266"/>
      <c r="N2" s="267" t="s">
        <v>157</v>
      </c>
      <c r="O2" s="268"/>
    </row>
    <row r="3" spans="1:15" ht="16.5" customHeight="1" x14ac:dyDescent="0.35">
      <c r="A3" s="246"/>
      <c r="B3" s="247"/>
      <c r="C3" s="248"/>
      <c r="D3" s="255"/>
      <c r="E3" s="256"/>
      <c r="F3" s="256"/>
      <c r="G3" s="256"/>
      <c r="H3" s="256"/>
      <c r="I3" s="256"/>
      <c r="J3" s="256"/>
      <c r="K3" s="257"/>
      <c r="L3" s="265" t="s">
        <v>158</v>
      </c>
      <c r="M3" s="266"/>
      <c r="N3" s="267" t="s">
        <v>159</v>
      </c>
      <c r="O3" s="268"/>
    </row>
    <row r="4" spans="1:15" ht="15.75" customHeight="1" thickBot="1" x14ac:dyDescent="0.4">
      <c r="A4" s="249"/>
      <c r="B4" s="250"/>
      <c r="C4" s="251"/>
      <c r="D4" s="258"/>
      <c r="E4" s="259"/>
      <c r="F4" s="259"/>
      <c r="G4" s="259"/>
      <c r="H4" s="259"/>
      <c r="I4" s="259"/>
      <c r="J4" s="259"/>
      <c r="K4" s="260"/>
      <c r="L4" s="269" t="s">
        <v>160</v>
      </c>
      <c r="M4" s="270"/>
      <c r="N4" s="271" t="s">
        <v>161</v>
      </c>
      <c r="O4" s="272"/>
    </row>
    <row r="5" spans="1:15" ht="19.899999999999999" customHeight="1" thickBot="1" x14ac:dyDescent="0.4">
      <c r="A5" s="273" t="s">
        <v>162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5"/>
    </row>
    <row r="6" spans="1:15" ht="22.15" customHeight="1" x14ac:dyDescent="0.35">
      <c r="A6" s="276" t="s">
        <v>163</v>
      </c>
      <c r="B6" s="277"/>
      <c r="C6" s="278" t="s">
        <v>396</v>
      </c>
      <c r="D6" s="279"/>
      <c r="E6" s="277" t="s">
        <v>164</v>
      </c>
      <c r="F6" s="277"/>
      <c r="G6" s="280">
        <v>46120</v>
      </c>
      <c r="H6" s="279"/>
      <c r="I6" s="277" t="s">
        <v>165</v>
      </c>
      <c r="J6" s="277"/>
      <c r="K6" s="279"/>
      <c r="L6" s="279"/>
      <c r="M6" s="277" t="s">
        <v>166</v>
      </c>
      <c r="N6" s="277"/>
      <c r="O6" s="128" t="s">
        <v>281</v>
      </c>
    </row>
    <row r="7" spans="1:15" ht="22.15" customHeight="1" x14ac:dyDescent="0.35">
      <c r="A7" s="276" t="s">
        <v>167</v>
      </c>
      <c r="B7" s="277"/>
      <c r="C7" s="278" t="s">
        <v>209</v>
      </c>
      <c r="D7" s="279"/>
      <c r="E7" s="279"/>
      <c r="F7" s="279"/>
      <c r="G7" s="279"/>
      <c r="H7" s="279"/>
      <c r="I7" s="277" t="s">
        <v>168</v>
      </c>
      <c r="J7" s="277"/>
      <c r="K7" s="278" t="s">
        <v>279</v>
      </c>
      <c r="L7" s="279"/>
      <c r="M7" s="279"/>
      <c r="N7" s="279"/>
      <c r="O7" s="281"/>
    </row>
    <row r="8" spans="1:15" ht="22.15" customHeight="1" x14ac:dyDescent="0.35">
      <c r="A8" s="276" t="s">
        <v>169</v>
      </c>
      <c r="B8" s="277"/>
      <c r="C8" s="278" t="s">
        <v>279</v>
      </c>
      <c r="D8" s="279"/>
      <c r="E8" s="279"/>
      <c r="F8" s="279"/>
      <c r="G8" s="279"/>
      <c r="H8" s="279"/>
      <c r="I8" s="277" t="s">
        <v>170</v>
      </c>
      <c r="J8" s="277"/>
      <c r="K8" s="278" t="s">
        <v>284</v>
      </c>
      <c r="L8" s="279"/>
      <c r="M8" s="277" t="s">
        <v>171</v>
      </c>
      <c r="N8" s="277"/>
      <c r="O8" s="128" t="s">
        <v>283</v>
      </c>
    </row>
    <row r="9" spans="1:15" ht="22.15" customHeight="1" x14ac:dyDescent="0.35">
      <c r="A9" s="276" t="s">
        <v>172</v>
      </c>
      <c r="B9" s="277"/>
      <c r="C9" s="278" t="s">
        <v>282</v>
      </c>
      <c r="D9" s="279"/>
      <c r="E9" s="277" t="s">
        <v>173</v>
      </c>
      <c r="F9" s="277"/>
      <c r="G9" s="278" t="s">
        <v>283</v>
      </c>
      <c r="H9" s="279"/>
      <c r="I9" s="277" t="s">
        <v>174</v>
      </c>
      <c r="J9" s="277"/>
      <c r="K9" s="278" t="s">
        <v>285</v>
      </c>
      <c r="L9" s="279"/>
      <c r="M9" s="277" t="s">
        <v>175</v>
      </c>
      <c r="N9" s="277"/>
      <c r="O9" s="113">
        <v>46153</v>
      </c>
    </row>
    <row r="10" spans="1:15" ht="22.15" customHeight="1" x14ac:dyDescent="0.35">
      <c r="A10" s="276" t="s">
        <v>176</v>
      </c>
      <c r="B10" s="277"/>
      <c r="C10" s="286" t="s">
        <v>416</v>
      </c>
      <c r="D10" s="279"/>
      <c r="E10" s="277" t="s">
        <v>177</v>
      </c>
      <c r="F10" s="277"/>
      <c r="G10" s="279"/>
      <c r="H10" s="279"/>
      <c r="I10" s="277" t="s">
        <v>178</v>
      </c>
      <c r="J10" s="277"/>
      <c r="K10" s="279"/>
      <c r="L10" s="279"/>
      <c r="M10" s="277" t="s">
        <v>179</v>
      </c>
      <c r="N10" s="277"/>
      <c r="O10" s="128" t="s">
        <v>286</v>
      </c>
    </row>
    <row r="11" spans="1:15" ht="15" thickBot="1" x14ac:dyDescent="0.4">
      <c r="A11" s="112" t="s">
        <v>424</v>
      </c>
      <c r="O11" s="115"/>
    </row>
    <row r="12" spans="1:15" ht="34.15" customHeight="1" thickBot="1" x14ac:dyDescent="0.4">
      <c r="A12" s="116" t="s">
        <v>180</v>
      </c>
      <c r="B12" s="139" t="s">
        <v>181</v>
      </c>
      <c r="C12" s="139" t="s">
        <v>182</v>
      </c>
      <c r="D12" s="139" t="s">
        <v>183</v>
      </c>
      <c r="E12" s="139" t="s">
        <v>184</v>
      </c>
      <c r="F12" s="139" t="s">
        <v>185</v>
      </c>
      <c r="G12" s="139" t="s">
        <v>186</v>
      </c>
      <c r="H12" s="139" t="s">
        <v>187</v>
      </c>
      <c r="I12" s="139" t="s">
        <v>188</v>
      </c>
      <c r="J12" s="139" t="s">
        <v>189</v>
      </c>
      <c r="K12" s="139" t="s">
        <v>190</v>
      </c>
      <c r="L12" s="139" t="s">
        <v>191</v>
      </c>
      <c r="M12" s="139" t="s">
        <v>192</v>
      </c>
      <c r="N12" s="139" t="s">
        <v>193</v>
      </c>
      <c r="O12" s="164" t="s">
        <v>194</v>
      </c>
    </row>
    <row r="13" spans="1:15" ht="21" customHeight="1" x14ac:dyDescent="0.35">
      <c r="A13" s="163">
        <v>1</v>
      </c>
      <c r="B13" s="160"/>
      <c r="C13" s="241" t="s">
        <v>426</v>
      </c>
      <c r="D13" s="135" t="s">
        <v>336</v>
      </c>
      <c r="E13" s="135" t="s">
        <v>420</v>
      </c>
      <c r="F13" s="135" t="s">
        <v>284</v>
      </c>
      <c r="G13" s="135">
        <v>5</v>
      </c>
      <c r="H13" s="135" t="s">
        <v>290</v>
      </c>
      <c r="I13" s="135" t="s">
        <v>291</v>
      </c>
      <c r="J13" s="135">
        <v>6900</v>
      </c>
      <c r="K13" s="135">
        <v>1500</v>
      </c>
      <c r="L13" s="135">
        <v>12</v>
      </c>
      <c r="M13" s="135">
        <v>4925</v>
      </c>
      <c r="N13" s="238"/>
      <c r="O13" s="238"/>
    </row>
    <row r="14" spans="1:15" ht="21" customHeight="1" x14ac:dyDescent="0.35">
      <c r="A14" s="163">
        <v>2</v>
      </c>
      <c r="B14" s="160"/>
      <c r="C14" s="136" t="s">
        <v>427</v>
      </c>
      <c r="D14" s="134" t="s">
        <v>336</v>
      </c>
      <c r="E14" s="134" t="s">
        <v>420</v>
      </c>
      <c r="F14" s="134" t="s">
        <v>284</v>
      </c>
      <c r="G14" s="134">
        <v>5</v>
      </c>
      <c r="H14" s="134" t="s">
        <v>290</v>
      </c>
      <c r="I14" s="134" t="s">
        <v>291</v>
      </c>
      <c r="J14" s="134">
        <v>6900</v>
      </c>
      <c r="K14" s="134">
        <v>1500</v>
      </c>
      <c r="L14" s="134">
        <v>12</v>
      </c>
      <c r="M14" s="135">
        <v>4925</v>
      </c>
      <c r="N14" s="238"/>
      <c r="O14" s="238"/>
    </row>
    <row r="15" spans="1:15" ht="21" customHeight="1" x14ac:dyDescent="0.35">
      <c r="A15" s="163">
        <v>3</v>
      </c>
      <c r="B15" s="160"/>
      <c r="C15" s="136" t="s">
        <v>428</v>
      </c>
      <c r="D15" s="134" t="s">
        <v>336</v>
      </c>
      <c r="E15" s="134" t="s">
        <v>420</v>
      </c>
      <c r="F15" s="134" t="s">
        <v>284</v>
      </c>
      <c r="G15" s="134">
        <v>5</v>
      </c>
      <c r="H15" s="134" t="s">
        <v>290</v>
      </c>
      <c r="I15" s="134" t="s">
        <v>291</v>
      </c>
      <c r="J15" s="134">
        <v>6900</v>
      </c>
      <c r="K15" s="134">
        <v>1500</v>
      </c>
      <c r="L15" s="134">
        <v>12</v>
      </c>
      <c r="M15" s="135">
        <v>4925</v>
      </c>
      <c r="N15" s="238"/>
      <c r="O15" s="238"/>
    </row>
    <row r="16" spans="1:15" ht="21" customHeight="1" x14ac:dyDescent="0.35">
      <c r="A16" s="163">
        <v>4</v>
      </c>
      <c r="B16" s="160"/>
      <c r="C16" s="136" t="s">
        <v>429</v>
      </c>
      <c r="D16" s="134" t="s">
        <v>336</v>
      </c>
      <c r="E16" s="134" t="s">
        <v>419</v>
      </c>
      <c r="F16" s="134" t="s">
        <v>284</v>
      </c>
      <c r="G16" s="134">
        <v>6</v>
      </c>
      <c r="H16" s="134" t="s">
        <v>290</v>
      </c>
      <c r="I16" s="134" t="s">
        <v>291</v>
      </c>
      <c r="J16" s="134">
        <v>6900</v>
      </c>
      <c r="K16" s="134">
        <v>1500</v>
      </c>
      <c r="L16" s="134">
        <v>12</v>
      </c>
      <c r="M16" s="135">
        <v>5915</v>
      </c>
      <c r="N16" s="238"/>
      <c r="O16" s="238"/>
    </row>
    <row r="17" spans="1:15" ht="21" customHeight="1" x14ac:dyDescent="0.35">
      <c r="A17" s="163">
        <v>5</v>
      </c>
      <c r="B17" s="160"/>
      <c r="C17" s="136"/>
      <c r="D17" s="134"/>
      <c r="E17" s="134"/>
      <c r="F17" s="134"/>
      <c r="G17" s="134"/>
      <c r="H17" s="134"/>
      <c r="I17" s="134"/>
      <c r="J17" s="134"/>
      <c r="K17" s="134"/>
      <c r="L17" s="134"/>
      <c r="M17" s="135"/>
      <c r="N17" s="238"/>
      <c r="O17" s="238"/>
    </row>
    <row r="18" spans="1:15" ht="21" customHeight="1" x14ac:dyDescent="0.35">
      <c r="A18" s="163">
        <v>6</v>
      </c>
      <c r="B18" s="170"/>
      <c r="C18" s="159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69"/>
      <c r="O18" s="169"/>
    </row>
    <row r="19" spans="1:15" ht="21" customHeight="1" x14ac:dyDescent="0.35">
      <c r="A19" s="163">
        <v>7</v>
      </c>
      <c r="B19" s="170"/>
      <c r="C19" s="170"/>
      <c r="D19" s="170"/>
      <c r="E19" s="170"/>
      <c r="F19" s="170"/>
      <c r="G19" s="171"/>
      <c r="H19" s="170"/>
      <c r="I19" s="170"/>
      <c r="J19" s="172"/>
      <c r="K19" s="172"/>
      <c r="L19" s="172"/>
      <c r="M19" s="171"/>
      <c r="N19" s="171"/>
      <c r="O19" s="174" t="str">
        <f t="shared" ref="O19:O22" si="0">IF(COUNTA(J19:L19)=3,J19*K19*L19/1000000,"")</f>
        <v/>
      </c>
    </row>
    <row r="20" spans="1:15" ht="21" customHeight="1" x14ac:dyDescent="0.35">
      <c r="A20" s="163">
        <v>8</v>
      </c>
      <c r="B20" s="170"/>
      <c r="C20" s="170"/>
      <c r="D20" s="170"/>
      <c r="E20" s="170"/>
      <c r="F20" s="170"/>
      <c r="G20" s="171"/>
      <c r="H20" s="170"/>
      <c r="I20" s="170"/>
      <c r="J20" s="172"/>
      <c r="K20" s="172"/>
      <c r="L20" s="172"/>
      <c r="M20" s="171"/>
      <c r="N20" s="171"/>
      <c r="O20" s="174" t="str">
        <f t="shared" si="0"/>
        <v/>
      </c>
    </row>
    <row r="21" spans="1:15" ht="21" customHeight="1" x14ac:dyDescent="0.35">
      <c r="A21" s="163">
        <v>9</v>
      </c>
      <c r="B21" s="170"/>
      <c r="C21" s="170"/>
      <c r="D21" s="170"/>
      <c r="E21" s="170"/>
      <c r="F21" s="170"/>
      <c r="G21" s="171"/>
      <c r="H21" s="170"/>
      <c r="I21" s="170"/>
      <c r="J21" s="172"/>
      <c r="K21" s="172"/>
      <c r="L21" s="172"/>
      <c r="M21" s="171"/>
      <c r="N21" s="171"/>
      <c r="O21" s="174" t="str">
        <f t="shared" si="0"/>
        <v/>
      </c>
    </row>
    <row r="22" spans="1:15" ht="21" customHeight="1" thickBot="1" x14ac:dyDescent="0.4">
      <c r="A22" s="163">
        <v>10</v>
      </c>
      <c r="B22" s="170"/>
      <c r="C22" s="170"/>
      <c r="D22" s="170"/>
      <c r="E22" s="170"/>
      <c r="F22" s="170"/>
      <c r="G22" s="171"/>
      <c r="H22" s="170"/>
      <c r="I22" s="170"/>
      <c r="J22" s="172"/>
      <c r="K22" s="172"/>
      <c r="L22" s="172"/>
      <c r="M22" s="171"/>
      <c r="N22" s="171"/>
      <c r="O22" s="174" t="str">
        <f t="shared" si="0"/>
        <v/>
      </c>
    </row>
    <row r="23" spans="1:15" ht="22.15" customHeight="1" thickBot="1" x14ac:dyDescent="0.4">
      <c r="A23" s="285" t="s">
        <v>195</v>
      </c>
      <c r="B23" s="274"/>
      <c r="C23" s="274"/>
      <c r="D23" s="274"/>
      <c r="E23" s="274"/>
      <c r="F23" s="274"/>
      <c r="G23" s="165">
        <f>SUM(G13:G22)</f>
        <v>21</v>
      </c>
      <c r="H23" s="166"/>
      <c r="I23" s="166"/>
      <c r="J23" s="166"/>
      <c r="K23" s="166"/>
      <c r="L23" s="166"/>
      <c r="M23" s="165">
        <f>SUM(M13:M22)</f>
        <v>20690</v>
      </c>
      <c r="N23" s="165">
        <f>SUM(N13:N22)</f>
        <v>0</v>
      </c>
      <c r="O23" s="167">
        <f>SUM(O13:O22)</f>
        <v>0</v>
      </c>
    </row>
    <row r="24" spans="1:15" x14ac:dyDescent="0.35">
      <c r="A24" s="114"/>
      <c r="O24" s="115"/>
    </row>
    <row r="25" spans="1:15" ht="22.15" customHeight="1" x14ac:dyDescent="0.35">
      <c r="A25" s="276" t="s">
        <v>196</v>
      </c>
      <c r="B25" s="277"/>
      <c r="C25" s="118">
        <f>COUNTA(B13:B22)</f>
        <v>0</v>
      </c>
      <c r="D25" s="277" t="s">
        <v>197</v>
      </c>
      <c r="E25" s="277"/>
      <c r="F25" s="119">
        <f>SUM(G13:G22)</f>
        <v>21</v>
      </c>
      <c r="G25" s="277" t="s">
        <v>198</v>
      </c>
      <c r="H25" s="277"/>
      <c r="I25" s="119">
        <f>SUM(M13:M22)</f>
        <v>20690</v>
      </c>
      <c r="J25" s="277" t="s">
        <v>199</v>
      </c>
      <c r="K25" s="277"/>
      <c r="L25" s="119">
        <f>SUM(N13:N22)</f>
        <v>0</v>
      </c>
      <c r="M25" s="277" t="s">
        <v>200</v>
      </c>
      <c r="N25" s="277"/>
      <c r="O25" s="120">
        <f>SUM(O13:O22)</f>
        <v>0</v>
      </c>
    </row>
    <row r="26" spans="1:15" ht="15" thickBot="1" x14ac:dyDescent="0.4">
      <c r="A26" s="114"/>
      <c r="O26" s="115"/>
    </row>
    <row r="27" spans="1:15" ht="19.899999999999999" customHeight="1" thickBot="1" x14ac:dyDescent="0.4">
      <c r="A27" s="282" t="s">
        <v>201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4"/>
    </row>
    <row r="28" spans="1:15" ht="24" customHeight="1" thickBot="1" x14ac:dyDescent="0.4">
      <c r="A28" s="287" t="s">
        <v>202</v>
      </c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</row>
    <row r="29" spans="1:15" ht="24" customHeight="1" thickBot="1" x14ac:dyDescent="0.4">
      <c r="A29" s="288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</row>
    <row r="30" spans="1:15" ht="15" thickBot="1" x14ac:dyDescent="0.4">
      <c r="A30" s="114"/>
      <c r="O30" s="115"/>
    </row>
    <row r="31" spans="1:15" ht="19.899999999999999" customHeight="1" thickBot="1" x14ac:dyDescent="0.4">
      <c r="A31" s="282" t="s">
        <v>203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</row>
    <row r="32" spans="1:15" ht="22.15" customHeight="1" thickBot="1" x14ac:dyDescent="0.4">
      <c r="A32" s="289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</row>
    <row r="33" spans="1:15" ht="19.899999999999999" customHeight="1" x14ac:dyDescent="0.35">
      <c r="A33" s="298" t="s">
        <v>204</v>
      </c>
      <c r="B33" s="299"/>
      <c r="C33" s="299"/>
      <c r="D33" s="300" t="s">
        <v>205</v>
      </c>
      <c r="E33" s="299"/>
      <c r="F33" s="299"/>
      <c r="G33" s="300" t="s">
        <v>206</v>
      </c>
      <c r="H33" s="299"/>
      <c r="I33" s="299"/>
      <c r="J33" s="300" t="s">
        <v>207</v>
      </c>
      <c r="K33" s="299"/>
      <c r="L33" s="299"/>
      <c r="M33" s="300" t="s">
        <v>208</v>
      </c>
      <c r="N33" s="299"/>
      <c r="O33" s="301"/>
    </row>
    <row r="34" spans="1:15" ht="19.899999999999999" customHeight="1" x14ac:dyDescent="0.35">
      <c r="A34" s="121"/>
      <c r="B34" s="122"/>
      <c r="C34" s="122"/>
      <c r="D34" s="123"/>
      <c r="E34" s="122"/>
      <c r="F34" s="122"/>
      <c r="G34" s="123"/>
      <c r="H34" s="122"/>
      <c r="I34" s="122"/>
      <c r="J34" s="123"/>
      <c r="K34" s="122"/>
      <c r="L34" s="122"/>
      <c r="M34" s="123"/>
      <c r="N34" s="122"/>
      <c r="O34" s="124"/>
    </row>
    <row r="35" spans="1:15" ht="19.899999999999999" customHeight="1" x14ac:dyDescent="0.35">
      <c r="A35" s="121"/>
      <c r="B35" s="122"/>
      <c r="C35" s="122"/>
      <c r="D35" s="123"/>
      <c r="E35" s="122"/>
      <c r="F35" s="122"/>
      <c r="G35" s="123"/>
      <c r="H35" s="122"/>
      <c r="I35" s="122"/>
      <c r="J35" s="123"/>
      <c r="K35" s="122"/>
      <c r="L35" s="122"/>
      <c r="M35" s="123"/>
      <c r="N35" s="122"/>
      <c r="O35" s="124"/>
    </row>
    <row r="36" spans="1:15" ht="19.899999999999999" customHeight="1" thickBot="1" x14ac:dyDescent="0.4">
      <c r="A36" s="121"/>
      <c r="B36" s="122"/>
      <c r="C36" s="122"/>
      <c r="D36" s="123"/>
      <c r="E36" s="122"/>
      <c r="F36" s="122"/>
      <c r="G36" s="123"/>
      <c r="H36" s="122"/>
      <c r="I36" s="122"/>
      <c r="J36" s="123"/>
      <c r="K36" s="122"/>
      <c r="L36" s="122"/>
      <c r="M36" s="123"/>
      <c r="N36" s="122"/>
      <c r="O36" s="124"/>
    </row>
    <row r="37" spans="1:15" ht="18.5" x14ac:dyDescent="0.35">
      <c r="A37" s="302" t="s">
        <v>209</v>
      </c>
      <c r="B37" s="303"/>
      <c r="C37" s="303"/>
      <c r="D37" s="303"/>
      <c r="E37" s="303"/>
      <c r="F37" s="303"/>
      <c r="G37" s="303"/>
      <c r="H37" s="303"/>
      <c r="I37" s="303"/>
      <c r="J37" s="303"/>
      <c r="K37" s="303"/>
      <c r="L37" s="303"/>
      <c r="M37" s="303"/>
      <c r="N37" s="303"/>
      <c r="O37" s="304"/>
    </row>
    <row r="38" spans="1:15" ht="14.5" customHeight="1" x14ac:dyDescent="0.35">
      <c r="A38" s="292" t="s">
        <v>210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4"/>
    </row>
    <row r="39" spans="1:15" ht="15" thickBot="1" x14ac:dyDescent="0.4">
      <c r="A39" s="295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7"/>
    </row>
  </sheetData>
  <mergeCells count="62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25:N25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25:B25"/>
    <mergeCell ref="D25:E25"/>
    <mergeCell ref="G25:H25"/>
    <mergeCell ref="J25:K25"/>
    <mergeCell ref="A27:O27"/>
    <mergeCell ref="A28:O29"/>
    <mergeCell ref="A31:O31"/>
    <mergeCell ref="A32:C32"/>
    <mergeCell ref="D32:F32"/>
    <mergeCell ref="G32:I32"/>
    <mergeCell ref="J32:L32"/>
    <mergeCell ref="M32:O32"/>
    <mergeCell ref="A38:O39"/>
    <mergeCell ref="A33:C33"/>
    <mergeCell ref="D33:F33"/>
    <mergeCell ref="G33:I33"/>
    <mergeCell ref="J33:L33"/>
    <mergeCell ref="M33:O33"/>
    <mergeCell ref="A37:O37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24</vt:i4>
      </vt:variant>
      <vt:variant>
        <vt:lpstr>Adlandırılmış Aralıklar</vt:lpstr>
      </vt:variant>
      <vt:variant>
        <vt:i4>23</vt:i4>
      </vt:variant>
    </vt:vector>
  </HeadingPairs>
  <TitlesOfParts>
    <vt:vector size="47" baseType="lpstr">
      <vt:lpstr>ABC_26.03_504.500kg</vt:lpstr>
      <vt:lpstr>6.4.26özel</vt:lpstr>
      <vt:lpstr>6-7.4.26_Trucks</vt:lpstr>
      <vt:lpstr>TRIU052057-7</vt:lpstr>
      <vt:lpstr>TCLU714897-6</vt:lpstr>
      <vt:lpstr>TCLU706964-5</vt:lpstr>
      <vt:lpstr>TCLU715830-0</vt:lpstr>
      <vt:lpstr>TRIU053641-8</vt:lpstr>
      <vt:lpstr>TEXU158527-0</vt:lpstr>
      <vt:lpstr>TRIU056682-9</vt:lpstr>
      <vt:lpstr>TCLU716779-1</vt:lpstr>
      <vt:lpstr>TRIU056653-6</vt:lpstr>
      <vt:lpstr>3.4.2026_CLP</vt:lpstr>
      <vt:lpstr>TCLU7139589</vt:lpstr>
      <vt:lpstr>TCLU7112490</vt:lpstr>
      <vt:lpstr>TEXU1581022</vt:lpstr>
      <vt:lpstr>TLLU1265510</vt:lpstr>
      <vt:lpstr>TRIU0520849</vt:lpstr>
      <vt:lpstr>TLLU1263332</vt:lpstr>
      <vt:lpstr>SEGU734199-1</vt:lpstr>
      <vt:lpstr>TCLU700218-0</vt:lpstr>
      <vt:lpstr>TRLU641946-0</vt:lpstr>
      <vt:lpstr>TCLU716284-5</vt:lpstr>
      <vt:lpstr>TCLU7063591</vt:lpstr>
      <vt:lpstr>'3.4.2026_CLP'!Yazdırma_Alanı</vt:lpstr>
      <vt:lpstr>'6.4.26özel'!Yazdırma_Alanı</vt:lpstr>
      <vt:lpstr>'TRIU053641-8'!Yazdırma_Alanı</vt:lpstr>
      <vt:lpstr>'SEGU734199-1'!Yazdırma_Başlıkları</vt:lpstr>
      <vt:lpstr>'TCLU700218-0'!Yazdırma_Başlıkları</vt:lpstr>
      <vt:lpstr>TCLU7063591!Yazdırma_Başlıkları</vt:lpstr>
      <vt:lpstr>'TCLU706964-5'!Yazdırma_Başlıkları</vt:lpstr>
      <vt:lpstr>TCLU7112490!Yazdırma_Başlıkları</vt:lpstr>
      <vt:lpstr>TCLU7139589!Yazdırma_Başlıkları</vt:lpstr>
      <vt:lpstr>'TCLU714897-6'!Yazdırma_Başlıkları</vt:lpstr>
      <vt:lpstr>'TCLU715830-0'!Yazdırma_Başlıkları</vt:lpstr>
      <vt:lpstr>'TCLU716284-5'!Yazdırma_Başlıkları</vt:lpstr>
      <vt:lpstr>'TCLU716779-1'!Yazdırma_Başlıkları</vt:lpstr>
      <vt:lpstr>TEXU1581022!Yazdırma_Başlıkları</vt:lpstr>
      <vt:lpstr>'TEXU158527-0'!Yazdırma_Başlıkları</vt:lpstr>
      <vt:lpstr>TLLU1263332!Yazdırma_Başlıkları</vt:lpstr>
      <vt:lpstr>TLLU1265510!Yazdırma_Başlıkları</vt:lpstr>
      <vt:lpstr>'TRIU052057-7'!Yazdırma_Başlıkları</vt:lpstr>
      <vt:lpstr>TRIU0520849!Yazdırma_Başlıkları</vt:lpstr>
      <vt:lpstr>'TRIU053641-8'!Yazdırma_Başlıkları</vt:lpstr>
      <vt:lpstr>'TRIU056653-6'!Yazdırma_Başlıkları</vt:lpstr>
      <vt:lpstr>'TRIU056682-9'!Yazdırma_Başlıkları</vt:lpstr>
      <vt:lpstr>'TRLU641946-0'!Yazdırma_Başlıkları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2026-04-07T11:08:52Z</cp:lastPrinted>
  <dcterms:created xsi:type="dcterms:W3CDTF">2026-03-13T12:45:47Z</dcterms:created>
  <dcterms:modified xsi:type="dcterms:W3CDTF">2026-04-08T11:58:16Z</dcterms:modified>
</cp:coreProperties>
</file>