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vimpo-my.sharepoint.com/personal/satinalma_vimpo_com/Documents/Masaüstü/039-VMP-S01064-ATP_5000m3_Libya/4-Logistics/1st shipment/PL_invoice-shipdocs/"/>
    </mc:Choice>
  </mc:AlternateContent>
  <xr:revisionPtr revIDLastSave="1316" documentId="13_ncr:1_{AFCB54F0-22E8-40B6-8E1C-C6467B05AB08}" xr6:coauthVersionLast="47" xr6:coauthVersionMax="47" xr10:uidLastSave="{020902E4-FBB3-46E9-BA7E-C7A4A7706F4E}"/>
  <bookViews>
    <workbookView xWindow="-110" yWindow="-110" windowWidth="19420" windowHeight="10300" firstSheet="7" activeTab="11" xr2:uid="{45036DCF-1C36-4BEA-83C2-F9BA1C1831A9}"/>
  </bookViews>
  <sheets>
    <sheet name="sum" sheetId="26" r:id="rId1"/>
    <sheet name="TCLU7139589" sheetId="8" r:id="rId2"/>
    <sheet name="TCLU7112490" sheetId="16" r:id="rId3"/>
    <sheet name="TEXU1581022" sheetId="17" r:id="rId4"/>
    <sheet name="TLLU1265510" sheetId="18" r:id="rId5"/>
    <sheet name="TRIU0520849" sheetId="19" r:id="rId6"/>
    <sheet name="TLLU1263332" sheetId="20" r:id="rId7"/>
    <sheet name="SEGU734199-1" sheetId="21" r:id="rId8"/>
    <sheet name="TCLU700218-0" sheetId="22" r:id="rId9"/>
    <sheet name="TRLU641946-0" sheetId="23" r:id="rId10"/>
    <sheet name="TCLU716284-5" sheetId="24" r:id="rId11"/>
    <sheet name="TCLU7063591" sheetId="25" r:id="rId12"/>
  </sheets>
  <definedNames>
    <definedName name="_xlnm._FilterDatabase" localSheetId="7" hidden="1">'SEGU734199-1'!$A$12:$O$22</definedName>
    <definedName name="_xlnm._FilterDatabase" localSheetId="8" hidden="1">'TCLU700218-0'!$A$12:$O$22</definedName>
    <definedName name="_xlnm._FilterDatabase" localSheetId="11" hidden="1">TCLU7063591!$A$12:$O$22</definedName>
    <definedName name="_xlnm._FilterDatabase" localSheetId="2" hidden="1">TCLU7112490!$A$12:$O$22</definedName>
    <definedName name="_xlnm._FilterDatabase" localSheetId="1" hidden="1">TCLU7139589!$A$12:$O$22</definedName>
    <definedName name="_xlnm._FilterDatabase" localSheetId="10" hidden="1">'TCLU716284-5'!$A$12:$O$22</definedName>
    <definedName name="_xlnm._FilterDatabase" localSheetId="3" hidden="1">TEXU1581022!$A$12:$O$22</definedName>
    <definedName name="_xlnm._FilterDatabase" localSheetId="6" hidden="1">TLLU1263332!$A$12:$O$22</definedName>
    <definedName name="_xlnm._FilterDatabase" localSheetId="4" hidden="1">TLLU1265510!$A$12:$O$22</definedName>
    <definedName name="_xlnm._FilterDatabase" localSheetId="5" hidden="1">TRIU0520849!$A$12:$O$22</definedName>
    <definedName name="_xlnm._FilterDatabase" localSheetId="9" hidden="1">'TRLU641946-0'!$A$12:$O$22</definedName>
    <definedName name="_xlnm.Print_Titles" localSheetId="7">'SEGU734199-1'!$1:$12</definedName>
    <definedName name="_xlnm.Print_Titles" localSheetId="8">'TCLU700218-0'!$1:$12</definedName>
    <definedName name="_xlnm.Print_Titles" localSheetId="11">TCLU7063591!$1:$12</definedName>
    <definedName name="_xlnm.Print_Titles" localSheetId="2">TCLU7112490!$1:$12</definedName>
    <definedName name="_xlnm.Print_Titles" localSheetId="1">TCLU7139589!$1:$12</definedName>
    <definedName name="_xlnm.Print_Titles" localSheetId="10">'TCLU716284-5'!$1:$12</definedName>
    <definedName name="_xlnm.Print_Titles" localSheetId="3">TEXU1581022!$1:$12</definedName>
    <definedName name="_xlnm.Print_Titles" localSheetId="6">TLLU1263332!$1:$12</definedName>
    <definedName name="_xlnm.Print_Titles" localSheetId="4">TLLU1265510!$1:$12</definedName>
    <definedName name="_xlnm.Print_Titles" localSheetId="5">TRIU0520849!$1:$12</definedName>
    <definedName name="_xlnm.Print_Titles" localSheetId="9">'TRLU641946-0'!$1:$12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6" l="1"/>
  <c r="B13" i="26"/>
  <c r="C12" i="26"/>
  <c r="B12" i="26"/>
  <c r="C11" i="26"/>
  <c r="B11" i="26"/>
  <c r="C10" i="26"/>
  <c r="B10" i="26"/>
  <c r="C9" i="26"/>
  <c r="B9" i="26"/>
  <c r="C8" i="26"/>
  <c r="B8" i="26"/>
  <c r="C7" i="26"/>
  <c r="B7" i="26"/>
  <c r="C6" i="26"/>
  <c r="B6" i="26"/>
  <c r="C5" i="26"/>
  <c r="B5" i="26"/>
  <c r="C4" i="26"/>
  <c r="C3" i="26"/>
  <c r="C2" i="26"/>
  <c r="B4" i="26"/>
  <c r="B3" i="26"/>
  <c r="B2" i="26"/>
  <c r="L25" i="25"/>
  <c r="I25" i="25"/>
  <c r="F25" i="25"/>
  <c r="C25" i="25"/>
  <c r="N23" i="25"/>
  <c r="M23" i="25"/>
  <c r="G23" i="25"/>
  <c r="O22" i="25"/>
  <c r="O21" i="25"/>
  <c r="O20" i="25"/>
  <c r="O19" i="25"/>
  <c r="O25" i="25" s="1"/>
  <c r="L25" i="24"/>
  <c r="I25" i="24"/>
  <c r="F25" i="24"/>
  <c r="C25" i="24"/>
  <c r="N23" i="24"/>
  <c r="M23" i="24"/>
  <c r="G23" i="24"/>
  <c r="O22" i="24"/>
  <c r="O21" i="24"/>
  <c r="O20" i="24"/>
  <c r="O19" i="24"/>
  <c r="O25" i="24" s="1"/>
  <c r="L25" i="23"/>
  <c r="I25" i="23"/>
  <c r="F25" i="23"/>
  <c r="C25" i="23"/>
  <c r="O23" i="23"/>
  <c r="N23" i="23"/>
  <c r="M23" i="23"/>
  <c r="G23" i="23"/>
  <c r="O22" i="23"/>
  <c r="O21" i="23"/>
  <c r="O20" i="23"/>
  <c r="O19" i="23"/>
  <c r="L25" i="22"/>
  <c r="I25" i="22"/>
  <c r="F25" i="22"/>
  <c r="C25" i="22"/>
  <c r="N23" i="22"/>
  <c r="M23" i="22"/>
  <c r="G23" i="22"/>
  <c r="O22" i="22"/>
  <c r="O21" i="22"/>
  <c r="O23" i="22" s="1"/>
  <c r="O20" i="22"/>
  <c r="O19" i="22"/>
  <c r="L25" i="21"/>
  <c r="I25" i="21"/>
  <c r="F25" i="21"/>
  <c r="C25" i="21"/>
  <c r="N23" i="21"/>
  <c r="M23" i="21"/>
  <c r="G23" i="21"/>
  <c r="O22" i="21"/>
  <c r="O21" i="21"/>
  <c r="O20" i="21"/>
  <c r="O19" i="21"/>
  <c r="O23" i="21" s="1"/>
  <c r="L25" i="20"/>
  <c r="I25" i="20"/>
  <c r="F25" i="20"/>
  <c r="C25" i="20"/>
  <c r="N23" i="20"/>
  <c r="M23" i="20"/>
  <c r="G23" i="20"/>
  <c r="O22" i="20"/>
  <c r="O21" i="20"/>
  <c r="O20" i="20"/>
  <c r="O19" i="20"/>
  <c r="O23" i="20" s="1"/>
  <c r="L25" i="19"/>
  <c r="I25" i="19"/>
  <c r="F25" i="19"/>
  <c r="C25" i="19"/>
  <c r="O23" i="19"/>
  <c r="N23" i="19"/>
  <c r="M23" i="19"/>
  <c r="G23" i="19"/>
  <c r="O22" i="19"/>
  <c r="O21" i="19"/>
  <c r="O20" i="19"/>
  <c r="O19" i="19"/>
  <c r="O25" i="19" s="1"/>
  <c r="O25" i="18"/>
  <c r="L25" i="18"/>
  <c r="I25" i="18"/>
  <c r="F25" i="18"/>
  <c r="C25" i="18"/>
  <c r="O23" i="18"/>
  <c r="N23" i="18"/>
  <c r="M23" i="18"/>
  <c r="G23" i="18"/>
  <c r="O22" i="18"/>
  <c r="O21" i="18"/>
  <c r="O20" i="18"/>
  <c r="O19" i="18"/>
  <c r="L25" i="17"/>
  <c r="I25" i="17"/>
  <c r="F25" i="17"/>
  <c r="C25" i="17"/>
  <c r="N23" i="17"/>
  <c r="M23" i="17"/>
  <c r="G23" i="17"/>
  <c r="O22" i="17"/>
  <c r="O21" i="17"/>
  <c r="O20" i="17"/>
  <c r="O19" i="17"/>
  <c r="O25" i="17" s="1"/>
  <c r="L25" i="16"/>
  <c r="I25" i="16"/>
  <c r="F25" i="16"/>
  <c r="C25" i="16"/>
  <c r="N23" i="16"/>
  <c r="M23" i="16"/>
  <c r="G23" i="16"/>
  <c r="O22" i="16"/>
  <c r="O21" i="16"/>
  <c r="O23" i="16" s="1"/>
  <c r="O20" i="16"/>
  <c r="O19" i="16"/>
  <c r="O23" i="25" l="1"/>
  <c r="O23" i="24"/>
  <c r="O25" i="23"/>
  <c r="O25" i="22"/>
  <c r="O25" i="21"/>
  <c r="O25" i="20"/>
  <c r="O23" i="17"/>
  <c r="O25" i="16"/>
  <c r="L25" i="8"/>
  <c r="I25" i="8"/>
  <c r="F25" i="8"/>
  <c r="C25" i="8"/>
  <c r="N23" i="8"/>
  <c r="M23" i="8"/>
  <c r="G23" i="8"/>
  <c r="O22" i="8"/>
  <c r="O21" i="8"/>
  <c r="O20" i="8"/>
  <c r="O19" i="8"/>
  <c r="O23" i="8" s="1"/>
  <c r="O25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1D23CBF4-EACB-4F1E-AF6E-4E91FE87F7C0}">
      <text>
        <r>
          <rPr>
            <sz val="11"/>
            <color theme="1"/>
            <rFont val="Aptos Narrow"/>
            <family val="2"/>
            <scheme val="minor"/>
          </rPr>
          <t>Kendi logonuzu bu alana yerleştirebilirsiniz.</t>
        </r>
      </text>
    </comment>
    <comment ref="A37" authorId="0" shapeId="0" xr:uid="{61502BA0-D6AD-4FF2-911E-3FC13E5B78ED}">
      <text>
        <r>
          <rPr>
            <sz val="11"/>
            <color theme="1"/>
            <rFont val="Aptos Narrow"/>
            <family val="2"/>
            <scheme val="minor"/>
          </rPr>
          <t>Firma adı ve iletişim bilgilerini kurumsal kimliğinize göre güncelleyin.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2BC4A9A4-7C18-4314-84E5-295961176FC3}">
      <text>
        <r>
          <rPr>
            <sz val="11"/>
            <color theme="1"/>
            <rFont val="Aptos Narrow"/>
            <family val="2"/>
            <scheme val="minor"/>
          </rPr>
          <t>Kendi logonuzu bu alana yerleştirebilirsiniz.</t>
        </r>
      </text>
    </comment>
    <comment ref="A37" authorId="0" shapeId="0" xr:uid="{CE39A659-7F93-49FE-BE4D-7423B7B9A61A}">
      <text>
        <r>
          <rPr>
            <sz val="11"/>
            <color theme="1"/>
            <rFont val="Aptos Narrow"/>
            <family val="2"/>
            <scheme val="minor"/>
          </rPr>
          <t>Firma adı ve iletişim bilgilerini kurumsal kimliğinize göre güncelleyin.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8B7532CB-ABC4-4471-BB93-9456800DD930}">
      <text>
        <r>
          <rPr>
            <sz val="11"/>
            <color theme="1"/>
            <rFont val="Aptos Narrow"/>
            <family val="2"/>
            <scheme val="minor"/>
          </rPr>
          <t>Kendi logonuzu bu alana yerleştirebilirsiniz.</t>
        </r>
      </text>
    </comment>
    <comment ref="A37" authorId="0" shapeId="0" xr:uid="{E2932957-0984-43BB-996C-6F9A83E16D8D}">
      <text>
        <r>
          <rPr>
            <sz val="11"/>
            <color theme="1"/>
            <rFont val="Aptos Narrow"/>
            <family val="2"/>
            <scheme val="minor"/>
          </rPr>
          <t>Firma adı ve iletişim bilgilerini kurumsal kimliğinize göre güncelleyin.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FDE44F5D-BB01-4240-B570-98BDDBE24A47}">
      <text>
        <r>
          <rPr>
            <sz val="11"/>
            <color theme="1"/>
            <rFont val="Aptos Narrow"/>
            <family val="2"/>
            <scheme val="minor"/>
          </rPr>
          <t>Kendi logonuzu bu alana yerleştirebilirsiniz.</t>
        </r>
      </text>
    </comment>
    <comment ref="A37" authorId="0" shapeId="0" xr:uid="{6D771B00-2958-4D07-9176-3556FB0D1B6A}">
      <text>
        <r>
          <rPr>
            <sz val="11"/>
            <color theme="1"/>
            <rFont val="Aptos Narrow"/>
            <family val="2"/>
            <scheme val="minor"/>
          </rPr>
          <t>Firma adı ve iletişim bilgilerini kurumsal kimliğinize göre güncelleyin.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4862B19D-A4D5-4A0F-9628-8D14BAEE86BB}">
      <text>
        <r>
          <rPr>
            <sz val="11"/>
            <color theme="1"/>
            <rFont val="Aptos Narrow"/>
            <family val="2"/>
            <scheme val="minor"/>
          </rPr>
          <t>Kendi logonuzu bu alana yerleştirebilirsiniz.</t>
        </r>
      </text>
    </comment>
    <comment ref="A37" authorId="0" shapeId="0" xr:uid="{A9841203-BE65-4A0A-A5C9-C21545B60740}">
      <text>
        <r>
          <rPr>
            <sz val="11"/>
            <color theme="1"/>
            <rFont val="Aptos Narrow"/>
            <family val="2"/>
            <scheme val="minor"/>
          </rPr>
          <t>Firma adı ve iletişim bilgilerini kurumsal kimliğinize göre güncelleyin.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A78B3D38-6696-4351-BEE4-E33C9E6E5A6D}">
      <text>
        <r>
          <rPr>
            <sz val="11"/>
            <color theme="1"/>
            <rFont val="Aptos Narrow"/>
            <family val="2"/>
            <scheme val="minor"/>
          </rPr>
          <t>Kendi logonuzu bu alana yerleştirebilirsiniz.</t>
        </r>
      </text>
    </comment>
    <comment ref="A37" authorId="0" shapeId="0" xr:uid="{F3F410F3-07DB-4D6F-A97C-6B6A4867F17A}">
      <text>
        <r>
          <rPr>
            <sz val="11"/>
            <color theme="1"/>
            <rFont val="Aptos Narrow"/>
            <family val="2"/>
            <scheme val="minor"/>
          </rPr>
          <t>Firma adı ve iletişim bilgilerini kurumsal kimliğinize göre güncelleyin.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9443ABEF-C4D5-4570-A628-F1EEF8311903}">
      <text>
        <r>
          <rPr>
            <sz val="11"/>
            <color theme="1"/>
            <rFont val="Aptos Narrow"/>
            <family val="2"/>
            <scheme val="minor"/>
          </rPr>
          <t>Kendi logonuzu bu alana yerleştirebilirsiniz.</t>
        </r>
      </text>
    </comment>
    <comment ref="A37" authorId="0" shapeId="0" xr:uid="{8A2BCE29-E64A-4167-8DD3-E94DB5805739}">
      <text>
        <r>
          <rPr>
            <sz val="11"/>
            <color theme="1"/>
            <rFont val="Aptos Narrow"/>
            <family val="2"/>
            <scheme val="minor"/>
          </rPr>
          <t>Firma adı ve iletişim bilgilerini kurumsal kimliğinize göre güncelleyin.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605AF38A-6808-4E8E-8091-BD054A95F248}">
      <text>
        <r>
          <rPr>
            <sz val="11"/>
            <color theme="1"/>
            <rFont val="Aptos Narrow"/>
            <family val="2"/>
            <scheme val="minor"/>
          </rPr>
          <t>Kendi logonuzu bu alana yerleştirebilirsiniz.</t>
        </r>
      </text>
    </comment>
    <comment ref="A37" authorId="0" shapeId="0" xr:uid="{0510C2D0-2C0B-49B8-99F0-078E9EFF08BC}">
      <text>
        <r>
          <rPr>
            <sz val="11"/>
            <color theme="1"/>
            <rFont val="Aptos Narrow"/>
            <family val="2"/>
            <scheme val="minor"/>
          </rPr>
          <t>Firma adı ve iletişim bilgilerini kurumsal kimliğinize göre güncelleyin.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73A35DC6-3737-4635-A2D1-883EAFC88BCE}">
      <text>
        <r>
          <rPr>
            <sz val="11"/>
            <color theme="1"/>
            <rFont val="Aptos Narrow"/>
            <family val="2"/>
            <scheme val="minor"/>
          </rPr>
          <t>Kendi logonuzu bu alana yerleştirebilirsiniz.</t>
        </r>
      </text>
    </comment>
    <comment ref="A37" authorId="0" shapeId="0" xr:uid="{0037FA48-2709-4879-8112-21A35A1C7122}">
      <text>
        <r>
          <rPr>
            <sz val="11"/>
            <color theme="1"/>
            <rFont val="Aptos Narrow"/>
            <family val="2"/>
            <scheme val="minor"/>
          </rPr>
          <t>Firma adı ve iletişim bilgilerini kurumsal kimliğinize göre güncelleyin.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5EFF09B0-9AC8-4E2E-A686-8A8D8773DA4A}">
      <text>
        <r>
          <rPr>
            <sz val="11"/>
            <color theme="1"/>
            <rFont val="Aptos Narrow"/>
            <family val="2"/>
            <scheme val="minor"/>
          </rPr>
          <t>Kendi logonuzu bu alana yerleştirebilirsiniz.</t>
        </r>
      </text>
    </comment>
    <comment ref="A37" authorId="0" shapeId="0" xr:uid="{8936902B-ED90-40FE-B6F0-FEE003BF4A8B}">
      <text>
        <r>
          <rPr>
            <sz val="11"/>
            <color theme="1"/>
            <rFont val="Aptos Narrow"/>
            <family val="2"/>
            <scheme val="minor"/>
          </rPr>
          <t>Firma adı ve iletişim bilgilerini kurumsal kimliğinize göre güncelleyin.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DB81C534-9FFF-4357-88FE-0DEDD371CCAE}">
      <text>
        <r>
          <rPr>
            <sz val="11"/>
            <color theme="1"/>
            <rFont val="Aptos Narrow"/>
            <family val="2"/>
            <scheme val="minor"/>
          </rPr>
          <t>Kendi logonuzu bu alana yerleştirebilirsiniz.</t>
        </r>
      </text>
    </comment>
    <comment ref="A37" authorId="0" shapeId="0" xr:uid="{64229F9C-AD80-4885-BC89-3D5004080FB6}">
      <text>
        <r>
          <rPr>
            <sz val="11"/>
            <color theme="1"/>
            <rFont val="Aptos Narrow"/>
            <family val="2"/>
            <scheme val="minor"/>
          </rPr>
          <t>Firma adı ve iletişim bilgilerini kurumsal kimliğinize göre güncelleyin.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<sst xmlns="http://schemas.openxmlformats.org/spreadsheetml/2006/main" count="1119" uniqueCount="154">
  <si>
    <t>2613H40030</t>
  </si>
  <si>
    <t>2611H30292</t>
  </si>
  <si>
    <t>2611H30320</t>
  </si>
  <si>
    <t>2611H30328</t>
  </si>
  <si>
    <t>2613H30103</t>
  </si>
  <si>
    <t>2613H40008</t>
  </si>
  <si>
    <t>2613H30030</t>
  </si>
  <si>
    <t>2611H30247</t>
  </si>
  <si>
    <t>2611H30251</t>
  </si>
  <si>
    <t>2611H30291</t>
  </si>
  <si>
    <t>2613H40004</t>
  </si>
  <si>
    <t>2611H30242</t>
  </si>
  <si>
    <t>2611H30293</t>
  </si>
  <si>
    <t>2611H30313</t>
  </si>
  <si>
    <t>2611H30327</t>
  </si>
  <si>
    <t>2613H40003</t>
  </si>
  <si>
    <t>2613H40011</t>
  </si>
  <si>
    <t>2613H40032</t>
  </si>
  <si>
    <t>2612H30043</t>
  </si>
  <si>
    <t>2611H30310</t>
  </si>
  <si>
    <t>2613H40033</t>
  </si>
  <si>
    <t>2611H30236</t>
  </si>
  <si>
    <t>2611H30259</t>
  </si>
  <si>
    <t>2611H30297</t>
  </si>
  <si>
    <t>2611H30309</t>
  </si>
  <si>
    <t>2611H30254</t>
  </si>
  <si>
    <t>2611H30295</t>
  </si>
  <si>
    <t>2611H30311</t>
  </si>
  <si>
    <t>2611H30316</t>
  </si>
  <si>
    <t>2611H30326</t>
  </si>
  <si>
    <t>2613H40005</t>
  </si>
  <si>
    <t>2613H40031</t>
  </si>
  <si>
    <t>2612H30042</t>
  </si>
  <si>
    <t>2613H30031</t>
  </si>
  <si>
    <t>2611H30258</t>
  </si>
  <si>
    <t>2613H40029</t>
  </si>
  <si>
    <t>2612H30040</t>
  </si>
  <si>
    <t>2612H30041</t>
  </si>
  <si>
    <t>2613H30029</t>
  </si>
  <si>
    <t>2613H30107</t>
  </si>
  <si>
    <t>2613H40052</t>
  </si>
  <si>
    <t>2611H30274</t>
  </si>
  <si>
    <t>2611H30275</t>
  </si>
  <si>
    <t>2611H30307</t>
  </si>
  <si>
    <t>2611H30308</t>
  </si>
  <si>
    <t>PACKING LIST
ÇEKİ LİSTESİ</t>
  </si>
  <si>
    <t>Yayın Tarihi</t>
  </si>
  <si>
    <t>Doküman No</t>
  </si>
  <si>
    <t>P07-F07</t>
  </si>
  <si>
    <t>Revizyon Tarihi</t>
  </si>
  <si>
    <t>-</t>
  </si>
  <si>
    <t>Revizyon No</t>
  </si>
  <si>
    <t>00</t>
  </si>
  <si>
    <t>DOCUMENT &amp; SHIPMENT INFORMATION / BELGE VE SEVKİYAT BİLGİLERİ</t>
  </si>
  <si>
    <t>Order No. / Sipariş No</t>
  </si>
  <si>
    <t>Date / Tarih</t>
  </si>
  <si>
    <t>Invoice No. / Fatura No</t>
  </si>
  <si>
    <t>Incoterm</t>
  </si>
  <si>
    <t>Shipper / Gönderici</t>
  </si>
  <si>
    <t>Consignee / Alıcı</t>
  </si>
  <si>
    <t>Notify Party / İhbar</t>
  </si>
  <si>
    <t>Country of Origin</t>
  </si>
  <si>
    <t>Final Destination</t>
  </si>
  <si>
    <t>Port of Loading</t>
  </si>
  <si>
    <t>Port of Discharge</t>
  </si>
  <si>
    <t>Vessel / Flight</t>
  </si>
  <si>
    <t>ETD / ETA</t>
  </si>
  <si>
    <t>Container / Vehicle No.</t>
  </si>
  <si>
    <t>B/L - AWB No.</t>
  </si>
  <si>
    <t>PO / Contract No.</t>
  </si>
  <si>
    <t>Currency</t>
  </si>
  <si>
    <t>Item
No</t>
  </si>
  <si>
    <t>Case / Crate
No</t>
  </si>
  <si>
    <t>Part No. /
Model</t>
  </si>
  <si>
    <t>Description of Goods</t>
  </si>
  <si>
    <t>HS Code</t>
  </si>
  <si>
    <t>COO</t>
  </si>
  <si>
    <t>Qty</t>
  </si>
  <si>
    <t>UOM</t>
  </si>
  <si>
    <t>Package Type</t>
  </si>
  <si>
    <t>L
(cm)</t>
  </si>
  <si>
    <t>W
(cm)</t>
  </si>
  <si>
    <t>H
(cm)</t>
  </si>
  <si>
    <t>Net Wt
(kg)</t>
  </si>
  <si>
    <t>Gross Wt
(kg)</t>
  </si>
  <si>
    <t>Volume
(m³)</t>
  </si>
  <si>
    <t>TOTAL / TOPLAM</t>
  </si>
  <si>
    <t>Total Packages</t>
  </si>
  <si>
    <t>Total Qty</t>
  </si>
  <si>
    <t>Total Net Wt (kg)</t>
  </si>
  <si>
    <t>Total Gross Wt (kg)</t>
  </si>
  <si>
    <t>Total Volume (m³)</t>
  </si>
  <si>
    <t>PACKAGING DECLARATION / AMBALAJ BEYANI</t>
  </si>
  <si>
    <t>All goods are packed suitably for export shipment, loading/unloading and inland transportation unless otherwise stated above.
Yukarıda aksi belirtilmedikçe tüm mallar ihracat sevkiyatına, yükleme/boşaltmaya ve iç nakliyeye uygun şekilde ambalajlanmıştır.</t>
  </si>
  <si>
    <t>APPROVAL / ONAY</t>
  </si>
  <si>
    <t>Prepared By</t>
  </si>
  <si>
    <t>Date</t>
  </si>
  <si>
    <t>Checked By</t>
  </si>
  <si>
    <t>Approved By</t>
  </si>
  <si>
    <t>Receiver / Carrier</t>
  </si>
  <si>
    <t>Vimpo Makine A.Ş.</t>
  </si>
  <si>
    <t>Adres / Address : Malıköy Anadolu OSB Mahallesi 12. Cadde No:8 06909 Sincan/Ankara/Türkiye
Telefon / Phone : +90 312 354 8509   •   E-posta / E-mail : ugur.cicekverdi@vimpo.com   •   Web : www.vimpo.com.tr</t>
  </si>
  <si>
    <t xml:space="preserve">Africa Road for Asphalt and Petroleum Insulation Industries </t>
  </si>
  <si>
    <t>CIF</t>
  </si>
  <si>
    <t>Limak Port İskenderun</t>
  </si>
  <si>
    <t>Bingazi Port</t>
  </si>
  <si>
    <t>Türkiye</t>
  </si>
  <si>
    <t>CMA CGM NANSHA / 0NVLPN1MA</t>
  </si>
  <si>
    <t>EUR</t>
  </si>
  <si>
    <t>Pcs</t>
  </si>
  <si>
    <t>Bundle</t>
  </si>
  <si>
    <t>St37 Steel Sheet 6x1500x6900 mm</t>
  </si>
  <si>
    <t>St37 Steel Sheet 8x1500x6900 mm</t>
  </si>
  <si>
    <t>St37 Steel Sheet 10x1500x6900 mm</t>
  </si>
  <si>
    <t>St37 Steel Sheet 4x1500x8000 mm</t>
  </si>
  <si>
    <t>St37 Steel Sheet 12x1500x8000 mm</t>
  </si>
  <si>
    <t>St37 Steel Sheet 12x1500x6900 mm</t>
  </si>
  <si>
    <t>St37 Steel Sheet 3x1500x8000 mm</t>
  </si>
  <si>
    <t>TCLU7139589</t>
  </si>
  <si>
    <t>TCLU7112490</t>
  </si>
  <si>
    <t>TEXU1581022</t>
  </si>
  <si>
    <t>TLLU1265510</t>
  </si>
  <si>
    <t>TRIU0520849</t>
  </si>
  <si>
    <t>TLLU1263332</t>
  </si>
  <si>
    <t>SEGU734199-1</t>
  </si>
  <si>
    <t>ASM2026000000557</t>
  </si>
  <si>
    <t>ASM2026000000556</t>
  </si>
  <si>
    <t>ASM2026000000558</t>
  </si>
  <si>
    <t>TCLU700218-0</t>
  </si>
  <si>
    <t>TRLU641946-0</t>
  </si>
  <si>
    <t>TCLU716284-5</t>
  </si>
  <si>
    <t>TCLU7063591</t>
  </si>
  <si>
    <t>7208.51.20.90.19</t>
  </si>
  <si>
    <t>7208.40.00.10.19</t>
  </si>
  <si>
    <t>ASM2026000000560</t>
  </si>
  <si>
    <t>ASM2026000000561</t>
  </si>
  <si>
    <t>St37 Steel Sheet 8x1500x6000 mm</t>
  </si>
  <si>
    <t>ASM2026000000571</t>
  </si>
  <si>
    <t>2615H30001</t>
  </si>
  <si>
    <t>2615H30002</t>
  </si>
  <si>
    <t>2615H30003</t>
  </si>
  <si>
    <t>2615H30004</t>
  </si>
  <si>
    <t>St37 Steel Sheet 4x1500x6000 mm</t>
  </si>
  <si>
    <t>ASM2026000000559</t>
  </si>
  <si>
    <t>ASM2026000000563</t>
  </si>
  <si>
    <t>ASM2026000000569</t>
  </si>
  <si>
    <t>ASM2026000000565</t>
  </si>
  <si>
    <t>ASM2026000000570</t>
  </si>
  <si>
    <t>kg</t>
  </si>
  <si>
    <t>pcs</t>
  </si>
  <si>
    <t>Container</t>
  </si>
  <si>
    <t>IHR2026000000026</t>
  </si>
  <si>
    <t xml:space="preserve">VMP-S01064-B1 </t>
  </si>
  <si>
    <t>VMP-S01064-B1-B1-B1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</si>
</sst>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yyyy\-mm\-dd"/>
  </numFmts>
  <fonts count="18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  <charset val="162"/>
    </font>
    <font>
      <sz val="11"/>
      <color theme="1"/>
      <name val="Aptos Narrow"/>
      <family val="2"/>
      <scheme val="minor"/>
    </font>
    <font>
      <b/>
      <sz val="14"/>
      <color rgb="FF666666"/>
      <name val="Calibri"/>
      <family val="2"/>
      <charset val="162"/>
    </font>
    <font>
      <b/>
      <sz val="18"/>
      <color rgb="FF1F4E78"/>
      <name val="Calibri"/>
      <family val="2"/>
      <charset val="162"/>
    </font>
    <font>
      <b/>
      <sz val="10"/>
      <name val="Calibri"/>
      <family val="2"/>
      <charset val="162"/>
    </font>
    <font>
      <b/>
      <sz val="10"/>
      <color rgb="FFFFFFFF"/>
      <name val="Calibri"/>
      <family val="2"/>
      <charset val="162"/>
    </font>
    <font>
      <b/>
      <sz val="10"/>
      <color rgb="FF1F4E78"/>
      <name val="Calibri"/>
      <family val="2"/>
      <charset val="162"/>
    </font>
    <font>
      <sz val="10"/>
      <color rgb="FF0000FF"/>
      <name val="Calibri"/>
      <family val="2"/>
      <charset val="162"/>
    </font>
    <font>
      <sz val="10"/>
      <color rgb="FF000000"/>
      <name val="Calibri"/>
      <family val="2"/>
      <charset val="162"/>
    </font>
    <font>
      <b/>
      <sz val="10"/>
      <color rgb="FF000000"/>
      <name val="Calibri"/>
      <family val="2"/>
      <charset val="162"/>
    </font>
    <font>
      <sz val="10"/>
      <color rgb="FF666666"/>
      <name val="Calibri"/>
      <family val="2"/>
      <charset val="162"/>
    </font>
    <font>
      <i/>
      <sz val="9"/>
      <color rgb="FF666666"/>
      <name val="Calibri"/>
      <family val="2"/>
      <charset val="162"/>
    </font>
    <font>
      <b/>
      <sz val="14"/>
      <color rgb="FF1F4E78"/>
      <name val="Calibri"/>
      <family val="2"/>
      <charset val="162"/>
    </font>
    <font>
      <sz val="10"/>
      <color theme="1"/>
      <name val="Aptos Narrow"/>
      <family val="2"/>
      <charset val="162"/>
      <scheme val="minor"/>
    </font>
    <font>
      <sz val="10"/>
      <color rgb="FF0000FF"/>
      <name val="Calibri"/>
      <family val="2"/>
      <charset val="162"/>
    </font>
    <font>
      <b/>
      <sz val="10"/>
      <color rgb="FF0000FF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rgb="FFEAF3FB"/>
      </patternFill>
    </fill>
    <fill>
      <patternFill patternType="solid">
        <fgColor rgb="FFFFF7CC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FFF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rgb="FFA6A6A6"/>
      </bottom>
      <diagonal/>
    </border>
    <border>
      <left/>
      <right style="thin">
        <color rgb="FFA6A6A6"/>
      </right>
      <top style="medium">
        <color indexed="64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medium">
        <color indexed="64"/>
      </top>
      <bottom style="thin">
        <color rgb="FFA6A6A6"/>
      </bottom>
      <diagonal/>
    </border>
    <border>
      <left style="thin">
        <color rgb="FFA6A6A6"/>
      </left>
      <right style="medium">
        <color indexed="64"/>
      </right>
      <top style="medium">
        <color indexed="64"/>
      </top>
      <bottom style="thin">
        <color rgb="FFA6A6A6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medium">
        <color indexed="64"/>
      </right>
      <top style="thin">
        <color rgb="FFA6A6A6"/>
      </top>
      <bottom style="thin">
        <color rgb="FFA6A6A6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rgb="FFA6A6A6"/>
      </top>
      <bottom style="medium">
        <color indexed="64"/>
      </bottom>
      <diagonal/>
    </border>
    <border>
      <left/>
      <right style="thin">
        <color rgb="FFA6A6A6"/>
      </right>
      <top style="thin">
        <color rgb="FFA6A6A6"/>
      </top>
      <bottom style="medium">
        <color indexed="6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indexed="64"/>
      </bottom>
      <diagonal/>
    </border>
    <border>
      <left style="thin">
        <color rgb="FFA6A6A6"/>
      </left>
      <right style="medium">
        <color indexed="64"/>
      </right>
      <top style="thin">
        <color rgb="FFA6A6A6"/>
      </top>
      <bottom style="medium">
        <color indexed="64"/>
      </bottom>
      <diagonal/>
    </border>
    <border>
      <left style="medium">
        <color indexed="64"/>
      </left>
      <right style="medium">
        <color rgb="FF1F4E78"/>
      </right>
      <top/>
      <bottom style="medium">
        <color rgb="FF1F4E78"/>
      </bottom>
      <diagonal/>
    </border>
    <border>
      <left style="medium">
        <color rgb="FF1F4E78"/>
      </left>
      <right style="medium">
        <color rgb="FF1F4E78"/>
      </right>
      <top/>
      <bottom style="medium">
        <color rgb="FF1F4E78"/>
      </bottom>
      <diagonal/>
    </border>
    <border>
      <left style="medium">
        <color rgb="FF1F4E78"/>
      </left>
      <right style="medium">
        <color indexed="64"/>
      </right>
      <top/>
      <bottom style="medium">
        <color rgb="FF1F4E78"/>
      </bottom>
      <diagonal/>
    </border>
    <border>
      <left style="medium">
        <color indexed="64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indexed="64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medium">
        <color rgb="FF1F4E78"/>
      </left>
      <right style="medium">
        <color indexed="64"/>
      </right>
      <top style="medium">
        <color rgb="FF1F4E78"/>
      </top>
      <bottom style="medium">
        <color rgb="FF1F4E78"/>
      </bottom>
      <diagonal/>
    </border>
    <border>
      <left style="medium">
        <color indexed="64"/>
      </left>
      <right/>
      <top/>
      <bottom style="medium">
        <color rgb="FF1F4E78"/>
      </bottom>
      <diagonal/>
    </border>
    <border>
      <left/>
      <right/>
      <top/>
      <bottom style="medium">
        <color rgb="FF1F4E78"/>
      </bottom>
      <diagonal/>
    </border>
    <border>
      <left/>
      <right style="medium">
        <color indexed="64"/>
      </right>
      <top/>
      <bottom style="medium">
        <color rgb="FF1F4E78"/>
      </bottom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/>
      <diagonal/>
    </border>
    <border>
      <left style="medium">
        <color indexed="64"/>
      </left>
      <right/>
      <top style="thin">
        <color rgb="FFA6A6A6"/>
      </top>
      <bottom style="thin">
        <color rgb="FFA6A6A6"/>
      </bottom>
      <diagonal/>
    </border>
    <border>
      <left style="medium">
        <color rgb="FF1F4E78"/>
      </left>
      <right style="medium">
        <color indexed="64"/>
      </right>
      <top style="medium">
        <color rgb="FF1F4E78"/>
      </top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98">
    <xf numFmtId="0" fontId="0" fillId="0" borderId="0" xfId="0"/>
    <xf numFmtId="0" fontId="3" fillId="0" borderId="0" xfId="2"/>
    <xf numFmtId="165" fontId="9" fillId="5" borderId="19" xfId="2" applyNumberFormat="1" applyFont="1" applyFill="1" applyBorder="1" applyAlignment="1">
      <alignment horizontal="left" vertical="center" wrapText="1"/>
    </xf>
    <xf numFmtId="0" fontId="3" fillId="0" borderId="5" xfId="2" applyBorder="1"/>
    <xf numFmtId="0" fontId="3" fillId="0" borderId="6" xfId="2" applyBorder="1"/>
    <xf numFmtId="0" fontId="7" fillId="6" borderId="29" xfId="2" applyFont="1" applyFill="1" applyBorder="1" applyAlignment="1">
      <alignment horizontal="center" vertical="center" wrapText="1"/>
    </xf>
    <xf numFmtId="0" fontId="11" fillId="3" borderId="18" xfId="2" applyFont="1" applyFill="1" applyBorder="1" applyAlignment="1">
      <alignment horizontal="right" vertical="center"/>
    </xf>
    <xf numFmtId="4" fontId="11" fillId="3" borderId="18" xfId="2" applyNumberFormat="1" applyFont="1" applyFill="1" applyBorder="1" applyAlignment="1">
      <alignment horizontal="right" vertical="center"/>
    </xf>
    <xf numFmtId="164" fontId="11" fillId="3" borderId="19" xfId="2" applyNumberFormat="1" applyFont="1" applyFill="1" applyBorder="1" applyAlignment="1">
      <alignment horizontal="right" vertical="center"/>
    </xf>
    <xf numFmtId="0" fontId="13" fillId="3" borderId="5" xfId="2" applyFont="1" applyFill="1" applyBorder="1" applyAlignment="1">
      <alignment horizontal="center" vertical="center"/>
    </xf>
    <xf numFmtId="0" fontId="12" fillId="3" borderId="0" xfId="2" applyFont="1" applyFill="1" applyAlignment="1">
      <alignment horizontal="left" vertical="center" wrapText="1"/>
    </xf>
    <xf numFmtId="0" fontId="13" fillId="3" borderId="0" xfId="2" applyFont="1" applyFill="1" applyAlignment="1">
      <alignment horizontal="center" vertical="center"/>
    </xf>
    <xf numFmtId="0" fontId="12" fillId="3" borderId="6" xfId="2" applyFont="1" applyFill="1" applyBorder="1" applyAlignment="1">
      <alignment horizontal="left" vertical="center" wrapText="1"/>
    </xf>
    <xf numFmtId="0" fontId="16" fillId="5" borderId="19" xfId="2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7" fillId="6" borderId="35" xfId="2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9" fillId="4" borderId="36" xfId="2" applyFont="1" applyFill="1" applyBorder="1" applyAlignment="1">
      <alignment horizontal="center" vertical="center"/>
    </xf>
    <xf numFmtId="0" fontId="7" fillId="6" borderId="37" xfId="2" applyFont="1" applyFill="1" applyBorder="1" applyAlignment="1">
      <alignment horizontal="center" vertical="center" wrapText="1"/>
    </xf>
    <xf numFmtId="4" fontId="11" fillId="3" borderId="26" xfId="2" applyNumberFormat="1" applyFont="1" applyFill="1" applyBorder="1" applyAlignment="1">
      <alignment horizontal="right" vertical="center"/>
    </xf>
    <xf numFmtId="0" fontId="11" fillId="3" borderId="26" xfId="2" applyFont="1" applyFill="1" applyBorder="1" applyAlignment="1">
      <alignment horizontal="right" vertical="center"/>
    </xf>
    <xf numFmtId="164" fontId="11" fillId="3" borderId="27" xfId="2" applyNumberFormat="1" applyFont="1" applyFill="1" applyBorder="1" applyAlignment="1">
      <alignment horizontal="right" vertical="center"/>
    </xf>
    <xf numFmtId="164" fontId="10" fillId="2" borderId="1" xfId="2" applyNumberFormat="1" applyFont="1" applyFill="1" applyBorder="1" applyAlignment="1">
      <alignment horizontal="center" vertical="center"/>
    </xf>
    <xf numFmtId="0" fontId="9" fillId="2" borderId="1" xfId="2" applyFont="1" applyFill="1" applyBorder="1" applyAlignment="1">
      <alignment horizontal="left" vertical="center" wrapText="1"/>
    </xf>
    <xf numFmtId="4" fontId="9" fillId="2" borderId="1" xfId="2" applyNumberFormat="1" applyFont="1" applyFill="1" applyBorder="1" applyAlignment="1">
      <alignment horizontal="right" vertical="center"/>
    </xf>
    <xf numFmtId="3" fontId="9" fillId="2" borderId="1" xfId="2" applyNumberFormat="1" applyFont="1" applyFill="1" applyBorder="1" applyAlignment="1">
      <alignment horizontal="right" vertical="center"/>
    </xf>
    <xf numFmtId="164" fontId="10" fillId="2" borderId="1" xfId="2" applyNumberFormat="1" applyFont="1" applyFill="1" applyBorder="1" applyAlignment="1">
      <alignment horizontal="right" vertical="center"/>
    </xf>
    <xf numFmtId="0" fontId="3" fillId="0" borderId="1" xfId="2" applyBorder="1"/>
    <xf numFmtId="0" fontId="3" fillId="0" borderId="1" xfId="2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2" xfId="2" applyFont="1" applyFill="1" applyBorder="1" applyAlignment="1">
      <alignment horizontal="center" vertical="center" wrapText="1"/>
    </xf>
    <xf numFmtId="0" fontId="4" fillId="3" borderId="3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0" xfId="2" applyFont="1" applyFill="1" applyAlignment="1">
      <alignment horizontal="center" vertical="center" wrapText="1"/>
    </xf>
    <xf numFmtId="0" fontId="4" fillId="3" borderId="6" xfId="2" applyFont="1" applyFill="1" applyBorder="1" applyAlignment="1">
      <alignment horizontal="center" vertical="center" wrapText="1"/>
    </xf>
    <xf numFmtId="0" fontId="4" fillId="3" borderId="7" xfId="2" applyFont="1" applyFill="1" applyBorder="1" applyAlignment="1">
      <alignment horizontal="center" vertical="center" wrapText="1"/>
    </xf>
    <xf numFmtId="0" fontId="4" fillId="3" borderId="8" xfId="2" applyFont="1" applyFill="1" applyBorder="1" applyAlignment="1">
      <alignment horizontal="center" vertical="center" wrapText="1"/>
    </xf>
    <xf numFmtId="0" fontId="4" fillId="3" borderId="9" xfId="2" applyFont="1" applyFill="1" applyBorder="1" applyAlignment="1">
      <alignment horizontal="center" vertical="center" wrapText="1"/>
    </xf>
    <xf numFmtId="0" fontId="5" fillId="4" borderId="2" xfId="2" applyFont="1" applyFill="1" applyBorder="1" applyAlignment="1">
      <alignment horizontal="center" vertical="center" wrapText="1"/>
    </xf>
    <xf numFmtId="0" fontId="5" fillId="4" borderId="3" xfId="2" applyFont="1" applyFill="1" applyBorder="1" applyAlignment="1">
      <alignment horizontal="center" vertical="center" wrapText="1"/>
    </xf>
    <xf numFmtId="0" fontId="5" fillId="4" borderId="10" xfId="2" applyFont="1" applyFill="1" applyBorder="1" applyAlignment="1">
      <alignment horizontal="center" vertical="center" wrapText="1"/>
    </xf>
    <xf numFmtId="0" fontId="5" fillId="4" borderId="5" xfId="2" applyFont="1" applyFill="1" applyBorder="1" applyAlignment="1">
      <alignment horizontal="center" vertical="center" wrapText="1"/>
    </xf>
    <xf numFmtId="0" fontId="5" fillId="4" borderId="0" xfId="2" applyFont="1" applyFill="1" applyAlignment="1">
      <alignment horizontal="center" vertical="center" wrapText="1"/>
    </xf>
    <xf numFmtId="0" fontId="5" fillId="4" borderId="15" xfId="2" applyFont="1" applyFill="1" applyBorder="1" applyAlignment="1">
      <alignment horizontal="center" vertical="center" wrapText="1"/>
    </xf>
    <xf numFmtId="0" fontId="5" fillId="4" borderId="7" xfId="2" applyFont="1" applyFill="1" applyBorder="1" applyAlignment="1">
      <alignment horizontal="center" vertical="center" wrapText="1"/>
    </xf>
    <xf numFmtId="0" fontId="5" fillId="4" borderId="8" xfId="2" applyFont="1" applyFill="1" applyBorder="1" applyAlignment="1">
      <alignment horizontal="center" vertical="center" wrapText="1"/>
    </xf>
    <xf numFmtId="0" fontId="5" fillId="4" borderId="20" xfId="2" applyFont="1" applyFill="1" applyBorder="1" applyAlignment="1">
      <alignment horizontal="center" vertical="center" wrapText="1"/>
    </xf>
    <xf numFmtId="3" fontId="6" fillId="5" borderId="11" xfId="2" applyNumberFormat="1" applyFont="1" applyFill="1" applyBorder="1" applyAlignment="1">
      <alignment horizontal="left" vertical="center"/>
    </xf>
    <xf numFmtId="3" fontId="6" fillId="5" borderId="12" xfId="2" applyNumberFormat="1" applyFont="1" applyFill="1" applyBorder="1" applyAlignment="1">
      <alignment horizontal="left" vertical="center"/>
    </xf>
    <xf numFmtId="14" fontId="6" fillId="5" borderId="13" xfId="2" applyNumberFormat="1" applyFont="1" applyFill="1" applyBorder="1" applyAlignment="1">
      <alignment horizontal="left" vertical="center" wrapText="1"/>
    </xf>
    <xf numFmtId="14" fontId="6" fillId="5" borderId="14" xfId="2" applyNumberFormat="1" applyFont="1" applyFill="1" applyBorder="1" applyAlignment="1">
      <alignment horizontal="left" vertical="center" wrapText="1"/>
    </xf>
    <xf numFmtId="3" fontId="6" fillId="5" borderId="16" xfId="2" applyNumberFormat="1" applyFont="1" applyFill="1" applyBorder="1" applyAlignment="1">
      <alignment horizontal="left" vertical="center"/>
    </xf>
    <xf numFmtId="3" fontId="6" fillId="5" borderId="17" xfId="2" applyNumberFormat="1" applyFont="1" applyFill="1" applyBorder="1" applyAlignment="1">
      <alignment horizontal="left" vertical="center"/>
    </xf>
    <xf numFmtId="165" fontId="6" fillId="5" borderId="18" xfId="2" applyNumberFormat="1" applyFont="1" applyFill="1" applyBorder="1" applyAlignment="1">
      <alignment horizontal="left" vertical="center" wrapText="1"/>
    </xf>
    <xf numFmtId="0" fontId="6" fillId="5" borderId="19" xfId="2" applyFont="1" applyFill="1" applyBorder="1" applyAlignment="1">
      <alignment horizontal="left" vertical="center" wrapText="1"/>
    </xf>
    <xf numFmtId="3" fontId="6" fillId="5" borderId="21" xfId="2" applyNumberFormat="1" applyFont="1" applyFill="1" applyBorder="1" applyAlignment="1">
      <alignment horizontal="left" vertical="center"/>
    </xf>
    <xf numFmtId="3" fontId="6" fillId="5" borderId="22" xfId="2" applyNumberFormat="1" applyFont="1" applyFill="1" applyBorder="1" applyAlignment="1">
      <alignment horizontal="left" vertical="center"/>
    </xf>
    <xf numFmtId="49" fontId="6" fillId="5" borderId="23" xfId="2" applyNumberFormat="1" applyFont="1" applyFill="1" applyBorder="1" applyAlignment="1">
      <alignment horizontal="left" vertical="center" wrapText="1"/>
    </xf>
    <xf numFmtId="49" fontId="6" fillId="5" borderId="24" xfId="2" applyNumberFormat="1" applyFont="1" applyFill="1" applyBorder="1" applyAlignment="1">
      <alignment horizontal="left" vertical="center" wrapText="1"/>
    </xf>
    <xf numFmtId="0" fontId="7" fillId="6" borderId="25" xfId="2" applyFont="1" applyFill="1" applyBorder="1" applyAlignment="1">
      <alignment horizontal="left" vertical="center"/>
    </xf>
    <xf numFmtId="0" fontId="3" fillId="0" borderId="26" xfId="2" applyBorder="1"/>
    <xf numFmtId="0" fontId="3" fillId="0" borderId="27" xfId="2" applyBorder="1"/>
    <xf numFmtId="0" fontId="8" fillId="7" borderId="28" xfId="2" applyFont="1" applyFill="1" applyBorder="1" applyAlignment="1">
      <alignment horizontal="left" vertical="center" wrapText="1"/>
    </xf>
    <xf numFmtId="0" fontId="8" fillId="7" borderId="18" xfId="2" applyFont="1" applyFill="1" applyBorder="1" applyAlignment="1">
      <alignment horizontal="left" vertical="center" wrapText="1"/>
    </xf>
    <xf numFmtId="0" fontId="16" fillId="5" borderId="18" xfId="2" applyFont="1" applyFill="1" applyBorder="1" applyAlignment="1">
      <alignment horizontal="left" vertical="center" wrapText="1"/>
    </xf>
    <xf numFmtId="0" fontId="9" fillId="5" borderId="18" xfId="2" applyFont="1" applyFill="1" applyBorder="1" applyAlignment="1">
      <alignment horizontal="left" vertical="center" wrapText="1"/>
    </xf>
    <xf numFmtId="165" fontId="9" fillId="5" borderId="18" xfId="2" applyNumberFormat="1" applyFont="1" applyFill="1" applyBorder="1" applyAlignment="1">
      <alignment horizontal="left" vertical="center" wrapText="1"/>
    </xf>
    <xf numFmtId="0" fontId="8" fillId="3" borderId="29" xfId="2" applyFont="1" applyFill="1" applyBorder="1" applyAlignment="1">
      <alignment horizontal="right" vertical="center"/>
    </xf>
    <xf numFmtId="0" fontId="9" fillId="5" borderId="19" xfId="2" applyFont="1" applyFill="1" applyBorder="1" applyAlignment="1">
      <alignment horizontal="left" vertical="center" wrapText="1"/>
    </xf>
    <xf numFmtId="0" fontId="17" fillId="5" borderId="18" xfId="2" applyFont="1" applyFill="1" applyBorder="1" applyAlignment="1">
      <alignment horizontal="left" vertical="center" wrapText="1"/>
    </xf>
    <xf numFmtId="0" fontId="7" fillId="6" borderId="29" xfId="2" applyFont="1" applyFill="1" applyBorder="1" applyAlignment="1">
      <alignment horizontal="left" vertical="center"/>
    </xf>
    <xf numFmtId="0" fontId="3" fillId="0" borderId="30" xfId="2" applyBorder="1"/>
    <xf numFmtId="0" fontId="3" fillId="0" borderId="31" xfId="2" applyBorder="1"/>
    <xf numFmtId="0" fontId="12" fillId="8" borderId="29" xfId="2" applyFont="1" applyFill="1" applyBorder="1" applyAlignment="1">
      <alignment horizontal="left" vertical="center" wrapText="1"/>
    </xf>
    <xf numFmtId="0" fontId="3" fillId="0" borderId="29" xfId="2" applyBorder="1"/>
    <xf numFmtId="0" fontId="9" fillId="5" borderId="32" xfId="2" applyFont="1" applyFill="1" applyBorder="1" applyAlignment="1">
      <alignment horizontal="left" vertical="center" wrapText="1"/>
    </xf>
    <xf numFmtId="0" fontId="9" fillId="5" borderId="33" xfId="2" applyFont="1" applyFill="1" applyBorder="1" applyAlignment="1">
      <alignment horizontal="left" vertical="center" wrapText="1"/>
    </xf>
    <xf numFmtId="0" fontId="9" fillId="5" borderId="34" xfId="2" applyFont="1" applyFill="1" applyBorder="1" applyAlignment="1">
      <alignment horizontal="left" vertical="center" wrapText="1"/>
    </xf>
    <xf numFmtId="0" fontId="12" fillId="0" borderId="5" xfId="2" applyFont="1" applyBorder="1" applyAlignment="1">
      <alignment horizontal="center" vertical="center" wrapText="1"/>
    </xf>
    <xf numFmtId="0" fontId="12" fillId="0" borderId="0" xfId="2" applyFont="1" applyAlignment="1">
      <alignment horizontal="center" vertical="center" wrapText="1"/>
    </xf>
    <xf numFmtId="0" fontId="12" fillId="0" borderId="6" xfId="2" applyFont="1" applyBorder="1" applyAlignment="1">
      <alignment horizontal="center" vertical="center" wrapText="1"/>
    </xf>
    <xf numFmtId="0" fontId="12" fillId="0" borderId="7" xfId="2" applyFont="1" applyBorder="1" applyAlignment="1">
      <alignment horizontal="center" vertical="center" wrapText="1"/>
    </xf>
    <xf numFmtId="0" fontId="12" fillId="0" borderId="8" xfId="2" applyFont="1" applyBorder="1" applyAlignment="1">
      <alignment horizontal="center" vertical="center" wrapText="1"/>
    </xf>
    <xf numFmtId="0" fontId="12" fillId="0" borderId="9" xfId="2" applyFont="1" applyBorder="1" applyAlignment="1">
      <alignment horizontal="center" vertical="center" wrapText="1"/>
    </xf>
    <xf numFmtId="0" fontId="13" fillId="3" borderId="28" xfId="2" applyFont="1" applyFill="1" applyBorder="1" applyAlignment="1">
      <alignment horizontal="center" vertical="center"/>
    </xf>
    <xf numFmtId="0" fontId="12" fillId="3" borderId="18" xfId="2" applyFont="1" applyFill="1" applyBorder="1" applyAlignment="1">
      <alignment horizontal="left" vertical="center" wrapText="1"/>
    </xf>
    <xf numFmtId="0" fontId="13" fillId="3" borderId="18" xfId="2" applyFont="1" applyFill="1" applyBorder="1" applyAlignment="1">
      <alignment horizontal="center" vertical="center"/>
    </xf>
    <xf numFmtId="0" fontId="12" fillId="3" borderId="19" xfId="2" applyFont="1" applyFill="1" applyBorder="1" applyAlignment="1">
      <alignment horizontal="left" vertical="center" wrapText="1"/>
    </xf>
    <xf numFmtId="0" fontId="14" fillId="0" borderId="2" xfId="2" applyFont="1" applyBorder="1" applyAlignment="1">
      <alignment horizontal="center" vertical="center"/>
    </xf>
    <xf numFmtId="0" fontId="14" fillId="0" borderId="3" xfId="2" applyFont="1" applyBorder="1" applyAlignment="1">
      <alignment horizontal="center" vertical="center"/>
    </xf>
    <xf numFmtId="0" fontId="14" fillId="0" borderId="4" xfId="2" applyFont="1" applyBorder="1" applyAlignment="1">
      <alignment horizontal="center" vertic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3">
    <cellStyle name="Normal" xfId="0" builtinId="0"/>
    <cellStyle name="Normal 2" xfId="1" xr:uid="{F51A282D-1B73-4674-AE56-3C69BA388E8C}"/>
    <cellStyle name="Normal 3" xfId="2" xr:uid="{EC8BA616-7E8E-46E8-B048-9DACA0D3C9E5}"/>
  </cellStyles>
  <dxfs count="0"/>
  <tableStyles count="0" defaultTableStyle="TableStyleMedium2" defaultPivotStyle="PivotStyleLight16"/>
  <colors>
    <mruColors>
      <color rgb="FFF17F9D"/>
      <color rgb="FFA5739A"/>
      <color rgb="FFAA785A"/>
      <color rgb="FFABD1B1"/>
      <color rgb="FF6F9FB5"/>
      <color rgb="FFA7A7A7"/>
      <color rgb="FFE6EEB4"/>
      <color rgb="FFDBA86F"/>
      <color rgb="FFD49CC7"/>
      <color rgb="FFD8D8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2A873A9-78D6-4412-B1D7-71FE6AEBA4A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8251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22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B6E2F042-D506-43EC-A402-A74CC8E5E5C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578725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25398ED3-A11C-4F0F-9889-F6F98E4179A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A7684524-FB64-4F90-A7EF-2377D18AE68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2FC47411-5345-43B2-A4A6-70C49900355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8251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22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5CA01967-6120-4619-8ED1-64F5A457029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578725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3BE2FEFF-AE63-4884-8AE0-6B119C3CA63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CDA5197F-DA53-4359-8159-E1F8A4D10C5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246A62F7-B9BA-496D-831D-8005726BC6A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8251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22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9C169FAA-D54C-44BC-84B4-181D5923611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578725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DCCEAE65-0355-46C9-B2AD-F4924E8DF7C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1C9C23FA-7736-46F6-93CB-6BB70B197A4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D5F13FB8-00FA-42AF-9450-2C3491D60A4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8251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22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6E81D7E3-41C0-4CCE-9EEB-4DC31C13B66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578725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F0D88E88-1524-4F3B-A733-02E89FD3B9C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861B0289-9E9A-4A38-92F4-6300D5DD7B0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772157B-E9A6-47B0-AB74-5EF834A965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8251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22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DB5299B7-9CBA-432F-B34B-FBD88D56D45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578725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B1DA726D-789F-4C5E-93A5-E859D135E06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E86B5668-4FAA-40D5-87A0-8CB82CF2EF7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7D09D757-D988-46D2-AE2A-875858EDD5B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8251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22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EEC21893-DF5A-49C1-8CFA-6826F342F1C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578725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CF8C3A69-0A80-44EC-87FD-BF83919C047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6DD8E3D3-7975-4A62-B7F7-913F9D03FD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510278F6-05D9-4392-AE1B-059AFBB89C9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8251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22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43BA9253-B310-4358-8ADF-6DFCAAD7F2E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578725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C941195F-D325-4477-9393-1700A7C9A51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F48DBE96-3A8B-4732-8475-963419E4A01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76128B10-FD42-4A5B-8C6F-6CD82D65A67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8251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22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47CA75AA-BCB7-47AE-9216-86CBE12AF70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578725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04936740-8C50-4953-AF73-ADEA626E7EC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E59C71B1-EBC4-4DF3-8174-F31AAC11867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638CE201-ED78-48F8-8239-585AE443660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8251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22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BEC63725-D1C5-43A5-9346-8EBFEFDB6E8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578725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C2A28DD7-2415-453C-9B15-FE1AD532837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2A78A12A-1792-49CC-AC92-D063E9A2201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37899446-0EDE-4FBD-B79C-F7A58BE9728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8251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22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63244966-B086-4F0E-8532-A51F99B0A3A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578725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C84DDC2C-0B3C-4940-8B42-DFBD8C1AC5D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9191DC77-C791-4C87-AAE7-29CDA593F5E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FD4716CA-4355-4253-8DA0-8CA16579698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8251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22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9050E75E-228F-4CB7-8B2C-48FB6375825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578725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A39CB4C9-52B2-4105-AB85-C0C5AECE484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86E07D2D-B8BD-4173-9F2A-A1E9271A5A4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4C9E4-51DE-47F0-A70A-7D0D912FDB44}">
  <sheetPr>
    <tabColor rgb="FF7030A0"/>
  </sheetPr>
  <dimension ref="A1:C13"/>
  <sheetViews>
    <sheetView view="pageBreakPreview" zoomScaleNormal="100" zoomScaleSheetLayoutView="100" workbookViewId="0">
      <selection activeCell="E12" sqref="E12"/>
    </sheetView>
  </sheetViews>
  <sheetFormatPr defaultRowHeight="14.5" x14ac:dyDescent="0.35"/>
  <cols>
    <col min="1" max="1" width="13.08984375" bestFit="1" customWidth="1"/>
    <col min="2" max="2" width="9.90625" style="97" bestFit="1" customWidth="1"/>
    <col min="3" max="3" width="8.7265625" style="97"/>
  </cols>
  <sheetData>
    <row r="1" spans="1:3" x14ac:dyDescent="0.35">
      <c r="A1" s="33" t="s">
        <v>150</v>
      </c>
      <c r="B1" s="33" t="s">
        <v>148</v>
      </c>
      <c r="C1" s="33" t="s">
        <v>149</v>
      </c>
    </row>
    <row r="2" spans="1:3" x14ac:dyDescent="0.35">
      <c r="A2" t="s">
        <v>118</v>
      </c>
      <c r="B2" s="96">
        <f>TCLU7139589!M23</f>
        <v>25175</v>
      </c>
      <c r="C2" s="96">
        <f>TCLU7139589!G23</f>
        <v>32</v>
      </c>
    </row>
    <row r="3" spans="1:3" x14ac:dyDescent="0.35">
      <c r="A3" t="s">
        <v>119</v>
      </c>
      <c r="B3" s="96">
        <f>TCLU7112490!M23</f>
        <v>25175</v>
      </c>
      <c r="C3" s="96">
        <f>TCLU7112490!G23</f>
        <v>48</v>
      </c>
    </row>
    <row r="4" spans="1:3" x14ac:dyDescent="0.35">
      <c r="A4" t="s">
        <v>120</v>
      </c>
      <c r="B4" s="96">
        <f>TEXU1581022!M23</f>
        <v>25175</v>
      </c>
      <c r="C4" s="96">
        <f>TEXU1581022!G23</f>
        <v>48</v>
      </c>
    </row>
    <row r="5" spans="1:3" x14ac:dyDescent="0.35">
      <c r="A5" t="s">
        <v>121</v>
      </c>
      <c r="B5" s="96">
        <f>TLLU1265510!I25</f>
        <v>25075</v>
      </c>
      <c r="C5" s="96">
        <f>TLLU1265510!F25</f>
        <v>39</v>
      </c>
    </row>
    <row r="6" spans="1:3" x14ac:dyDescent="0.35">
      <c r="A6" t="s">
        <v>122</v>
      </c>
      <c r="B6" s="96">
        <f>TRIU0520849!I25</f>
        <v>25220</v>
      </c>
      <c r="C6" s="96">
        <f>TRIU0520849!G23</f>
        <v>61</v>
      </c>
    </row>
    <row r="7" spans="1:3" x14ac:dyDescent="0.35">
      <c r="A7" t="s">
        <v>123</v>
      </c>
      <c r="B7" s="96">
        <f>TLLU1263332!I25</f>
        <v>25100</v>
      </c>
      <c r="C7" s="96">
        <f>TLLU1263332!F25</f>
        <v>38</v>
      </c>
    </row>
    <row r="8" spans="1:3" x14ac:dyDescent="0.35">
      <c r="A8" t="s">
        <v>124</v>
      </c>
      <c r="B8" s="96">
        <f>'SEGU734199-1'!I25</f>
        <v>25040</v>
      </c>
      <c r="C8" s="96">
        <f>'SEGU734199-1'!F25</f>
        <v>28</v>
      </c>
    </row>
    <row r="9" spans="1:3" x14ac:dyDescent="0.35">
      <c r="A9" t="s">
        <v>128</v>
      </c>
      <c r="B9" s="96">
        <f>'TCLU700218-0'!I25</f>
        <v>25220</v>
      </c>
      <c r="C9" s="96">
        <f>'TCLU700218-0'!F25</f>
        <v>59</v>
      </c>
    </row>
    <row r="10" spans="1:3" x14ac:dyDescent="0.35">
      <c r="A10" t="s">
        <v>129</v>
      </c>
      <c r="B10" s="96">
        <f>'TRLU641946-0'!I25</f>
        <v>25220</v>
      </c>
      <c r="C10" s="96">
        <f>'TRLU641946-0'!F25</f>
        <v>49</v>
      </c>
    </row>
    <row r="11" spans="1:3" x14ac:dyDescent="0.35">
      <c r="A11" t="s">
        <v>130</v>
      </c>
      <c r="B11" s="96">
        <f>'TCLU716284-5'!I25</f>
        <v>25000</v>
      </c>
      <c r="C11" s="96">
        <f>'TCLU716284-5'!F25</f>
        <v>32</v>
      </c>
    </row>
    <row r="12" spans="1:3" x14ac:dyDescent="0.35">
      <c r="A12" t="s">
        <v>131</v>
      </c>
      <c r="B12" s="96">
        <f>TCLU7063591!I25</f>
        <v>20690</v>
      </c>
      <c r="C12" s="96">
        <f>TCLU7063591!F25</f>
        <v>21</v>
      </c>
    </row>
    <row r="13" spans="1:3" x14ac:dyDescent="0.35">
      <c r="B13" s="96">
        <f>SUM(B2:B12)</f>
        <v>272090</v>
      </c>
      <c r="C13" s="96">
        <f>SUM(C2:C12)</f>
        <v>455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D6FE6-24F1-4D41-9937-004ACEDF3906}">
  <sheetPr>
    <tabColor theme="7" tint="0.79998168889431442"/>
  </sheetPr>
  <dimension ref="A1:O39"/>
  <sheetViews>
    <sheetView showGridLines="0" view="pageBreakPreview" zoomScale="60" zoomScaleNormal="70" workbookViewId="0">
      <selection activeCell="P8" sqref="P8"/>
    </sheetView>
  </sheetViews>
  <sheetFormatPr defaultRowHeight="14.5" x14ac:dyDescent="0.35"/>
  <cols>
    <col min="1" max="1" width="8" style="1" customWidth="1"/>
    <col min="2" max="2" width="13" style="1" customWidth="1"/>
    <col min="3" max="3" width="11.7265625" style="1" bestFit="1" customWidth="1"/>
    <col min="4" max="4" width="30.26953125" style="1" bestFit="1" customWidth="1"/>
    <col min="5" max="5" width="15.08984375" style="1" bestFit="1" customWidth="1"/>
    <col min="6" max="6" width="6.54296875" style="1" bestFit="1" customWidth="1"/>
    <col min="7" max="8" width="8" style="1" customWidth="1"/>
    <col min="9" max="9" width="11.26953125" style="1" bestFit="1" customWidth="1"/>
    <col min="10" max="10" width="7.90625" style="1" customWidth="1"/>
    <col min="11" max="11" width="8.26953125" style="1" customWidth="1"/>
    <col min="12" max="12" width="8.36328125" style="1" customWidth="1"/>
    <col min="13" max="13" width="12" style="1" customWidth="1"/>
    <col min="14" max="14" width="13" style="1" customWidth="1"/>
    <col min="15" max="15" width="12" style="1" customWidth="1"/>
    <col min="16" max="16384" width="8.7265625" style="1"/>
  </cols>
  <sheetData>
    <row r="1" spans="1:15" ht="17.25" customHeight="1" x14ac:dyDescent="0.35">
      <c r="A1" s="34" t="e" vm="1">
        <v>#VALUE!</v>
      </c>
      <c r="B1" s="35"/>
      <c r="C1" s="36"/>
      <c r="D1" s="43" t="s">
        <v>45</v>
      </c>
      <c r="E1" s="44"/>
      <c r="F1" s="44"/>
      <c r="G1" s="44"/>
      <c r="H1" s="44"/>
      <c r="I1" s="44"/>
      <c r="J1" s="44"/>
      <c r="K1" s="45"/>
      <c r="L1" s="52" t="s">
        <v>46</v>
      </c>
      <c r="M1" s="53"/>
      <c r="N1" s="54">
        <v>46098</v>
      </c>
      <c r="O1" s="55"/>
    </row>
    <row r="2" spans="1:15" ht="18" customHeight="1" x14ac:dyDescent="0.35">
      <c r="A2" s="37"/>
      <c r="B2" s="38"/>
      <c r="C2" s="39"/>
      <c r="D2" s="46"/>
      <c r="E2" s="47"/>
      <c r="F2" s="47"/>
      <c r="G2" s="47"/>
      <c r="H2" s="47"/>
      <c r="I2" s="47"/>
      <c r="J2" s="47"/>
      <c r="K2" s="48"/>
      <c r="L2" s="56" t="s">
        <v>47</v>
      </c>
      <c r="M2" s="57"/>
      <c r="N2" s="58" t="s">
        <v>48</v>
      </c>
      <c r="O2" s="59"/>
    </row>
    <row r="3" spans="1:15" ht="16.5" customHeight="1" x14ac:dyDescent="0.35">
      <c r="A3" s="37"/>
      <c r="B3" s="38"/>
      <c r="C3" s="39"/>
      <c r="D3" s="46"/>
      <c r="E3" s="47"/>
      <c r="F3" s="47"/>
      <c r="G3" s="47"/>
      <c r="H3" s="47"/>
      <c r="I3" s="47"/>
      <c r="J3" s="47"/>
      <c r="K3" s="48"/>
      <c r="L3" s="56" t="s">
        <v>49</v>
      </c>
      <c r="M3" s="57"/>
      <c r="N3" s="58" t="s">
        <v>50</v>
      </c>
      <c r="O3" s="59"/>
    </row>
    <row r="4" spans="1:15" ht="15.75" customHeight="1" thickBot="1" x14ac:dyDescent="0.4">
      <c r="A4" s="40"/>
      <c r="B4" s="41"/>
      <c r="C4" s="42"/>
      <c r="D4" s="49"/>
      <c r="E4" s="50"/>
      <c r="F4" s="50"/>
      <c r="G4" s="50"/>
      <c r="H4" s="50"/>
      <c r="I4" s="50"/>
      <c r="J4" s="50"/>
      <c r="K4" s="51"/>
      <c r="L4" s="60" t="s">
        <v>51</v>
      </c>
      <c r="M4" s="61"/>
      <c r="N4" s="62" t="s">
        <v>52</v>
      </c>
      <c r="O4" s="63"/>
    </row>
    <row r="5" spans="1:15" ht="19.899999999999999" customHeight="1" thickBot="1" x14ac:dyDescent="0.4">
      <c r="A5" s="64" t="s">
        <v>53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6"/>
    </row>
    <row r="6" spans="1:15" ht="22.15" customHeight="1" x14ac:dyDescent="0.35">
      <c r="A6" s="67" t="s">
        <v>54</v>
      </c>
      <c r="B6" s="68"/>
      <c r="C6" s="69" t="s">
        <v>152</v>
      </c>
      <c r="D6" s="70"/>
      <c r="E6" s="68" t="s">
        <v>55</v>
      </c>
      <c r="F6" s="68"/>
      <c r="G6" s="71">
        <v>46119</v>
      </c>
      <c r="H6" s="70"/>
      <c r="I6" s="68" t="s">
        <v>56</v>
      </c>
      <c r="J6" s="68"/>
      <c r="K6" s="70" t="s">
        <v>151</v>
      </c>
      <c r="L6" s="70"/>
      <c r="M6" s="68" t="s">
        <v>57</v>
      </c>
      <c r="N6" s="68"/>
      <c r="O6" s="13" t="s">
        <v>103</v>
      </c>
    </row>
    <row r="7" spans="1:15" ht="22.15" customHeight="1" x14ac:dyDescent="0.35">
      <c r="A7" s="67" t="s">
        <v>58</v>
      </c>
      <c r="B7" s="68"/>
      <c r="C7" s="69" t="s">
        <v>100</v>
      </c>
      <c r="D7" s="70"/>
      <c r="E7" s="70"/>
      <c r="F7" s="70"/>
      <c r="G7" s="70"/>
      <c r="H7" s="70"/>
      <c r="I7" s="68" t="s">
        <v>59</v>
      </c>
      <c r="J7" s="68"/>
      <c r="K7" s="69" t="s">
        <v>102</v>
      </c>
      <c r="L7" s="70"/>
      <c r="M7" s="70"/>
      <c r="N7" s="70"/>
      <c r="O7" s="73"/>
    </row>
    <row r="8" spans="1:15" ht="22.15" customHeight="1" x14ac:dyDescent="0.35">
      <c r="A8" s="67" t="s">
        <v>60</v>
      </c>
      <c r="B8" s="68"/>
      <c r="C8" s="69" t="s">
        <v>102</v>
      </c>
      <c r="D8" s="70"/>
      <c r="E8" s="70"/>
      <c r="F8" s="70"/>
      <c r="G8" s="70"/>
      <c r="H8" s="70"/>
      <c r="I8" s="68" t="s">
        <v>61</v>
      </c>
      <c r="J8" s="68"/>
      <c r="K8" s="69" t="s">
        <v>106</v>
      </c>
      <c r="L8" s="70"/>
      <c r="M8" s="68" t="s">
        <v>62</v>
      </c>
      <c r="N8" s="68"/>
      <c r="O8" s="13" t="s">
        <v>105</v>
      </c>
    </row>
    <row r="9" spans="1:15" ht="22.15" customHeight="1" x14ac:dyDescent="0.35">
      <c r="A9" s="67" t="s">
        <v>63</v>
      </c>
      <c r="B9" s="68"/>
      <c r="C9" s="69" t="s">
        <v>104</v>
      </c>
      <c r="D9" s="70"/>
      <c r="E9" s="68" t="s">
        <v>64</v>
      </c>
      <c r="F9" s="68"/>
      <c r="G9" s="69" t="s">
        <v>105</v>
      </c>
      <c r="H9" s="70"/>
      <c r="I9" s="68" t="s">
        <v>65</v>
      </c>
      <c r="J9" s="68"/>
      <c r="K9" s="69" t="s">
        <v>107</v>
      </c>
      <c r="L9" s="70"/>
      <c r="M9" s="68" t="s">
        <v>66</v>
      </c>
      <c r="N9" s="68"/>
      <c r="O9" s="2">
        <v>46153</v>
      </c>
    </row>
    <row r="10" spans="1:15" ht="22.15" customHeight="1" x14ac:dyDescent="0.35">
      <c r="A10" s="67" t="s">
        <v>67</v>
      </c>
      <c r="B10" s="68"/>
      <c r="C10" s="74" t="s">
        <v>118</v>
      </c>
      <c r="D10" s="70"/>
      <c r="E10" s="68" t="s">
        <v>68</v>
      </c>
      <c r="F10" s="68"/>
      <c r="G10" s="70"/>
      <c r="H10" s="70"/>
      <c r="I10" s="68" t="s">
        <v>69</v>
      </c>
      <c r="J10" s="68"/>
      <c r="K10" s="70"/>
      <c r="L10" s="70"/>
      <c r="M10" s="68" t="s">
        <v>70</v>
      </c>
      <c r="N10" s="68"/>
      <c r="O10" s="13" t="s">
        <v>108</v>
      </c>
    </row>
    <row r="11" spans="1:15" ht="15" thickBot="1" x14ac:dyDescent="0.4">
      <c r="A11" s="3" t="s">
        <v>134</v>
      </c>
      <c r="O11" s="4"/>
    </row>
    <row r="12" spans="1:15" ht="34.15" customHeight="1" thickBot="1" x14ac:dyDescent="0.4">
      <c r="A12" s="5" t="s">
        <v>71</v>
      </c>
      <c r="B12" s="17" t="s">
        <v>72</v>
      </c>
      <c r="C12" s="17" t="s">
        <v>73</v>
      </c>
      <c r="D12" s="17" t="s">
        <v>74</v>
      </c>
      <c r="E12" s="17" t="s">
        <v>75</v>
      </c>
      <c r="F12" s="17" t="s">
        <v>76</v>
      </c>
      <c r="G12" s="17" t="s">
        <v>77</v>
      </c>
      <c r="H12" s="17" t="s">
        <v>78</v>
      </c>
      <c r="I12" s="17" t="s">
        <v>79</v>
      </c>
      <c r="J12" s="17" t="s">
        <v>80</v>
      </c>
      <c r="K12" s="17" t="s">
        <v>81</v>
      </c>
      <c r="L12" s="17" t="s">
        <v>82</v>
      </c>
      <c r="M12" s="17" t="s">
        <v>83</v>
      </c>
      <c r="N12" s="17" t="s">
        <v>84</v>
      </c>
      <c r="O12" s="21" t="s">
        <v>85</v>
      </c>
    </row>
    <row r="13" spans="1:15" ht="21" customHeight="1" x14ac:dyDescent="0.35">
      <c r="A13" s="20">
        <v>1</v>
      </c>
      <c r="B13" s="19"/>
      <c r="C13" s="18" t="s">
        <v>0</v>
      </c>
      <c r="D13" s="15" t="s">
        <v>114</v>
      </c>
      <c r="E13" s="15" t="s">
        <v>133</v>
      </c>
      <c r="F13" s="15" t="s">
        <v>106</v>
      </c>
      <c r="G13" s="15">
        <v>14</v>
      </c>
      <c r="H13" s="15" t="s">
        <v>109</v>
      </c>
      <c r="I13" s="15" t="s">
        <v>110</v>
      </c>
      <c r="J13" s="15">
        <v>8000</v>
      </c>
      <c r="K13" s="15">
        <v>1500</v>
      </c>
      <c r="L13" s="15">
        <v>4</v>
      </c>
      <c r="M13" s="15">
        <v>5312</v>
      </c>
      <c r="N13" s="25"/>
      <c r="O13" s="25"/>
    </row>
    <row r="14" spans="1:15" ht="21" customHeight="1" x14ac:dyDescent="0.35">
      <c r="A14" s="20">
        <v>2</v>
      </c>
      <c r="B14" s="19"/>
      <c r="C14" s="18" t="s">
        <v>2</v>
      </c>
      <c r="D14" s="15" t="s">
        <v>116</v>
      </c>
      <c r="E14" s="15" t="s">
        <v>132</v>
      </c>
      <c r="F14" s="15" t="s">
        <v>106</v>
      </c>
      <c r="G14" s="15">
        <v>4</v>
      </c>
      <c r="H14" s="15" t="s">
        <v>109</v>
      </c>
      <c r="I14" s="15" t="s">
        <v>110</v>
      </c>
      <c r="J14" s="15">
        <v>6900</v>
      </c>
      <c r="K14" s="15">
        <v>1500</v>
      </c>
      <c r="L14" s="15">
        <v>12</v>
      </c>
      <c r="M14" s="15">
        <v>3922</v>
      </c>
      <c r="N14" s="30"/>
      <c r="O14" s="30"/>
    </row>
    <row r="15" spans="1:15" ht="21" customHeight="1" x14ac:dyDescent="0.35">
      <c r="A15" s="20">
        <v>3</v>
      </c>
      <c r="B15" s="19"/>
      <c r="C15" s="18" t="s">
        <v>3</v>
      </c>
      <c r="D15" s="15" t="s">
        <v>115</v>
      </c>
      <c r="E15" s="15" t="s">
        <v>132</v>
      </c>
      <c r="F15" s="15" t="s">
        <v>106</v>
      </c>
      <c r="G15" s="15">
        <v>6</v>
      </c>
      <c r="H15" s="15" t="s">
        <v>109</v>
      </c>
      <c r="I15" s="15" t="s">
        <v>110</v>
      </c>
      <c r="J15" s="15">
        <v>8000</v>
      </c>
      <c r="K15" s="15">
        <v>1500</v>
      </c>
      <c r="L15" s="15">
        <v>12</v>
      </c>
      <c r="M15" s="15">
        <v>6861</v>
      </c>
      <c r="N15" s="25"/>
      <c r="O15" s="25"/>
    </row>
    <row r="16" spans="1:15" ht="21" customHeight="1" x14ac:dyDescent="0.35">
      <c r="A16" s="20">
        <v>4</v>
      </c>
      <c r="B16" s="19"/>
      <c r="C16" s="18" t="s">
        <v>4</v>
      </c>
      <c r="D16" s="15" t="s">
        <v>115</v>
      </c>
      <c r="E16" s="15" t="s">
        <v>132</v>
      </c>
      <c r="F16" s="15" t="s">
        <v>106</v>
      </c>
      <c r="G16" s="15">
        <v>4</v>
      </c>
      <c r="H16" s="15" t="s">
        <v>109</v>
      </c>
      <c r="I16" s="15" t="s">
        <v>110</v>
      </c>
      <c r="J16" s="15">
        <v>8000</v>
      </c>
      <c r="K16" s="15">
        <v>1500</v>
      </c>
      <c r="L16" s="15">
        <v>12</v>
      </c>
      <c r="M16" s="15">
        <v>4540</v>
      </c>
      <c r="N16" s="25"/>
      <c r="O16" s="25"/>
    </row>
    <row r="17" spans="1:15" ht="21" customHeight="1" x14ac:dyDescent="0.35">
      <c r="A17" s="20">
        <v>5</v>
      </c>
      <c r="B17" s="19"/>
      <c r="C17" s="18" t="s">
        <v>1</v>
      </c>
      <c r="D17" s="15" t="s">
        <v>115</v>
      </c>
      <c r="E17" s="15" t="s">
        <v>132</v>
      </c>
      <c r="F17" s="15" t="s">
        <v>106</v>
      </c>
      <c r="G17" s="15">
        <v>4</v>
      </c>
      <c r="H17" s="15" t="s">
        <v>109</v>
      </c>
      <c r="I17" s="15" t="s">
        <v>110</v>
      </c>
      <c r="J17" s="15">
        <v>8000</v>
      </c>
      <c r="K17" s="15">
        <v>1500</v>
      </c>
      <c r="L17" s="15">
        <v>12</v>
      </c>
      <c r="M17" s="15">
        <v>4540</v>
      </c>
      <c r="N17" s="25"/>
      <c r="O17" s="25"/>
    </row>
    <row r="18" spans="1:15" ht="21" customHeight="1" x14ac:dyDescent="0.35">
      <c r="A18" s="20">
        <v>6</v>
      </c>
      <c r="B18" s="26"/>
      <c r="C18" s="18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25"/>
      <c r="O18" s="25"/>
    </row>
    <row r="19" spans="1:15" ht="21" customHeight="1" x14ac:dyDescent="0.35">
      <c r="A19" s="20">
        <v>7</v>
      </c>
      <c r="B19" s="26"/>
      <c r="C19" s="26"/>
      <c r="D19" s="26"/>
      <c r="E19" s="26"/>
      <c r="F19" s="26"/>
      <c r="G19" s="27"/>
      <c r="H19" s="26"/>
      <c r="I19" s="26"/>
      <c r="J19" s="28"/>
      <c r="K19" s="28"/>
      <c r="L19" s="28"/>
      <c r="M19" s="27"/>
      <c r="N19" s="27"/>
      <c r="O19" s="29" t="str">
        <f t="shared" ref="O19:O22" si="0">IF(COUNTA(J19:L19)=3,J19*K19*L19/1000000,"")</f>
        <v/>
      </c>
    </row>
    <row r="20" spans="1:15" ht="21" customHeight="1" x14ac:dyDescent="0.35">
      <c r="A20" s="20">
        <v>8</v>
      </c>
      <c r="B20" s="26"/>
      <c r="C20" s="26"/>
      <c r="D20" s="26"/>
      <c r="E20" s="26"/>
      <c r="F20" s="26"/>
      <c r="G20" s="27"/>
      <c r="H20" s="26"/>
      <c r="I20" s="26"/>
      <c r="J20" s="28"/>
      <c r="K20" s="28"/>
      <c r="L20" s="28"/>
      <c r="M20" s="27"/>
      <c r="N20" s="27"/>
      <c r="O20" s="29" t="str">
        <f t="shared" si="0"/>
        <v/>
      </c>
    </row>
    <row r="21" spans="1:15" ht="21" customHeight="1" x14ac:dyDescent="0.35">
      <c r="A21" s="20">
        <v>9</v>
      </c>
      <c r="B21" s="26"/>
      <c r="C21" s="26"/>
      <c r="D21" s="26"/>
      <c r="E21" s="26"/>
      <c r="F21" s="26"/>
      <c r="G21" s="27"/>
      <c r="H21" s="26"/>
      <c r="I21" s="26"/>
      <c r="J21" s="28"/>
      <c r="K21" s="28"/>
      <c r="L21" s="28"/>
      <c r="M21" s="27"/>
      <c r="N21" s="27"/>
      <c r="O21" s="29" t="str">
        <f t="shared" si="0"/>
        <v/>
      </c>
    </row>
    <row r="22" spans="1:15" ht="21" customHeight="1" thickBot="1" x14ac:dyDescent="0.4">
      <c r="A22" s="20">
        <v>10</v>
      </c>
      <c r="B22" s="26"/>
      <c r="C22" s="26"/>
      <c r="D22" s="26"/>
      <c r="E22" s="26"/>
      <c r="F22" s="26"/>
      <c r="G22" s="27"/>
      <c r="H22" s="26"/>
      <c r="I22" s="26"/>
      <c r="J22" s="28"/>
      <c r="K22" s="28"/>
      <c r="L22" s="28"/>
      <c r="M22" s="27"/>
      <c r="N22" s="27"/>
      <c r="O22" s="29" t="str">
        <f t="shared" si="0"/>
        <v/>
      </c>
    </row>
    <row r="23" spans="1:15" ht="22.15" customHeight="1" thickBot="1" x14ac:dyDescent="0.4">
      <c r="A23" s="72" t="s">
        <v>86</v>
      </c>
      <c r="B23" s="65"/>
      <c r="C23" s="65"/>
      <c r="D23" s="65"/>
      <c r="E23" s="65"/>
      <c r="F23" s="65"/>
      <c r="G23" s="22">
        <f>SUM(G13:G22)</f>
        <v>32</v>
      </c>
      <c r="H23" s="23"/>
      <c r="I23" s="23"/>
      <c r="J23" s="23"/>
      <c r="K23" s="23"/>
      <c r="L23" s="23"/>
      <c r="M23" s="22">
        <f>SUM(M13:M22)</f>
        <v>25175</v>
      </c>
      <c r="N23" s="22">
        <f>SUM(N13:N22)</f>
        <v>0</v>
      </c>
      <c r="O23" s="24">
        <f>SUM(O13:O22)</f>
        <v>0</v>
      </c>
    </row>
    <row r="24" spans="1:15" x14ac:dyDescent="0.35">
      <c r="A24" s="3"/>
      <c r="O24" s="4"/>
    </row>
    <row r="25" spans="1:15" ht="22.15" customHeight="1" x14ac:dyDescent="0.35">
      <c r="A25" s="67" t="s">
        <v>87</v>
      </c>
      <c r="B25" s="68"/>
      <c r="C25" s="6">
        <f>COUNTA(B13:B22)</f>
        <v>0</v>
      </c>
      <c r="D25" s="68" t="s">
        <v>88</v>
      </c>
      <c r="E25" s="68"/>
      <c r="F25" s="7">
        <f>SUM(G13:G22)</f>
        <v>32</v>
      </c>
      <c r="G25" s="68" t="s">
        <v>89</v>
      </c>
      <c r="H25" s="68"/>
      <c r="I25" s="7">
        <f>SUM(M13:M22)</f>
        <v>25175</v>
      </c>
      <c r="J25" s="68" t="s">
        <v>90</v>
      </c>
      <c r="K25" s="68"/>
      <c r="L25" s="7">
        <f>SUM(N13:N22)</f>
        <v>0</v>
      </c>
      <c r="M25" s="68" t="s">
        <v>91</v>
      </c>
      <c r="N25" s="68"/>
      <c r="O25" s="8">
        <f>SUM(O13:O22)</f>
        <v>0</v>
      </c>
    </row>
    <row r="26" spans="1:15" ht="15" thickBot="1" x14ac:dyDescent="0.4">
      <c r="A26" s="3"/>
      <c r="O26" s="4"/>
    </row>
    <row r="27" spans="1:15" ht="19.899999999999999" customHeight="1" thickBot="1" x14ac:dyDescent="0.4">
      <c r="A27" s="75" t="s">
        <v>92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7"/>
    </row>
    <row r="28" spans="1:15" ht="24" customHeight="1" thickBot="1" x14ac:dyDescent="0.4">
      <c r="A28" s="78" t="s">
        <v>93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7"/>
    </row>
    <row r="29" spans="1:15" ht="24" customHeight="1" thickBot="1" x14ac:dyDescent="0.4">
      <c r="A29" s="79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7"/>
    </row>
    <row r="30" spans="1:15" ht="15" thickBot="1" x14ac:dyDescent="0.4">
      <c r="A30" s="3"/>
      <c r="O30" s="4"/>
    </row>
    <row r="31" spans="1:15" ht="19.899999999999999" customHeight="1" thickBot="1" x14ac:dyDescent="0.4">
      <c r="A31" s="75" t="s">
        <v>94</v>
      </c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7"/>
    </row>
    <row r="32" spans="1:15" ht="22.15" customHeight="1" thickBot="1" x14ac:dyDescent="0.4">
      <c r="A32" s="80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2"/>
    </row>
    <row r="33" spans="1:15" ht="19.899999999999999" customHeight="1" x14ac:dyDescent="0.35">
      <c r="A33" s="89" t="s">
        <v>95</v>
      </c>
      <c r="B33" s="90"/>
      <c r="C33" s="90"/>
      <c r="D33" s="91" t="s">
        <v>96</v>
      </c>
      <c r="E33" s="90"/>
      <c r="F33" s="90"/>
      <c r="G33" s="91" t="s">
        <v>97</v>
      </c>
      <c r="H33" s="90"/>
      <c r="I33" s="90"/>
      <c r="J33" s="91" t="s">
        <v>98</v>
      </c>
      <c r="K33" s="90"/>
      <c r="L33" s="90"/>
      <c r="M33" s="91" t="s">
        <v>99</v>
      </c>
      <c r="N33" s="90"/>
      <c r="O33" s="92"/>
    </row>
    <row r="34" spans="1:15" ht="19.899999999999999" customHeight="1" x14ac:dyDescent="0.35">
      <c r="A34" s="9"/>
      <c r="B34" s="10"/>
      <c r="C34" s="10"/>
      <c r="D34" s="11"/>
      <c r="E34" s="10"/>
      <c r="F34" s="10"/>
      <c r="G34" s="11"/>
      <c r="H34" s="10"/>
      <c r="I34" s="10"/>
      <c r="J34" s="11"/>
      <c r="K34" s="10"/>
      <c r="L34" s="10"/>
      <c r="M34" s="11"/>
      <c r="N34" s="10"/>
      <c r="O34" s="12"/>
    </row>
    <row r="35" spans="1:15" ht="19.899999999999999" customHeight="1" x14ac:dyDescent="0.35">
      <c r="A35" s="9"/>
      <c r="B35" s="10"/>
      <c r="C35" s="10"/>
      <c r="D35" s="11"/>
      <c r="E35" s="10"/>
      <c r="F35" s="10"/>
      <c r="G35" s="11"/>
      <c r="H35" s="10"/>
      <c r="I35" s="10"/>
      <c r="J35" s="11"/>
      <c r="K35" s="10"/>
      <c r="L35" s="10"/>
      <c r="M35" s="11"/>
      <c r="N35" s="10"/>
      <c r="O35" s="12"/>
    </row>
    <row r="36" spans="1:15" ht="19.899999999999999" customHeight="1" thickBot="1" x14ac:dyDescent="0.4">
      <c r="A36" s="9"/>
      <c r="B36" s="10"/>
      <c r="C36" s="10"/>
      <c r="D36" s="11"/>
      <c r="E36" s="10"/>
      <c r="F36" s="10"/>
      <c r="G36" s="11"/>
      <c r="H36" s="10"/>
      <c r="I36" s="10"/>
      <c r="J36" s="11"/>
      <c r="K36" s="10"/>
      <c r="L36" s="10"/>
      <c r="M36" s="11"/>
      <c r="N36" s="10"/>
      <c r="O36" s="12"/>
    </row>
    <row r="37" spans="1:15" ht="18.5" x14ac:dyDescent="0.35">
      <c r="A37" s="93" t="s">
        <v>100</v>
      </c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5"/>
    </row>
    <row r="38" spans="1:15" ht="14.5" customHeight="1" x14ac:dyDescent="0.35">
      <c r="A38" s="83" t="s">
        <v>101</v>
      </c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5"/>
    </row>
    <row r="39" spans="1:15" ht="15" thickBot="1" x14ac:dyDescent="0.4">
      <c r="A39" s="86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8"/>
    </row>
  </sheetData>
  <mergeCells count="62">
    <mergeCell ref="A38:O39"/>
    <mergeCell ref="A33:C33"/>
    <mergeCell ref="D33:F33"/>
    <mergeCell ref="G33:I33"/>
    <mergeCell ref="J33:L33"/>
    <mergeCell ref="M33:O33"/>
    <mergeCell ref="A37:O37"/>
    <mergeCell ref="A28:O29"/>
    <mergeCell ref="A31:O31"/>
    <mergeCell ref="A32:C32"/>
    <mergeCell ref="D32:F32"/>
    <mergeCell ref="G32:I32"/>
    <mergeCell ref="J32:L32"/>
    <mergeCell ref="M32:O32"/>
    <mergeCell ref="A25:B25"/>
    <mergeCell ref="D25:E25"/>
    <mergeCell ref="G25:H25"/>
    <mergeCell ref="J25:K25"/>
    <mergeCell ref="A27:O27"/>
    <mergeCell ref="M25:N25"/>
    <mergeCell ref="K10:L10"/>
    <mergeCell ref="M10:N10"/>
    <mergeCell ref="A9:B9"/>
    <mergeCell ref="C9:D9"/>
    <mergeCell ref="E9:F9"/>
    <mergeCell ref="G9:H9"/>
    <mergeCell ref="I9:J9"/>
    <mergeCell ref="K9:L9"/>
    <mergeCell ref="A23:F23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M9:N9"/>
    <mergeCell ref="A10:B10"/>
    <mergeCell ref="C10:D10"/>
    <mergeCell ref="E10:F10"/>
    <mergeCell ref="G10:H10"/>
    <mergeCell ref="I10:J10"/>
    <mergeCell ref="A5:O5"/>
    <mergeCell ref="A6:B6"/>
    <mergeCell ref="C6:D6"/>
    <mergeCell ref="E6:F6"/>
    <mergeCell ref="G6:H6"/>
    <mergeCell ref="I6:J6"/>
    <mergeCell ref="K6:L6"/>
    <mergeCell ref="M6:N6"/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</mergeCells>
  <pageMargins left="0.7" right="0.7" top="0.75" bottom="0.75" header="0.3" footer="0.3"/>
  <pageSetup paperSize="9" scale="48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4BCA8-5E92-481E-8755-E3E5D34AB1D2}">
  <sheetPr>
    <tabColor theme="7" tint="0.79998168889431442"/>
  </sheetPr>
  <dimension ref="A1:O39"/>
  <sheetViews>
    <sheetView showGridLines="0" view="pageBreakPreview" zoomScale="60" zoomScaleNormal="70" workbookViewId="0">
      <selection activeCell="P8" sqref="P8"/>
    </sheetView>
  </sheetViews>
  <sheetFormatPr defaultRowHeight="14.5" x14ac:dyDescent="0.35"/>
  <cols>
    <col min="1" max="1" width="8" style="1" customWidth="1"/>
    <col min="2" max="2" width="13" style="1" customWidth="1"/>
    <col min="3" max="3" width="11.7265625" style="1" bestFit="1" customWidth="1"/>
    <col min="4" max="4" width="30.26953125" style="1" bestFit="1" customWidth="1"/>
    <col min="5" max="5" width="15.08984375" style="1" bestFit="1" customWidth="1"/>
    <col min="6" max="6" width="6.54296875" style="1" bestFit="1" customWidth="1"/>
    <col min="7" max="8" width="8" style="1" customWidth="1"/>
    <col min="9" max="9" width="11.26953125" style="1" bestFit="1" customWidth="1"/>
    <col min="10" max="10" width="7.90625" style="1" customWidth="1"/>
    <col min="11" max="11" width="8.26953125" style="1" customWidth="1"/>
    <col min="12" max="12" width="8.36328125" style="1" customWidth="1"/>
    <col min="13" max="13" width="12" style="1" customWidth="1"/>
    <col min="14" max="14" width="13" style="1" customWidth="1"/>
    <col min="15" max="15" width="12" style="1" customWidth="1"/>
    <col min="16" max="16384" width="8.7265625" style="1"/>
  </cols>
  <sheetData>
    <row r="1" spans="1:15" ht="17.25" customHeight="1" x14ac:dyDescent="0.35">
      <c r="A1" s="34" t="e" vm="1">
        <v>#VALUE!</v>
      </c>
      <c r="B1" s="35"/>
      <c r="C1" s="36"/>
      <c r="D1" s="43" t="s">
        <v>45</v>
      </c>
      <c r="E1" s="44"/>
      <c r="F1" s="44"/>
      <c r="G1" s="44"/>
      <c r="H1" s="44"/>
      <c r="I1" s="44"/>
      <c r="J1" s="44"/>
      <c r="K1" s="45"/>
      <c r="L1" s="52" t="s">
        <v>46</v>
      </c>
      <c r="M1" s="53"/>
      <c r="N1" s="54">
        <v>46098</v>
      </c>
      <c r="O1" s="55"/>
    </row>
    <row r="2" spans="1:15" ht="18" customHeight="1" x14ac:dyDescent="0.35">
      <c r="A2" s="37"/>
      <c r="B2" s="38"/>
      <c r="C2" s="39"/>
      <c r="D2" s="46"/>
      <c r="E2" s="47"/>
      <c r="F2" s="47"/>
      <c r="G2" s="47"/>
      <c r="H2" s="47"/>
      <c r="I2" s="47"/>
      <c r="J2" s="47"/>
      <c r="K2" s="48"/>
      <c r="L2" s="56" t="s">
        <v>47</v>
      </c>
      <c r="M2" s="57"/>
      <c r="N2" s="58" t="s">
        <v>48</v>
      </c>
      <c r="O2" s="59"/>
    </row>
    <row r="3" spans="1:15" ht="16.5" customHeight="1" x14ac:dyDescent="0.35">
      <c r="A3" s="37"/>
      <c r="B3" s="38"/>
      <c r="C3" s="39"/>
      <c r="D3" s="46"/>
      <c r="E3" s="47"/>
      <c r="F3" s="47"/>
      <c r="G3" s="47"/>
      <c r="H3" s="47"/>
      <c r="I3" s="47"/>
      <c r="J3" s="47"/>
      <c r="K3" s="48"/>
      <c r="L3" s="56" t="s">
        <v>49</v>
      </c>
      <c r="M3" s="57"/>
      <c r="N3" s="58" t="s">
        <v>50</v>
      </c>
      <c r="O3" s="59"/>
    </row>
    <row r="4" spans="1:15" ht="15.75" customHeight="1" thickBot="1" x14ac:dyDescent="0.4">
      <c r="A4" s="40"/>
      <c r="B4" s="41"/>
      <c r="C4" s="42"/>
      <c r="D4" s="49"/>
      <c r="E4" s="50"/>
      <c r="F4" s="50"/>
      <c r="G4" s="50"/>
      <c r="H4" s="50"/>
      <c r="I4" s="50"/>
      <c r="J4" s="50"/>
      <c r="K4" s="51"/>
      <c r="L4" s="60" t="s">
        <v>51</v>
      </c>
      <c r="M4" s="61"/>
      <c r="N4" s="62" t="s">
        <v>52</v>
      </c>
      <c r="O4" s="63"/>
    </row>
    <row r="5" spans="1:15" ht="19.899999999999999" customHeight="1" thickBot="1" x14ac:dyDescent="0.4">
      <c r="A5" s="64" t="s">
        <v>53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6"/>
    </row>
    <row r="6" spans="1:15" ht="22.15" customHeight="1" x14ac:dyDescent="0.35">
      <c r="A6" s="67" t="s">
        <v>54</v>
      </c>
      <c r="B6" s="68"/>
      <c r="C6" s="69" t="s">
        <v>152</v>
      </c>
      <c r="D6" s="70"/>
      <c r="E6" s="68" t="s">
        <v>55</v>
      </c>
      <c r="F6" s="68"/>
      <c r="G6" s="71">
        <v>46119</v>
      </c>
      <c r="H6" s="70"/>
      <c r="I6" s="68" t="s">
        <v>56</v>
      </c>
      <c r="J6" s="68"/>
      <c r="K6" s="70" t="s">
        <v>151</v>
      </c>
      <c r="L6" s="70"/>
      <c r="M6" s="68" t="s">
        <v>57</v>
      </c>
      <c r="N6" s="68"/>
      <c r="O6" s="13" t="s">
        <v>103</v>
      </c>
    </row>
    <row r="7" spans="1:15" ht="22.15" customHeight="1" x14ac:dyDescent="0.35">
      <c r="A7" s="67" t="s">
        <v>58</v>
      </c>
      <c r="B7" s="68"/>
      <c r="C7" s="69" t="s">
        <v>100</v>
      </c>
      <c r="D7" s="70"/>
      <c r="E7" s="70"/>
      <c r="F7" s="70"/>
      <c r="G7" s="70"/>
      <c r="H7" s="70"/>
      <c r="I7" s="68" t="s">
        <v>59</v>
      </c>
      <c r="J7" s="68"/>
      <c r="K7" s="69" t="s">
        <v>102</v>
      </c>
      <c r="L7" s="70"/>
      <c r="M7" s="70"/>
      <c r="N7" s="70"/>
      <c r="O7" s="73"/>
    </row>
    <row r="8" spans="1:15" ht="22.15" customHeight="1" x14ac:dyDescent="0.35">
      <c r="A8" s="67" t="s">
        <v>60</v>
      </c>
      <c r="B8" s="68"/>
      <c r="C8" s="69" t="s">
        <v>102</v>
      </c>
      <c r="D8" s="70"/>
      <c r="E8" s="70"/>
      <c r="F8" s="70"/>
      <c r="G8" s="70"/>
      <c r="H8" s="70"/>
      <c r="I8" s="68" t="s">
        <v>61</v>
      </c>
      <c r="J8" s="68"/>
      <c r="K8" s="69" t="s">
        <v>106</v>
      </c>
      <c r="L8" s="70"/>
      <c r="M8" s="68" t="s">
        <v>62</v>
      </c>
      <c r="N8" s="68"/>
      <c r="O8" s="13" t="s">
        <v>105</v>
      </c>
    </row>
    <row r="9" spans="1:15" ht="22.15" customHeight="1" x14ac:dyDescent="0.35">
      <c r="A9" s="67" t="s">
        <v>63</v>
      </c>
      <c r="B9" s="68"/>
      <c r="C9" s="69" t="s">
        <v>104</v>
      </c>
      <c r="D9" s="70"/>
      <c r="E9" s="68" t="s">
        <v>64</v>
      </c>
      <c r="F9" s="68"/>
      <c r="G9" s="69" t="s">
        <v>105</v>
      </c>
      <c r="H9" s="70"/>
      <c r="I9" s="68" t="s">
        <v>65</v>
      </c>
      <c r="J9" s="68"/>
      <c r="K9" s="69" t="s">
        <v>107</v>
      </c>
      <c r="L9" s="70"/>
      <c r="M9" s="68" t="s">
        <v>66</v>
      </c>
      <c r="N9" s="68"/>
      <c r="O9" s="2">
        <v>46153</v>
      </c>
    </row>
    <row r="10" spans="1:15" ht="22.15" customHeight="1" x14ac:dyDescent="0.35">
      <c r="A10" s="67" t="s">
        <v>67</v>
      </c>
      <c r="B10" s="68"/>
      <c r="C10" s="74" t="s">
        <v>119</v>
      </c>
      <c r="D10" s="70"/>
      <c r="E10" s="68" t="s">
        <v>68</v>
      </c>
      <c r="F10" s="68"/>
      <c r="G10" s="70"/>
      <c r="H10" s="70"/>
      <c r="I10" s="68" t="s">
        <v>69</v>
      </c>
      <c r="J10" s="68"/>
      <c r="K10" s="70"/>
      <c r="L10" s="70"/>
      <c r="M10" s="68" t="s">
        <v>70</v>
      </c>
      <c r="N10" s="68"/>
      <c r="O10" s="13" t="s">
        <v>108</v>
      </c>
    </row>
    <row r="11" spans="1:15" ht="15" thickBot="1" x14ac:dyDescent="0.4">
      <c r="A11" s="3" t="s">
        <v>125</v>
      </c>
      <c r="O11" s="4"/>
    </row>
    <row r="12" spans="1:15" ht="34.15" customHeight="1" thickBot="1" x14ac:dyDescent="0.4">
      <c r="A12" s="5" t="s">
        <v>71</v>
      </c>
      <c r="B12" s="17" t="s">
        <v>72</v>
      </c>
      <c r="C12" s="17" t="s">
        <v>73</v>
      </c>
      <c r="D12" s="17" t="s">
        <v>74</v>
      </c>
      <c r="E12" s="17" t="s">
        <v>75</v>
      </c>
      <c r="F12" s="17" t="s">
        <v>76</v>
      </c>
      <c r="G12" s="17" t="s">
        <v>77</v>
      </c>
      <c r="H12" s="17" t="s">
        <v>78</v>
      </c>
      <c r="I12" s="17" t="s">
        <v>79</v>
      </c>
      <c r="J12" s="17" t="s">
        <v>80</v>
      </c>
      <c r="K12" s="17" t="s">
        <v>81</v>
      </c>
      <c r="L12" s="17" t="s">
        <v>82</v>
      </c>
      <c r="M12" s="17" t="s">
        <v>83</v>
      </c>
      <c r="N12" s="17" t="s">
        <v>84</v>
      </c>
      <c r="O12" s="21" t="s">
        <v>85</v>
      </c>
    </row>
    <row r="13" spans="1:15" ht="21" customHeight="1" x14ac:dyDescent="0.35">
      <c r="A13" s="20">
        <v>1</v>
      </c>
      <c r="B13" s="19"/>
      <c r="C13" s="18" t="s">
        <v>5</v>
      </c>
      <c r="D13" s="15" t="s">
        <v>117</v>
      </c>
      <c r="E13" s="15" t="s">
        <v>133</v>
      </c>
      <c r="F13" s="15" t="s">
        <v>106</v>
      </c>
      <c r="G13" s="15">
        <v>17</v>
      </c>
      <c r="H13" s="15" t="s">
        <v>109</v>
      </c>
      <c r="I13" s="15" t="s">
        <v>110</v>
      </c>
      <c r="J13" s="15">
        <v>8000</v>
      </c>
      <c r="K13" s="15">
        <v>1500</v>
      </c>
      <c r="L13" s="15">
        <v>3</v>
      </c>
      <c r="M13" s="15">
        <v>4773</v>
      </c>
      <c r="N13" s="25"/>
      <c r="O13" s="25"/>
    </row>
    <row r="14" spans="1:15" ht="21" customHeight="1" x14ac:dyDescent="0.35">
      <c r="A14" s="20">
        <v>2</v>
      </c>
      <c r="B14" s="19"/>
      <c r="C14" s="18" t="s">
        <v>6</v>
      </c>
      <c r="D14" s="15" t="s">
        <v>111</v>
      </c>
      <c r="E14" s="15" t="s">
        <v>133</v>
      </c>
      <c r="F14" s="15" t="s">
        <v>106</v>
      </c>
      <c r="G14" s="15">
        <v>11</v>
      </c>
      <c r="H14" s="15" t="s">
        <v>109</v>
      </c>
      <c r="I14" s="15" t="s">
        <v>110</v>
      </c>
      <c r="J14" s="15">
        <v>6900</v>
      </c>
      <c r="K14" s="15">
        <v>1500</v>
      </c>
      <c r="L14" s="15">
        <v>6</v>
      </c>
      <c r="M14" s="15">
        <v>5419</v>
      </c>
      <c r="N14" s="31"/>
      <c r="O14" s="31"/>
    </row>
    <row r="15" spans="1:15" ht="21" customHeight="1" x14ac:dyDescent="0.35">
      <c r="A15" s="20">
        <v>3</v>
      </c>
      <c r="B15" s="19"/>
      <c r="C15" s="18" t="s">
        <v>7</v>
      </c>
      <c r="D15" s="15" t="s">
        <v>112</v>
      </c>
      <c r="E15" s="15" t="s">
        <v>133</v>
      </c>
      <c r="F15" s="15" t="s">
        <v>106</v>
      </c>
      <c r="G15" s="15">
        <v>8</v>
      </c>
      <c r="H15" s="15" t="s">
        <v>109</v>
      </c>
      <c r="I15" s="15" t="s">
        <v>110</v>
      </c>
      <c r="J15" s="15">
        <v>6900</v>
      </c>
      <c r="K15" s="15">
        <v>1500</v>
      </c>
      <c r="L15" s="15">
        <v>8</v>
      </c>
      <c r="M15" s="15">
        <v>5219</v>
      </c>
      <c r="N15" s="25"/>
      <c r="O15" s="25"/>
    </row>
    <row r="16" spans="1:15" ht="21" customHeight="1" x14ac:dyDescent="0.35">
      <c r="A16" s="20">
        <v>4</v>
      </c>
      <c r="B16" s="19"/>
      <c r="C16" s="18" t="s">
        <v>8</v>
      </c>
      <c r="D16" s="15" t="s">
        <v>112</v>
      </c>
      <c r="E16" s="15" t="s">
        <v>133</v>
      </c>
      <c r="F16" s="15" t="s">
        <v>106</v>
      </c>
      <c r="G16" s="15">
        <v>8</v>
      </c>
      <c r="H16" s="15" t="s">
        <v>109</v>
      </c>
      <c r="I16" s="15" t="s">
        <v>110</v>
      </c>
      <c r="J16" s="15">
        <v>6900</v>
      </c>
      <c r="K16" s="15">
        <v>1500</v>
      </c>
      <c r="L16" s="15">
        <v>8</v>
      </c>
      <c r="M16" s="15">
        <v>5219</v>
      </c>
      <c r="N16" s="25"/>
      <c r="O16" s="25"/>
    </row>
    <row r="17" spans="1:15" ht="21" customHeight="1" x14ac:dyDescent="0.35">
      <c r="A17" s="20">
        <v>5</v>
      </c>
      <c r="B17" s="19"/>
      <c r="C17" s="18" t="s">
        <v>9</v>
      </c>
      <c r="D17" s="15" t="s">
        <v>115</v>
      </c>
      <c r="E17" s="15" t="s">
        <v>132</v>
      </c>
      <c r="F17" s="15" t="s">
        <v>106</v>
      </c>
      <c r="G17" s="15">
        <v>4</v>
      </c>
      <c r="H17" s="15" t="s">
        <v>109</v>
      </c>
      <c r="I17" s="15" t="s">
        <v>110</v>
      </c>
      <c r="J17" s="15">
        <v>8000</v>
      </c>
      <c r="K17" s="15">
        <v>1500</v>
      </c>
      <c r="L17" s="15">
        <v>12</v>
      </c>
      <c r="M17" s="15">
        <v>4545</v>
      </c>
      <c r="N17" s="25"/>
      <c r="O17" s="25"/>
    </row>
    <row r="18" spans="1:15" ht="21" customHeight="1" x14ac:dyDescent="0.35">
      <c r="A18" s="20">
        <v>6</v>
      </c>
      <c r="B18" s="26"/>
      <c r="C18" s="18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25"/>
      <c r="O18" s="25"/>
    </row>
    <row r="19" spans="1:15" ht="21" customHeight="1" x14ac:dyDescent="0.35">
      <c r="A19" s="20">
        <v>7</v>
      </c>
      <c r="B19" s="26"/>
      <c r="C19" s="26"/>
      <c r="D19" s="26"/>
      <c r="E19" s="26"/>
      <c r="F19" s="26"/>
      <c r="G19" s="27"/>
      <c r="H19" s="26"/>
      <c r="I19" s="26"/>
      <c r="J19" s="28"/>
      <c r="K19" s="28"/>
      <c r="L19" s="28"/>
      <c r="M19" s="27"/>
      <c r="N19" s="27"/>
      <c r="O19" s="29" t="str">
        <f t="shared" ref="O19:O22" si="0">IF(COUNTA(J19:L19)=3,J19*K19*L19/1000000,"")</f>
        <v/>
      </c>
    </row>
    <row r="20" spans="1:15" ht="21" customHeight="1" x14ac:dyDescent="0.35">
      <c r="A20" s="20">
        <v>8</v>
      </c>
      <c r="B20" s="26"/>
      <c r="C20" s="26"/>
      <c r="D20" s="26"/>
      <c r="E20" s="26"/>
      <c r="F20" s="26"/>
      <c r="G20" s="27"/>
      <c r="H20" s="26"/>
      <c r="I20" s="26"/>
      <c r="J20" s="28"/>
      <c r="K20" s="28"/>
      <c r="L20" s="28"/>
      <c r="M20" s="27"/>
      <c r="N20" s="27"/>
      <c r="O20" s="29" t="str">
        <f t="shared" si="0"/>
        <v/>
      </c>
    </row>
    <row r="21" spans="1:15" ht="21" customHeight="1" x14ac:dyDescent="0.35">
      <c r="A21" s="20">
        <v>9</v>
      </c>
      <c r="B21" s="26"/>
      <c r="C21" s="26"/>
      <c r="D21" s="26"/>
      <c r="E21" s="26"/>
      <c r="F21" s="26"/>
      <c r="G21" s="27"/>
      <c r="H21" s="26"/>
      <c r="I21" s="26"/>
      <c r="J21" s="28"/>
      <c r="K21" s="28"/>
      <c r="L21" s="28"/>
      <c r="M21" s="27"/>
      <c r="N21" s="27"/>
      <c r="O21" s="29" t="str">
        <f t="shared" si="0"/>
        <v/>
      </c>
    </row>
    <row r="22" spans="1:15" ht="21" customHeight="1" thickBot="1" x14ac:dyDescent="0.4">
      <c r="A22" s="20">
        <v>10</v>
      </c>
      <c r="B22" s="26"/>
      <c r="C22" s="26"/>
      <c r="D22" s="26"/>
      <c r="E22" s="26"/>
      <c r="F22" s="26"/>
      <c r="G22" s="27"/>
      <c r="H22" s="26"/>
      <c r="I22" s="26"/>
      <c r="J22" s="28"/>
      <c r="K22" s="28"/>
      <c r="L22" s="28"/>
      <c r="M22" s="27"/>
      <c r="N22" s="27"/>
      <c r="O22" s="29" t="str">
        <f t="shared" si="0"/>
        <v/>
      </c>
    </row>
    <row r="23" spans="1:15" ht="22.15" customHeight="1" thickBot="1" x14ac:dyDescent="0.4">
      <c r="A23" s="72" t="s">
        <v>86</v>
      </c>
      <c r="B23" s="65"/>
      <c r="C23" s="65"/>
      <c r="D23" s="65"/>
      <c r="E23" s="65"/>
      <c r="F23" s="65"/>
      <c r="G23" s="22">
        <f>SUM(G13:G22)</f>
        <v>48</v>
      </c>
      <c r="H23" s="23"/>
      <c r="I23" s="23"/>
      <c r="J23" s="23"/>
      <c r="K23" s="23"/>
      <c r="L23" s="23"/>
      <c r="M23" s="22">
        <f>SUM(M13:M22)</f>
        <v>25175</v>
      </c>
      <c r="N23" s="22">
        <f>SUM(N13:N22)</f>
        <v>0</v>
      </c>
      <c r="O23" s="24">
        <f>SUM(O13:O22)</f>
        <v>0</v>
      </c>
    </row>
    <row r="24" spans="1:15" x14ac:dyDescent="0.35">
      <c r="A24" s="3"/>
      <c r="O24" s="4"/>
    </row>
    <row r="25" spans="1:15" ht="22.15" customHeight="1" x14ac:dyDescent="0.35">
      <c r="A25" s="67" t="s">
        <v>87</v>
      </c>
      <c r="B25" s="68"/>
      <c r="C25" s="6">
        <f>COUNTA(B13:B22)</f>
        <v>0</v>
      </c>
      <c r="D25" s="68" t="s">
        <v>88</v>
      </c>
      <c r="E25" s="68"/>
      <c r="F25" s="7">
        <f>SUM(G13:G22)</f>
        <v>48</v>
      </c>
      <c r="G25" s="68" t="s">
        <v>89</v>
      </c>
      <c r="H25" s="68"/>
      <c r="I25" s="7">
        <f>SUM(M13:M22)</f>
        <v>25175</v>
      </c>
      <c r="J25" s="68" t="s">
        <v>90</v>
      </c>
      <c r="K25" s="68"/>
      <c r="L25" s="7">
        <f>SUM(N13:N22)</f>
        <v>0</v>
      </c>
      <c r="M25" s="68" t="s">
        <v>91</v>
      </c>
      <c r="N25" s="68"/>
      <c r="O25" s="8">
        <f>SUM(O13:O22)</f>
        <v>0</v>
      </c>
    </row>
    <row r="26" spans="1:15" ht="15" thickBot="1" x14ac:dyDescent="0.4">
      <c r="A26" s="3"/>
      <c r="O26" s="4"/>
    </row>
    <row r="27" spans="1:15" ht="19.899999999999999" customHeight="1" thickBot="1" x14ac:dyDescent="0.4">
      <c r="A27" s="75" t="s">
        <v>92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7"/>
    </row>
    <row r="28" spans="1:15" ht="24" customHeight="1" thickBot="1" x14ac:dyDescent="0.4">
      <c r="A28" s="78" t="s">
        <v>93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7"/>
    </row>
    <row r="29" spans="1:15" ht="24" customHeight="1" thickBot="1" x14ac:dyDescent="0.4">
      <c r="A29" s="79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7"/>
    </row>
    <row r="30" spans="1:15" ht="15" thickBot="1" x14ac:dyDescent="0.4">
      <c r="A30" s="3"/>
      <c r="O30" s="4"/>
    </row>
    <row r="31" spans="1:15" ht="19.899999999999999" customHeight="1" thickBot="1" x14ac:dyDescent="0.4">
      <c r="A31" s="75" t="s">
        <v>94</v>
      </c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7"/>
    </row>
    <row r="32" spans="1:15" ht="22.15" customHeight="1" thickBot="1" x14ac:dyDescent="0.4">
      <c r="A32" s="80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2"/>
    </row>
    <row r="33" spans="1:15" ht="19.899999999999999" customHeight="1" x14ac:dyDescent="0.35">
      <c r="A33" s="89" t="s">
        <v>95</v>
      </c>
      <c r="B33" s="90"/>
      <c r="C33" s="90"/>
      <c r="D33" s="91" t="s">
        <v>96</v>
      </c>
      <c r="E33" s="90"/>
      <c r="F33" s="90"/>
      <c r="G33" s="91" t="s">
        <v>97</v>
      </c>
      <c r="H33" s="90"/>
      <c r="I33" s="90"/>
      <c r="J33" s="91" t="s">
        <v>98</v>
      </c>
      <c r="K33" s="90"/>
      <c r="L33" s="90"/>
      <c r="M33" s="91" t="s">
        <v>99</v>
      </c>
      <c r="N33" s="90"/>
      <c r="O33" s="92"/>
    </row>
    <row r="34" spans="1:15" ht="19.899999999999999" customHeight="1" x14ac:dyDescent="0.35">
      <c r="A34" s="9"/>
      <c r="B34" s="10"/>
      <c r="C34" s="10"/>
      <c r="D34" s="11"/>
      <c r="E34" s="10"/>
      <c r="F34" s="10"/>
      <c r="G34" s="11"/>
      <c r="H34" s="10"/>
      <c r="I34" s="10"/>
      <c r="J34" s="11"/>
      <c r="K34" s="10"/>
      <c r="L34" s="10"/>
      <c r="M34" s="11"/>
      <c r="N34" s="10"/>
      <c r="O34" s="12"/>
    </row>
    <row r="35" spans="1:15" ht="19.899999999999999" customHeight="1" x14ac:dyDescent="0.35">
      <c r="A35" s="9"/>
      <c r="B35" s="10"/>
      <c r="C35" s="10"/>
      <c r="D35" s="11"/>
      <c r="E35" s="10"/>
      <c r="F35" s="10"/>
      <c r="G35" s="11"/>
      <c r="H35" s="10"/>
      <c r="I35" s="10"/>
      <c r="J35" s="11"/>
      <c r="K35" s="10"/>
      <c r="L35" s="10"/>
      <c r="M35" s="11"/>
      <c r="N35" s="10"/>
      <c r="O35" s="12"/>
    </row>
    <row r="36" spans="1:15" ht="19.899999999999999" customHeight="1" thickBot="1" x14ac:dyDescent="0.4">
      <c r="A36" s="9"/>
      <c r="B36" s="10"/>
      <c r="C36" s="10"/>
      <c r="D36" s="11"/>
      <c r="E36" s="10"/>
      <c r="F36" s="10"/>
      <c r="G36" s="11"/>
      <c r="H36" s="10"/>
      <c r="I36" s="10"/>
      <c r="J36" s="11"/>
      <c r="K36" s="10"/>
      <c r="L36" s="10"/>
      <c r="M36" s="11"/>
      <c r="N36" s="10"/>
      <c r="O36" s="12"/>
    </row>
    <row r="37" spans="1:15" ht="18.5" x14ac:dyDescent="0.35">
      <c r="A37" s="93" t="s">
        <v>100</v>
      </c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5"/>
    </row>
    <row r="38" spans="1:15" ht="14.5" customHeight="1" x14ac:dyDescent="0.35">
      <c r="A38" s="83" t="s">
        <v>101</v>
      </c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5"/>
    </row>
    <row r="39" spans="1:15" ht="15" thickBot="1" x14ac:dyDescent="0.4">
      <c r="A39" s="86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8"/>
    </row>
  </sheetData>
  <mergeCells count="62">
    <mergeCell ref="A38:O39"/>
    <mergeCell ref="A33:C33"/>
    <mergeCell ref="D33:F33"/>
    <mergeCell ref="G33:I33"/>
    <mergeCell ref="J33:L33"/>
    <mergeCell ref="M33:O33"/>
    <mergeCell ref="A37:O37"/>
    <mergeCell ref="A28:O29"/>
    <mergeCell ref="A31:O31"/>
    <mergeCell ref="A32:C32"/>
    <mergeCell ref="D32:F32"/>
    <mergeCell ref="G32:I32"/>
    <mergeCell ref="J32:L32"/>
    <mergeCell ref="M32:O32"/>
    <mergeCell ref="A25:B25"/>
    <mergeCell ref="D25:E25"/>
    <mergeCell ref="G25:H25"/>
    <mergeCell ref="J25:K25"/>
    <mergeCell ref="A27:O27"/>
    <mergeCell ref="M25:N25"/>
    <mergeCell ref="K10:L10"/>
    <mergeCell ref="M10:N10"/>
    <mergeCell ref="A9:B9"/>
    <mergeCell ref="C9:D9"/>
    <mergeCell ref="E9:F9"/>
    <mergeCell ref="G9:H9"/>
    <mergeCell ref="I9:J9"/>
    <mergeCell ref="K9:L9"/>
    <mergeCell ref="A23:F23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M9:N9"/>
    <mergeCell ref="A10:B10"/>
    <mergeCell ref="C10:D10"/>
    <mergeCell ref="E10:F10"/>
    <mergeCell ref="G10:H10"/>
    <mergeCell ref="I10:J10"/>
    <mergeCell ref="A5:O5"/>
    <mergeCell ref="A6:B6"/>
    <mergeCell ref="C6:D6"/>
    <mergeCell ref="E6:F6"/>
    <mergeCell ref="G6:H6"/>
    <mergeCell ref="I6:J6"/>
    <mergeCell ref="K6:L6"/>
    <mergeCell ref="M6:N6"/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</mergeCells>
  <pageMargins left="0.7" right="0.7" top="0.75" bottom="0.75" header="0.3" footer="0.3"/>
  <pageSetup paperSize="9" scale="48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09ABE-B569-4526-8F1C-E3EA74236D81}">
  <sheetPr>
    <tabColor theme="7" tint="0.79998168889431442"/>
  </sheetPr>
  <dimension ref="A1:O39"/>
  <sheetViews>
    <sheetView showGridLines="0" view="pageBreakPreview" zoomScale="60" zoomScaleNormal="70" workbookViewId="0">
      <selection activeCell="P9" sqref="P9"/>
    </sheetView>
  </sheetViews>
  <sheetFormatPr defaultRowHeight="14.5" x14ac:dyDescent="0.35"/>
  <cols>
    <col min="1" max="1" width="8" style="1" customWidth="1"/>
    <col min="2" max="2" width="13" style="1" customWidth="1"/>
    <col min="3" max="3" width="11.7265625" style="1" bestFit="1" customWidth="1"/>
    <col min="4" max="4" width="30.26953125" style="1" bestFit="1" customWidth="1"/>
    <col min="5" max="5" width="15.08984375" style="1" bestFit="1" customWidth="1"/>
    <col min="6" max="6" width="6.54296875" style="1" bestFit="1" customWidth="1"/>
    <col min="7" max="8" width="8" style="1" customWidth="1"/>
    <col min="9" max="9" width="11.26953125" style="1" bestFit="1" customWidth="1"/>
    <col min="10" max="10" width="7.90625" style="1" customWidth="1"/>
    <col min="11" max="11" width="8.26953125" style="1" customWidth="1"/>
    <col min="12" max="12" width="8.36328125" style="1" customWidth="1"/>
    <col min="13" max="13" width="12" style="1" customWidth="1"/>
    <col min="14" max="14" width="13" style="1" customWidth="1"/>
    <col min="15" max="15" width="12" style="1" customWidth="1"/>
    <col min="16" max="16384" width="8.7265625" style="1"/>
  </cols>
  <sheetData>
    <row r="1" spans="1:15" ht="17.25" customHeight="1" x14ac:dyDescent="0.35">
      <c r="A1" s="34" t="e" vm="1">
        <v>#VALUE!</v>
      </c>
      <c r="B1" s="35"/>
      <c r="C1" s="36"/>
      <c r="D1" s="43" t="s">
        <v>45</v>
      </c>
      <c r="E1" s="44"/>
      <c r="F1" s="44"/>
      <c r="G1" s="44"/>
      <c r="H1" s="44"/>
      <c r="I1" s="44"/>
      <c r="J1" s="44"/>
      <c r="K1" s="45"/>
      <c r="L1" s="52" t="s">
        <v>46</v>
      </c>
      <c r="M1" s="53"/>
      <c r="N1" s="54">
        <v>46098</v>
      </c>
      <c r="O1" s="55"/>
    </row>
    <row r="2" spans="1:15" ht="18" customHeight="1" x14ac:dyDescent="0.35">
      <c r="A2" s="37"/>
      <c r="B2" s="38"/>
      <c r="C2" s="39"/>
      <c r="D2" s="46"/>
      <c r="E2" s="47"/>
      <c r="F2" s="47"/>
      <c r="G2" s="47"/>
      <c r="H2" s="47"/>
      <c r="I2" s="47"/>
      <c r="J2" s="47"/>
      <c r="K2" s="48"/>
      <c r="L2" s="56" t="s">
        <v>47</v>
      </c>
      <c r="M2" s="57"/>
      <c r="N2" s="58" t="s">
        <v>48</v>
      </c>
      <c r="O2" s="59"/>
    </row>
    <row r="3" spans="1:15" ht="16.5" customHeight="1" x14ac:dyDescent="0.35">
      <c r="A3" s="37"/>
      <c r="B3" s="38"/>
      <c r="C3" s="39"/>
      <c r="D3" s="46"/>
      <c r="E3" s="47"/>
      <c r="F3" s="47"/>
      <c r="G3" s="47"/>
      <c r="H3" s="47"/>
      <c r="I3" s="47"/>
      <c r="J3" s="47"/>
      <c r="K3" s="48"/>
      <c r="L3" s="56" t="s">
        <v>49</v>
      </c>
      <c r="M3" s="57"/>
      <c r="N3" s="58" t="s">
        <v>50</v>
      </c>
      <c r="O3" s="59"/>
    </row>
    <row r="4" spans="1:15" ht="15.75" customHeight="1" thickBot="1" x14ac:dyDescent="0.4">
      <c r="A4" s="40"/>
      <c r="B4" s="41"/>
      <c r="C4" s="42"/>
      <c r="D4" s="49"/>
      <c r="E4" s="50"/>
      <c r="F4" s="50"/>
      <c r="G4" s="50"/>
      <c r="H4" s="50"/>
      <c r="I4" s="50"/>
      <c r="J4" s="50"/>
      <c r="K4" s="51"/>
      <c r="L4" s="60" t="s">
        <v>51</v>
      </c>
      <c r="M4" s="61"/>
      <c r="N4" s="62" t="s">
        <v>52</v>
      </c>
      <c r="O4" s="63"/>
    </row>
    <row r="5" spans="1:15" ht="19.899999999999999" customHeight="1" thickBot="1" x14ac:dyDescent="0.4">
      <c r="A5" s="64" t="s">
        <v>53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6"/>
    </row>
    <row r="6" spans="1:15" ht="22.15" customHeight="1" x14ac:dyDescent="0.35">
      <c r="A6" s="67" t="s">
        <v>54</v>
      </c>
      <c r="B6" s="68"/>
      <c r="C6" s="69" t="s">
        <v>152</v>
      </c>
      <c r="D6" s="70"/>
      <c r="E6" s="68" t="s">
        <v>55</v>
      </c>
      <c r="F6" s="68"/>
      <c r="G6" s="71">
        <v>46119</v>
      </c>
      <c r="H6" s="70"/>
      <c r="I6" s="68" t="s">
        <v>56</v>
      </c>
      <c r="J6" s="68"/>
      <c r="K6" s="70" t="s">
        <v>151</v>
      </c>
      <c r="L6" s="70"/>
      <c r="M6" s="68" t="s">
        <v>57</v>
      </c>
      <c r="N6" s="68"/>
      <c r="O6" s="13" t="s">
        <v>103</v>
      </c>
    </row>
    <row r="7" spans="1:15" ht="22.15" customHeight="1" x14ac:dyDescent="0.35">
      <c r="A7" s="67" t="s">
        <v>58</v>
      </c>
      <c r="B7" s="68"/>
      <c r="C7" s="69" t="s">
        <v>100</v>
      </c>
      <c r="D7" s="70"/>
      <c r="E7" s="70"/>
      <c r="F7" s="70"/>
      <c r="G7" s="70"/>
      <c r="H7" s="70"/>
      <c r="I7" s="68" t="s">
        <v>59</v>
      </c>
      <c r="J7" s="68"/>
      <c r="K7" s="69" t="s">
        <v>102</v>
      </c>
      <c r="L7" s="70"/>
      <c r="M7" s="70"/>
      <c r="N7" s="70"/>
      <c r="O7" s="73"/>
    </row>
    <row r="8" spans="1:15" ht="22.15" customHeight="1" x14ac:dyDescent="0.35">
      <c r="A8" s="67" t="s">
        <v>60</v>
      </c>
      <c r="B8" s="68"/>
      <c r="C8" s="69" t="s">
        <v>102</v>
      </c>
      <c r="D8" s="70"/>
      <c r="E8" s="70"/>
      <c r="F8" s="70"/>
      <c r="G8" s="70"/>
      <c r="H8" s="70"/>
      <c r="I8" s="68" t="s">
        <v>61</v>
      </c>
      <c r="J8" s="68"/>
      <c r="K8" s="69" t="s">
        <v>106</v>
      </c>
      <c r="L8" s="70"/>
      <c r="M8" s="68" t="s">
        <v>62</v>
      </c>
      <c r="N8" s="68"/>
      <c r="O8" s="13" t="s">
        <v>105</v>
      </c>
    </row>
    <row r="9" spans="1:15" ht="22.15" customHeight="1" x14ac:dyDescent="0.35">
      <c r="A9" s="67" t="s">
        <v>63</v>
      </c>
      <c r="B9" s="68"/>
      <c r="C9" s="69" t="s">
        <v>104</v>
      </c>
      <c r="D9" s="70"/>
      <c r="E9" s="68" t="s">
        <v>64</v>
      </c>
      <c r="F9" s="68"/>
      <c r="G9" s="69" t="s">
        <v>105</v>
      </c>
      <c r="H9" s="70"/>
      <c r="I9" s="68" t="s">
        <v>65</v>
      </c>
      <c r="J9" s="68"/>
      <c r="K9" s="69" t="s">
        <v>107</v>
      </c>
      <c r="L9" s="70"/>
      <c r="M9" s="68" t="s">
        <v>66</v>
      </c>
      <c r="N9" s="68"/>
      <c r="O9" s="2">
        <v>46153</v>
      </c>
    </row>
    <row r="10" spans="1:15" ht="22.15" customHeight="1" x14ac:dyDescent="0.35">
      <c r="A10" s="67" t="s">
        <v>67</v>
      </c>
      <c r="B10" s="68"/>
      <c r="C10" s="74" t="s">
        <v>120</v>
      </c>
      <c r="D10" s="70"/>
      <c r="E10" s="68" t="s">
        <v>68</v>
      </c>
      <c r="F10" s="68"/>
      <c r="G10" s="70"/>
      <c r="H10" s="70"/>
      <c r="I10" s="68" t="s">
        <v>69</v>
      </c>
      <c r="J10" s="68"/>
      <c r="K10" s="70"/>
      <c r="L10" s="70"/>
      <c r="M10" s="68" t="s">
        <v>70</v>
      </c>
      <c r="N10" s="68"/>
      <c r="O10" s="13" t="s">
        <v>108</v>
      </c>
    </row>
    <row r="11" spans="1:15" ht="15" thickBot="1" x14ac:dyDescent="0.4">
      <c r="A11" s="3" t="s">
        <v>135</v>
      </c>
      <c r="O11" s="4"/>
    </row>
    <row r="12" spans="1:15" ht="34.15" customHeight="1" thickBot="1" x14ac:dyDescent="0.4">
      <c r="A12" s="5" t="s">
        <v>71</v>
      </c>
      <c r="B12" s="17" t="s">
        <v>72</v>
      </c>
      <c r="C12" s="17" t="s">
        <v>73</v>
      </c>
      <c r="D12" s="17" t="s">
        <v>74</v>
      </c>
      <c r="E12" s="17" t="s">
        <v>75</v>
      </c>
      <c r="F12" s="17" t="s">
        <v>76</v>
      </c>
      <c r="G12" s="17" t="s">
        <v>77</v>
      </c>
      <c r="H12" s="17" t="s">
        <v>78</v>
      </c>
      <c r="I12" s="17" t="s">
        <v>79</v>
      </c>
      <c r="J12" s="17" t="s">
        <v>80</v>
      </c>
      <c r="K12" s="17" t="s">
        <v>81</v>
      </c>
      <c r="L12" s="17" t="s">
        <v>82</v>
      </c>
      <c r="M12" s="17" t="s">
        <v>83</v>
      </c>
      <c r="N12" s="17" t="s">
        <v>84</v>
      </c>
      <c r="O12" s="21" t="s">
        <v>85</v>
      </c>
    </row>
    <row r="13" spans="1:15" ht="21" customHeight="1" x14ac:dyDescent="0.35">
      <c r="A13" s="20">
        <v>1</v>
      </c>
      <c r="B13" s="19"/>
      <c r="C13" s="18" t="s">
        <v>5</v>
      </c>
      <c r="D13" s="15" t="s">
        <v>117</v>
      </c>
      <c r="E13" s="15" t="s">
        <v>133</v>
      </c>
      <c r="F13" s="15" t="s">
        <v>106</v>
      </c>
      <c r="G13" s="15">
        <v>17</v>
      </c>
      <c r="H13" s="15" t="s">
        <v>109</v>
      </c>
      <c r="I13" s="15" t="s">
        <v>110</v>
      </c>
      <c r="J13" s="15">
        <v>8000</v>
      </c>
      <c r="K13" s="15">
        <v>1500</v>
      </c>
      <c r="L13" s="15">
        <v>3</v>
      </c>
      <c r="M13" s="15">
        <v>4773</v>
      </c>
      <c r="N13" s="25"/>
      <c r="O13" s="25"/>
    </row>
    <row r="14" spans="1:15" ht="21" customHeight="1" x14ac:dyDescent="0.35">
      <c r="A14" s="20">
        <v>2</v>
      </c>
      <c r="B14" s="19"/>
      <c r="C14" s="18" t="s">
        <v>6</v>
      </c>
      <c r="D14" s="15" t="s">
        <v>111</v>
      </c>
      <c r="E14" s="15" t="s">
        <v>133</v>
      </c>
      <c r="F14" s="15" t="s">
        <v>106</v>
      </c>
      <c r="G14" s="15">
        <v>11</v>
      </c>
      <c r="H14" s="15" t="s">
        <v>109</v>
      </c>
      <c r="I14" s="15" t="s">
        <v>110</v>
      </c>
      <c r="J14" s="15">
        <v>6900</v>
      </c>
      <c r="K14" s="15">
        <v>1500</v>
      </c>
      <c r="L14" s="15">
        <v>6</v>
      </c>
      <c r="M14" s="15">
        <v>5419</v>
      </c>
      <c r="N14" s="31"/>
      <c r="O14" s="31"/>
    </row>
    <row r="15" spans="1:15" ht="21" customHeight="1" x14ac:dyDescent="0.35">
      <c r="A15" s="20">
        <v>3</v>
      </c>
      <c r="B15" s="19"/>
      <c r="C15" s="18" t="s">
        <v>7</v>
      </c>
      <c r="D15" s="15" t="s">
        <v>112</v>
      </c>
      <c r="E15" s="15" t="s">
        <v>133</v>
      </c>
      <c r="F15" s="15" t="s">
        <v>106</v>
      </c>
      <c r="G15" s="15">
        <v>8</v>
      </c>
      <c r="H15" s="15" t="s">
        <v>109</v>
      </c>
      <c r="I15" s="15" t="s">
        <v>110</v>
      </c>
      <c r="J15" s="15">
        <v>6900</v>
      </c>
      <c r="K15" s="15">
        <v>1500</v>
      </c>
      <c r="L15" s="15">
        <v>8</v>
      </c>
      <c r="M15" s="15">
        <v>5219</v>
      </c>
      <c r="N15" s="25"/>
      <c r="O15" s="25"/>
    </row>
    <row r="16" spans="1:15" ht="21" customHeight="1" x14ac:dyDescent="0.35">
      <c r="A16" s="20">
        <v>4</v>
      </c>
      <c r="B16" s="19"/>
      <c r="C16" s="18" t="s">
        <v>8</v>
      </c>
      <c r="D16" s="15" t="s">
        <v>112</v>
      </c>
      <c r="E16" s="15" t="s">
        <v>133</v>
      </c>
      <c r="F16" s="15" t="s">
        <v>106</v>
      </c>
      <c r="G16" s="15">
        <v>8</v>
      </c>
      <c r="H16" s="15" t="s">
        <v>109</v>
      </c>
      <c r="I16" s="15" t="s">
        <v>110</v>
      </c>
      <c r="J16" s="15">
        <v>6900</v>
      </c>
      <c r="K16" s="15">
        <v>1500</v>
      </c>
      <c r="L16" s="15">
        <v>8</v>
      </c>
      <c r="M16" s="15">
        <v>5219</v>
      </c>
      <c r="N16" s="25"/>
      <c r="O16" s="25"/>
    </row>
    <row r="17" spans="1:15" ht="21" customHeight="1" x14ac:dyDescent="0.35">
      <c r="A17" s="20">
        <v>5</v>
      </c>
      <c r="B17" s="19"/>
      <c r="C17" s="18" t="s">
        <v>9</v>
      </c>
      <c r="D17" s="15" t="s">
        <v>115</v>
      </c>
      <c r="E17" s="15" t="s">
        <v>132</v>
      </c>
      <c r="F17" s="15" t="s">
        <v>106</v>
      </c>
      <c r="G17" s="15">
        <v>4</v>
      </c>
      <c r="H17" s="15" t="s">
        <v>109</v>
      </c>
      <c r="I17" s="15" t="s">
        <v>110</v>
      </c>
      <c r="J17" s="15">
        <v>8000</v>
      </c>
      <c r="K17" s="15">
        <v>1500</v>
      </c>
      <c r="L17" s="15">
        <v>12</v>
      </c>
      <c r="M17" s="15">
        <v>4545</v>
      </c>
      <c r="N17" s="25"/>
      <c r="O17" s="25"/>
    </row>
    <row r="18" spans="1:15" ht="21" customHeight="1" x14ac:dyDescent="0.35">
      <c r="A18" s="20">
        <v>6</v>
      </c>
      <c r="B18" s="26"/>
      <c r="C18" s="18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25"/>
      <c r="O18" s="25"/>
    </row>
    <row r="19" spans="1:15" ht="21" customHeight="1" x14ac:dyDescent="0.35">
      <c r="A19" s="20">
        <v>7</v>
      </c>
      <c r="B19" s="26"/>
      <c r="C19" s="26"/>
      <c r="D19" s="26"/>
      <c r="E19" s="26"/>
      <c r="F19" s="26"/>
      <c r="G19" s="27"/>
      <c r="H19" s="26"/>
      <c r="I19" s="26"/>
      <c r="J19" s="28"/>
      <c r="K19" s="28"/>
      <c r="L19" s="28"/>
      <c r="M19" s="27"/>
      <c r="N19" s="27"/>
      <c r="O19" s="29" t="str">
        <f t="shared" ref="O19:O22" si="0">IF(COUNTA(J19:L19)=3,J19*K19*L19/1000000,"")</f>
        <v/>
      </c>
    </row>
    <row r="20" spans="1:15" ht="21" customHeight="1" x14ac:dyDescent="0.35">
      <c r="A20" s="20">
        <v>8</v>
      </c>
      <c r="B20" s="26"/>
      <c r="C20" s="26"/>
      <c r="D20" s="26"/>
      <c r="E20" s="26"/>
      <c r="F20" s="26"/>
      <c r="G20" s="27"/>
      <c r="H20" s="26"/>
      <c r="I20" s="26"/>
      <c r="J20" s="28"/>
      <c r="K20" s="28"/>
      <c r="L20" s="28"/>
      <c r="M20" s="27"/>
      <c r="N20" s="27"/>
      <c r="O20" s="29" t="str">
        <f t="shared" si="0"/>
        <v/>
      </c>
    </row>
    <row r="21" spans="1:15" ht="21" customHeight="1" x14ac:dyDescent="0.35">
      <c r="A21" s="20">
        <v>9</v>
      </c>
      <c r="B21" s="26"/>
      <c r="C21" s="26"/>
      <c r="D21" s="26"/>
      <c r="E21" s="26"/>
      <c r="F21" s="26"/>
      <c r="G21" s="27"/>
      <c r="H21" s="26"/>
      <c r="I21" s="26"/>
      <c r="J21" s="28"/>
      <c r="K21" s="28"/>
      <c r="L21" s="28"/>
      <c r="M21" s="27"/>
      <c r="N21" s="27"/>
      <c r="O21" s="29" t="str">
        <f t="shared" si="0"/>
        <v/>
      </c>
    </row>
    <row r="22" spans="1:15" ht="21" customHeight="1" thickBot="1" x14ac:dyDescent="0.4">
      <c r="A22" s="20">
        <v>10</v>
      </c>
      <c r="B22" s="26"/>
      <c r="C22" s="26"/>
      <c r="D22" s="26"/>
      <c r="E22" s="26"/>
      <c r="F22" s="26"/>
      <c r="G22" s="27"/>
      <c r="H22" s="26"/>
      <c r="I22" s="26"/>
      <c r="J22" s="28"/>
      <c r="K22" s="28"/>
      <c r="L22" s="28"/>
      <c r="M22" s="27"/>
      <c r="N22" s="27"/>
      <c r="O22" s="29" t="str">
        <f t="shared" si="0"/>
        <v/>
      </c>
    </row>
    <row r="23" spans="1:15" ht="22.15" customHeight="1" thickBot="1" x14ac:dyDescent="0.4">
      <c r="A23" s="72" t="s">
        <v>86</v>
      </c>
      <c r="B23" s="65"/>
      <c r="C23" s="65"/>
      <c r="D23" s="65"/>
      <c r="E23" s="65"/>
      <c r="F23" s="65"/>
      <c r="G23" s="22">
        <f>SUM(G13:G22)</f>
        <v>48</v>
      </c>
      <c r="H23" s="23"/>
      <c r="I23" s="23"/>
      <c r="J23" s="23"/>
      <c r="K23" s="23"/>
      <c r="L23" s="23"/>
      <c r="M23" s="22">
        <f>SUM(M13:M22)</f>
        <v>25175</v>
      </c>
      <c r="N23" s="22">
        <f>SUM(N13:N22)</f>
        <v>0</v>
      </c>
      <c r="O23" s="24">
        <f>SUM(O13:O22)</f>
        <v>0</v>
      </c>
    </row>
    <row r="24" spans="1:15" x14ac:dyDescent="0.35">
      <c r="A24" s="3"/>
      <c r="O24" s="4"/>
    </row>
    <row r="25" spans="1:15" ht="22.15" customHeight="1" x14ac:dyDescent="0.35">
      <c r="A25" s="67" t="s">
        <v>87</v>
      </c>
      <c r="B25" s="68"/>
      <c r="C25" s="6">
        <f>COUNTA(B13:B22)</f>
        <v>0</v>
      </c>
      <c r="D25" s="68" t="s">
        <v>88</v>
      </c>
      <c r="E25" s="68"/>
      <c r="F25" s="7">
        <f>SUM(G13:G22)</f>
        <v>48</v>
      </c>
      <c r="G25" s="68" t="s">
        <v>89</v>
      </c>
      <c r="H25" s="68"/>
      <c r="I25" s="7">
        <f>SUM(M13:M22)</f>
        <v>25175</v>
      </c>
      <c r="J25" s="68" t="s">
        <v>90</v>
      </c>
      <c r="K25" s="68"/>
      <c r="L25" s="7">
        <f>SUM(N13:N22)</f>
        <v>0</v>
      </c>
      <c r="M25" s="68" t="s">
        <v>91</v>
      </c>
      <c r="N25" s="68"/>
      <c r="O25" s="8">
        <f>SUM(O13:O22)</f>
        <v>0</v>
      </c>
    </row>
    <row r="26" spans="1:15" ht="15" thickBot="1" x14ac:dyDescent="0.4">
      <c r="A26" s="3"/>
      <c r="O26" s="4"/>
    </row>
    <row r="27" spans="1:15" ht="19.899999999999999" customHeight="1" thickBot="1" x14ac:dyDescent="0.4">
      <c r="A27" s="75" t="s">
        <v>92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7"/>
    </row>
    <row r="28" spans="1:15" ht="24" customHeight="1" thickBot="1" x14ac:dyDescent="0.4">
      <c r="A28" s="78" t="s">
        <v>93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7"/>
    </row>
    <row r="29" spans="1:15" ht="24" customHeight="1" thickBot="1" x14ac:dyDescent="0.4">
      <c r="A29" s="79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7"/>
    </row>
    <row r="30" spans="1:15" ht="15" thickBot="1" x14ac:dyDescent="0.4">
      <c r="A30" s="3"/>
      <c r="O30" s="4"/>
    </row>
    <row r="31" spans="1:15" ht="19.899999999999999" customHeight="1" thickBot="1" x14ac:dyDescent="0.4">
      <c r="A31" s="75" t="s">
        <v>94</v>
      </c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7"/>
    </row>
    <row r="32" spans="1:15" ht="22.15" customHeight="1" thickBot="1" x14ac:dyDescent="0.4">
      <c r="A32" s="80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2"/>
    </row>
    <row r="33" spans="1:15" ht="19.899999999999999" customHeight="1" x14ac:dyDescent="0.35">
      <c r="A33" s="89" t="s">
        <v>95</v>
      </c>
      <c r="B33" s="90"/>
      <c r="C33" s="90"/>
      <c r="D33" s="91" t="s">
        <v>96</v>
      </c>
      <c r="E33" s="90"/>
      <c r="F33" s="90"/>
      <c r="G33" s="91" t="s">
        <v>97</v>
      </c>
      <c r="H33" s="90"/>
      <c r="I33" s="90"/>
      <c r="J33" s="91" t="s">
        <v>98</v>
      </c>
      <c r="K33" s="90"/>
      <c r="L33" s="90"/>
      <c r="M33" s="91" t="s">
        <v>99</v>
      </c>
      <c r="N33" s="90"/>
      <c r="O33" s="92"/>
    </row>
    <row r="34" spans="1:15" ht="19.899999999999999" customHeight="1" x14ac:dyDescent="0.35">
      <c r="A34" s="9"/>
      <c r="B34" s="10"/>
      <c r="C34" s="10"/>
      <c r="D34" s="11"/>
      <c r="E34" s="10"/>
      <c r="F34" s="10"/>
      <c r="G34" s="11"/>
      <c r="H34" s="10"/>
      <c r="I34" s="10"/>
      <c r="J34" s="11"/>
      <c r="K34" s="10"/>
      <c r="L34" s="10"/>
      <c r="M34" s="11"/>
      <c r="N34" s="10"/>
      <c r="O34" s="12"/>
    </row>
    <row r="35" spans="1:15" ht="19.899999999999999" customHeight="1" x14ac:dyDescent="0.35">
      <c r="A35" s="9"/>
      <c r="B35" s="10"/>
      <c r="C35" s="10"/>
      <c r="D35" s="11"/>
      <c r="E35" s="10"/>
      <c r="F35" s="10"/>
      <c r="G35" s="11"/>
      <c r="H35" s="10"/>
      <c r="I35" s="10"/>
      <c r="J35" s="11"/>
      <c r="K35" s="10"/>
      <c r="L35" s="10"/>
      <c r="M35" s="11"/>
      <c r="N35" s="10"/>
      <c r="O35" s="12"/>
    </row>
    <row r="36" spans="1:15" ht="19.899999999999999" customHeight="1" thickBot="1" x14ac:dyDescent="0.4">
      <c r="A36" s="9"/>
      <c r="B36" s="10"/>
      <c r="C36" s="10"/>
      <c r="D36" s="11"/>
      <c r="E36" s="10"/>
      <c r="F36" s="10"/>
      <c r="G36" s="11"/>
      <c r="H36" s="10"/>
      <c r="I36" s="10"/>
      <c r="J36" s="11"/>
      <c r="K36" s="10"/>
      <c r="L36" s="10"/>
      <c r="M36" s="11"/>
      <c r="N36" s="10"/>
      <c r="O36" s="12"/>
    </row>
    <row r="37" spans="1:15" ht="18.5" x14ac:dyDescent="0.35">
      <c r="A37" s="93" t="s">
        <v>100</v>
      </c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5"/>
    </row>
    <row r="38" spans="1:15" ht="14.5" customHeight="1" x14ac:dyDescent="0.35">
      <c r="A38" s="83" t="s">
        <v>101</v>
      </c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5"/>
    </row>
    <row r="39" spans="1:15" ht="15" thickBot="1" x14ac:dyDescent="0.4">
      <c r="A39" s="86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8"/>
    </row>
  </sheetData>
  <mergeCells count="62">
    <mergeCell ref="A38:O39"/>
    <mergeCell ref="A33:C33"/>
    <mergeCell ref="D33:F33"/>
    <mergeCell ref="G33:I33"/>
    <mergeCell ref="J33:L33"/>
    <mergeCell ref="M33:O33"/>
    <mergeCell ref="A37:O37"/>
    <mergeCell ref="A28:O29"/>
    <mergeCell ref="A31:O31"/>
    <mergeCell ref="A32:C32"/>
    <mergeCell ref="D32:F32"/>
    <mergeCell ref="G32:I32"/>
    <mergeCell ref="J32:L32"/>
    <mergeCell ref="M32:O32"/>
    <mergeCell ref="A25:B25"/>
    <mergeCell ref="D25:E25"/>
    <mergeCell ref="G25:H25"/>
    <mergeCell ref="J25:K25"/>
    <mergeCell ref="A27:O27"/>
    <mergeCell ref="M25:N25"/>
    <mergeCell ref="K10:L10"/>
    <mergeCell ref="M10:N10"/>
    <mergeCell ref="A9:B9"/>
    <mergeCell ref="C9:D9"/>
    <mergeCell ref="E9:F9"/>
    <mergeCell ref="G9:H9"/>
    <mergeCell ref="I9:J9"/>
    <mergeCell ref="K9:L9"/>
    <mergeCell ref="A23:F23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M9:N9"/>
    <mergeCell ref="A10:B10"/>
    <mergeCell ref="C10:D10"/>
    <mergeCell ref="E10:F10"/>
    <mergeCell ref="G10:H10"/>
    <mergeCell ref="I10:J10"/>
    <mergeCell ref="A5:O5"/>
    <mergeCell ref="A6:B6"/>
    <mergeCell ref="C6:D6"/>
    <mergeCell ref="E6:F6"/>
    <mergeCell ref="G6:H6"/>
    <mergeCell ref="I6:J6"/>
    <mergeCell ref="K6:L6"/>
    <mergeCell ref="M6:N6"/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</mergeCells>
  <pageMargins left="0.7" right="0.7" top="0.75" bottom="0.75" header="0.3" footer="0.3"/>
  <pageSetup paperSize="9" scale="48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22E0A-6EB3-47FC-AD2E-BF3C26EC50AF}">
  <sheetPr>
    <tabColor theme="7" tint="0.79998168889431442"/>
  </sheetPr>
  <dimension ref="A1:O39"/>
  <sheetViews>
    <sheetView showGridLines="0" view="pageBreakPreview" zoomScale="60" zoomScaleNormal="70" workbookViewId="0">
      <selection activeCell="Q8" sqref="Q8"/>
    </sheetView>
  </sheetViews>
  <sheetFormatPr defaultRowHeight="14.5" x14ac:dyDescent="0.35"/>
  <cols>
    <col min="1" max="1" width="8" style="1" customWidth="1"/>
    <col min="2" max="2" width="13" style="1" customWidth="1"/>
    <col min="3" max="3" width="11.7265625" style="1" customWidth="1"/>
    <col min="4" max="4" width="30.26953125" style="1" bestFit="1" customWidth="1"/>
    <col min="5" max="5" width="15.08984375" style="1" bestFit="1" customWidth="1"/>
    <col min="6" max="6" width="6.54296875" style="1" bestFit="1" customWidth="1"/>
    <col min="7" max="8" width="8" style="1" customWidth="1"/>
    <col min="9" max="9" width="11.26953125" style="1" bestFit="1" customWidth="1"/>
    <col min="10" max="10" width="7.90625" style="1" customWidth="1"/>
    <col min="11" max="11" width="8.26953125" style="1" customWidth="1"/>
    <col min="12" max="12" width="8.36328125" style="1" customWidth="1"/>
    <col min="13" max="13" width="12" style="1" customWidth="1"/>
    <col min="14" max="14" width="13" style="1" customWidth="1"/>
    <col min="15" max="15" width="12" style="1" customWidth="1"/>
    <col min="16" max="16384" width="8.7265625" style="1"/>
  </cols>
  <sheetData>
    <row r="1" spans="1:15" ht="17.25" customHeight="1" x14ac:dyDescent="0.35">
      <c r="A1" s="34" t="e" vm="1">
        <v>#VALUE!</v>
      </c>
      <c r="B1" s="35"/>
      <c r="C1" s="36"/>
      <c r="D1" s="43" t="s">
        <v>45</v>
      </c>
      <c r="E1" s="44"/>
      <c r="F1" s="44"/>
      <c r="G1" s="44"/>
      <c r="H1" s="44"/>
      <c r="I1" s="44"/>
      <c r="J1" s="44"/>
      <c r="K1" s="45"/>
      <c r="L1" s="52" t="s">
        <v>46</v>
      </c>
      <c r="M1" s="53"/>
      <c r="N1" s="54">
        <v>46098</v>
      </c>
      <c r="O1" s="55"/>
    </row>
    <row r="2" spans="1:15" ht="18" customHeight="1" x14ac:dyDescent="0.35">
      <c r="A2" s="37"/>
      <c r="B2" s="38"/>
      <c r="C2" s="39"/>
      <c r="D2" s="46"/>
      <c r="E2" s="47"/>
      <c r="F2" s="47"/>
      <c r="G2" s="47"/>
      <c r="H2" s="47"/>
      <c r="I2" s="47"/>
      <c r="J2" s="47"/>
      <c r="K2" s="48"/>
      <c r="L2" s="56" t="s">
        <v>47</v>
      </c>
      <c r="M2" s="57"/>
      <c r="N2" s="58" t="s">
        <v>48</v>
      </c>
      <c r="O2" s="59"/>
    </row>
    <row r="3" spans="1:15" ht="16.5" customHeight="1" x14ac:dyDescent="0.35">
      <c r="A3" s="37"/>
      <c r="B3" s="38"/>
      <c r="C3" s="39"/>
      <c r="D3" s="46"/>
      <c r="E3" s="47"/>
      <c r="F3" s="47"/>
      <c r="G3" s="47"/>
      <c r="H3" s="47"/>
      <c r="I3" s="47"/>
      <c r="J3" s="47"/>
      <c r="K3" s="48"/>
      <c r="L3" s="56" t="s">
        <v>49</v>
      </c>
      <c r="M3" s="57"/>
      <c r="N3" s="58" t="s">
        <v>50</v>
      </c>
      <c r="O3" s="59"/>
    </row>
    <row r="4" spans="1:15" ht="15.75" customHeight="1" thickBot="1" x14ac:dyDescent="0.4">
      <c r="A4" s="40"/>
      <c r="B4" s="41"/>
      <c r="C4" s="42"/>
      <c r="D4" s="49"/>
      <c r="E4" s="50"/>
      <c r="F4" s="50"/>
      <c r="G4" s="50"/>
      <c r="H4" s="50"/>
      <c r="I4" s="50"/>
      <c r="J4" s="50"/>
      <c r="K4" s="51"/>
      <c r="L4" s="60" t="s">
        <v>51</v>
      </c>
      <c r="M4" s="61"/>
      <c r="N4" s="62" t="s">
        <v>52</v>
      </c>
      <c r="O4" s="63"/>
    </row>
    <row r="5" spans="1:15" ht="19.899999999999999" customHeight="1" thickBot="1" x14ac:dyDescent="0.4">
      <c r="A5" s="64" t="s">
        <v>53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6"/>
    </row>
    <row r="6" spans="1:15" ht="22.15" customHeight="1" x14ac:dyDescent="0.35">
      <c r="A6" s="67" t="s">
        <v>54</v>
      </c>
      <c r="B6" s="68"/>
      <c r="C6" s="69" t="s">
        <v>152</v>
      </c>
      <c r="D6" s="70"/>
      <c r="E6" s="68" t="s">
        <v>55</v>
      </c>
      <c r="F6" s="68"/>
      <c r="G6" s="71">
        <v>46119</v>
      </c>
      <c r="H6" s="70"/>
      <c r="I6" s="68" t="s">
        <v>56</v>
      </c>
      <c r="J6" s="68"/>
      <c r="K6" s="70" t="s">
        <v>151</v>
      </c>
      <c r="L6" s="70"/>
      <c r="M6" s="68" t="s">
        <v>57</v>
      </c>
      <c r="N6" s="68"/>
      <c r="O6" s="13" t="s">
        <v>103</v>
      </c>
    </row>
    <row r="7" spans="1:15" ht="22.15" customHeight="1" x14ac:dyDescent="0.35">
      <c r="A7" s="67" t="s">
        <v>58</v>
      </c>
      <c r="B7" s="68"/>
      <c r="C7" s="69" t="s">
        <v>100</v>
      </c>
      <c r="D7" s="70"/>
      <c r="E7" s="70"/>
      <c r="F7" s="70"/>
      <c r="G7" s="70"/>
      <c r="H7" s="70"/>
      <c r="I7" s="68" t="s">
        <v>59</v>
      </c>
      <c r="J7" s="68"/>
      <c r="K7" s="69" t="s">
        <v>102</v>
      </c>
      <c r="L7" s="70"/>
      <c r="M7" s="70"/>
      <c r="N7" s="70"/>
      <c r="O7" s="73"/>
    </row>
    <row r="8" spans="1:15" ht="22.15" customHeight="1" x14ac:dyDescent="0.35">
      <c r="A8" s="67" t="s">
        <v>60</v>
      </c>
      <c r="B8" s="68"/>
      <c r="C8" s="69" t="s">
        <v>102</v>
      </c>
      <c r="D8" s="70"/>
      <c r="E8" s="70"/>
      <c r="F8" s="70"/>
      <c r="G8" s="70"/>
      <c r="H8" s="70"/>
      <c r="I8" s="68" t="s">
        <v>61</v>
      </c>
      <c r="J8" s="68"/>
      <c r="K8" s="69" t="s">
        <v>106</v>
      </c>
      <c r="L8" s="70"/>
      <c r="M8" s="68" t="s">
        <v>62</v>
      </c>
      <c r="N8" s="68"/>
      <c r="O8" s="13" t="s">
        <v>105</v>
      </c>
    </row>
    <row r="9" spans="1:15" ht="22.15" customHeight="1" x14ac:dyDescent="0.35">
      <c r="A9" s="67" t="s">
        <v>63</v>
      </c>
      <c r="B9" s="68"/>
      <c r="C9" s="69" t="s">
        <v>104</v>
      </c>
      <c r="D9" s="70"/>
      <c r="E9" s="68" t="s">
        <v>64</v>
      </c>
      <c r="F9" s="68"/>
      <c r="G9" s="69" t="s">
        <v>105</v>
      </c>
      <c r="H9" s="70"/>
      <c r="I9" s="68" t="s">
        <v>65</v>
      </c>
      <c r="J9" s="68"/>
      <c r="K9" s="69" t="s">
        <v>107</v>
      </c>
      <c r="L9" s="70"/>
      <c r="M9" s="68" t="s">
        <v>66</v>
      </c>
      <c r="N9" s="68"/>
      <c r="O9" s="2">
        <v>46153</v>
      </c>
    </row>
    <row r="10" spans="1:15" ht="22.15" customHeight="1" x14ac:dyDescent="0.35">
      <c r="A10" s="67" t="s">
        <v>67</v>
      </c>
      <c r="B10" s="68"/>
      <c r="C10" s="74" t="s">
        <v>121</v>
      </c>
      <c r="D10" s="70"/>
      <c r="E10" s="68" t="s">
        <v>68</v>
      </c>
      <c r="F10" s="68"/>
      <c r="G10" s="70"/>
      <c r="H10" s="70"/>
      <c r="I10" s="68" t="s">
        <v>69</v>
      </c>
      <c r="J10" s="68"/>
      <c r="K10" s="70"/>
      <c r="L10" s="70"/>
      <c r="M10" s="68" t="s">
        <v>70</v>
      </c>
      <c r="N10" s="68"/>
      <c r="O10" s="13" t="s">
        <v>108</v>
      </c>
    </row>
    <row r="11" spans="1:15" ht="15" thickBot="1" x14ac:dyDescent="0.4">
      <c r="A11" s="3" t="s">
        <v>143</v>
      </c>
      <c r="O11" s="4"/>
    </row>
    <row r="12" spans="1:15" ht="34.15" customHeight="1" thickBot="1" x14ac:dyDescent="0.4">
      <c r="A12" s="5" t="s">
        <v>71</v>
      </c>
      <c r="B12" s="17" t="s">
        <v>72</v>
      </c>
      <c r="C12" s="17" t="s">
        <v>73</v>
      </c>
      <c r="D12" s="17" t="s">
        <v>74</v>
      </c>
      <c r="E12" s="17" t="s">
        <v>75</v>
      </c>
      <c r="F12" s="17" t="s">
        <v>76</v>
      </c>
      <c r="G12" s="17" t="s">
        <v>77</v>
      </c>
      <c r="H12" s="17" t="s">
        <v>78</v>
      </c>
      <c r="I12" s="17" t="s">
        <v>79</v>
      </c>
      <c r="J12" s="17" t="s">
        <v>80</v>
      </c>
      <c r="K12" s="17" t="s">
        <v>81</v>
      </c>
      <c r="L12" s="17" t="s">
        <v>82</v>
      </c>
      <c r="M12" s="17" t="s">
        <v>83</v>
      </c>
      <c r="N12" s="17" t="s">
        <v>84</v>
      </c>
      <c r="O12" s="21" t="s">
        <v>85</v>
      </c>
    </row>
    <row r="13" spans="1:15" ht="21" customHeight="1" x14ac:dyDescent="0.35">
      <c r="A13" s="20">
        <v>1</v>
      </c>
      <c r="B13" s="19"/>
      <c r="C13" s="18" t="s">
        <v>10</v>
      </c>
      <c r="D13" s="15" t="s">
        <v>117</v>
      </c>
      <c r="E13" s="15" t="s">
        <v>133</v>
      </c>
      <c r="F13" s="15" t="s">
        <v>106</v>
      </c>
      <c r="G13" s="15">
        <v>17</v>
      </c>
      <c r="H13" s="15" t="s">
        <v>109</v>
      </c>
      <c r="I13" s="15" t="s">
        <v>110</v>
      </c>
      <c r="J13" s="15">
        <v>8000</v>
      </c>
      <c r="K13" s="15">
        <v>1500</v>
      </c>
      <c r="L13" s="15">
        <v>3</v>
      </c>
      <c r="M13" s="15">
        <v>4764</v>
      </c>
      <c r="N13" s="25"/>
      <c r="O13" s="30"/>
    </row>
    <row r="14" spans="1:15" ht="21" customHeight="1" x14ac:dyDescent="0.35">
      <c r="A14" s="20">
        <v>2</v>
      </c>
      <c r="B14" s="19"/>
      <c r="C14" s="18" t="s">
        <v>11</v>
      </c>
      <c r="D14" s="15" t="s">
        <v>112</v>
      </c>
      <c r="E14" s="15" t="s">
        <v>133</v>
      </c>
      <c r="F14" s="15" t="s">
        <v>106</v>
      </c>
      <c r="G14" s="15">
        <v>8</v>
      </c>
      <c r="H14" s="15" t="s">
        <v>109</v>
      </c>
      <c r="I14" s="15" t="s">
        <v>110</v>
      </c>
      <c r="J14" s="15">
        <v>6900</v>
      </c>
      <c r="K14" s="15">
        <v>1500</v>
      </c>
      <c r="L14" s="15">
        <v>8</v>
      </c>
      <c r="M14" s="15">
        <v>5208</v>
      </c>
      <c r="N14" s="31"/>
      <c r="O14" s="30"/>
    </row>
    <row r="15" spans="1:15" ht="21" customHeight="1" x14ac:dyDescent="0.35">
      <c r="A15" s="20">
        <v>3</v>
      </c>
      <c r="B15" s="19"/>
      <c r="C15" s="18" t="s">
        <v>12</v>
      </c>
      <c r="D15" s="15" t="s">
        <v>115</v>
      </c>
      <c r="E15" s="15" t="s">
        <v>132</v>
      </c>
      <c r="F15" s="15" t="s">
        <v>106</v>
      </c>
      <c r="G15" s="15">
        <v>4</v>
      </c>
      <c r="H15" s="15" t="s">
        <v>109</v>
      </c>
      <c r="I15" s="15" t="s">
        <v>110</v>
      </c>
      <c r="J15" s="15">
        <v>8000</v>
      </c>
      <c r="K15" s="15">
        <v>1500</v>
      </c>
      <c r="L15" s="15">
        <v>12</v>
      </c>
      <c r="M15" s="15">
        <v>4600</v>
      </c>
      <c r="N15" s="25"/>
      <c r="O15" s="30"/>
    </row>
    <row r="16" spans="1:15" ht="21" customHeight="1" x14ac:dyDescent="0.35">
      <c r="A16" s="20">
        <v>4</v>
      </c>
      <c r="B16" s="19"/>
      <c r="C16" s="18" t="s">
        <v>14</v>
      </c>
      <c r="D16" s="15" t="s">
        <v>115</v>
      </c>
      <c r="E16" s="15" t="s">
        <v>132</v>
      </c>
      <c r="F16" s="15" t="s">
        <v>106</v>
      </c>
      <c r="G16" s="15">
        <v>5</v>
      </c>
      <c r="H16" s="15" t="s">
        <v>109</v>
      </c>
      <c r="I16" s="15" t="s">
        <v>110</v>
      </c>
      <c r="J16" s="15">
        <v>8000</v>
      </c>
      <c r="K16" s="15">
        <v>1500</v>
      </c>
      <c r="L16" s="15">
        <v>12</v>
      </c>
      <c r="M16" s="15">
        <v>5603</v>
      </c>
      <c r="N16" s="25"/>
      <c r="O16" s="30"/>
    </row>
    <row r="17" spans="1:15" ht="21" customHeight="1" x14ac:dyDescent="0.35">
      <c r="A17" s="20">
        <v>5</v>
      </c>
      <c r="B17" s="19"/>
      <c r="C17" s="18" t="s">
        <v>13</v>
      </c>
      <c r="D17" s="15" t="s">
        <v>116</v>
      </c>
      <c r="E17" s="15" t="s">
        <v>132</v>
      </c>
      <c r="F17" s="15" t="s">
        <v>106</v>
      </c>
      <c r="G17" s="15">
        <v>5</v>
      </c>
      <c r="H17" s="15" t="s">
        <v>109</v>
      </c>
      <c r="I17" s="15" t="s">
        <v>110</v>
      </c>
      <c r="J17" s="15">
        <v>6900</v>
      </c>
      <c r="K17" s="15">
        <v>1500</v>
      </c>
      <c r="L17" s="15">
        <v>12</v>
      </c>
      <c r="M17" s="15">
        <v>4900</v>
      </c>
      <c r="N17" s="25"/>
      <c r="O17" s="30"/>
    </row>
    <row r="18" spans="1:15" ht="21" customHeight="1" x14ac:dyDescent="0.35">
      <c r="A18" s="20">
        <v>6</v>
      </c>
      <c r="B18" s="26"/>
      <c r="C18" s="18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25"/>
      <c r="O18" s="25"/>
    </row>
    <row r="19" spans="1:15" ht="21" customHeight="1" x14ac:dyDescent="0.35">
      <c r="A19" s="20">
        <v>7</v>
      </c>
      <c r="B19" s="26"/>
      <c r="C19" s="26"/>
      <c r="D19" s="26"/>
      <c r="E19" s="26"/>
      <c r="F19" s="26"/>
      <c r="G19" s="27"/>
      <c r="H19" s="26"/>
      <c r="I19" s="26"/>
      <c r="J19" s="28"/>
      <c r="K19" s="28"/>
      <c r="L19" s="28"/>
      <c r="M19" s="27"/>
      <c r="N19" s="27"/>
      <c r="O19" s="29" t="str">
        <f t="shared" ref="O19:O22" si="0">IF(COUNTA(J19:L19)=3,J19*K19*L19/1000000,"")</f>
        <v/>
      </c>
    </row>
    <row r="20" spans="1:15" ht="21" customHeight="1" x14ac:dyDescent="0.35">
      <c r="A20" s="20">
        <v>8</v>
      </c>
      <c r="B20" s="26"/>
      <c r="C20" s="26"/>
      <c r="D20" s="26"/>
      <c r="E20" s="26"/>
      <c r="F20" s="26"/>
      <c r="G20" s="27"/>
      <c r="H20" s="26"/>
      <c r="I20" s="26"/>
      <c r="J20" s="28"/>
      <c r="K20" s="28"/>
      <c r="L20" s="28"/>
      <c r="M20" s="27"/>
      <c r="N20" s="27"/>
      <c r="O20" s="29" t="str">
        <f t="shared" si="0"/>
        <v/>
      </c>
    </row>
    <row r="21" spans="1:15" ht="21" customHeight="1" x14ac:dyDescent="0.35">
      <c r="A21" s="20">
        <v>9</v>
      </c>
      <c r="B21" s="26"/>
      <c r="C21" s="26"/>
      <c r="D21" s="26"/>
      <c r="E21" s="26"/>
      <c r="F21" s="26"/>
      <c r="G21" s="27"/>
      <c r="H21" s="26"/>
      <c r="I21" s="26"/>
      <c r="J21" s="28"/>
      <c r="K21" s="28"/>
      <c r="L21" s="28"/>
      <c r="M21" s="27"/>
      <c r="N21" s="27"/>
      <c r="O21" s="29" t="str">
        <f t="shared" si="0"/>
        <v/>
      </c>
    </row>
    <row r="22" spans="1:15" ht="21" customHeight="1" thickBot="1" x14ac:dyDescent="0.4">
      <c r="A22" s="20">
        <v>10</v>
      </c>
      <c r="B22" s="26"/>
      <c r="C22" s="26"/>
      <c r="D22" s="26"/>
      <c r="E22" s="26"/>
      <c r="F22" s="26"/>
      <c r="G22" s="27"/>
      <c r="H22" s="26"/>
      <c r="I22" s="26"/>
      <c r="J22" s="28"/>
      <c r="K22" s="28"/>
      <c r="L22" s="28"/>
      <c r="M22" s="27"/>
      <c r="N22" s="27"/>
      <c r="O22" s="29" t="str">
        <f t="shared" si="0"/>
        <v/>
      </c>
    </row>
    <row r="23" spans="1:15" ht="22.15" customHeight="1" thickBot="1" x14ac:dyDescent="0.4">
      <c r="A23" s="72" t="s">
        <v>86</v>
      </c>
      <c r="B23" s="65"/>
      <c r="C23" s="65"/>
      <c r="D23" s="65"/>
      <c r="E23" s="65"/>
      <c r="F23" s="65"/>
      <c r="G23" s="22">
        <f>SUM(G13:G22)</f>
        <v>39</v>
      </c>
      <c r="H23" s="23"/>
      <c r="I23" s="23"/>
      <c r="J23" s="23"/>
      <c r="K23" s="23"/>
      <c r="L23" s="23"/>
      <c r="M23" s="22">
        <f>SUM(M13:M22)</f>
        <v>25075</v>
      </c>
      <c r="N23" s="22">
        <f>SUM(N13:N22)</f>
        <v>0</v>
      </c>
      <c r="O23" s="24">
        <f>SUM(O13:O22)</f>
        <v>0</v>
      </c>
    </row>
    <row r="24" spans="1:15" x14ac:dyDescent="0.35">
      <c r="A24" s="3"/>
      <c r="O24" s="4"/>
    </row>
    <row r="25" spans="1:15" ht="22.15" customHeight="1" x14ac:dyDescent="0.35">
      <c r="A25" s="67" t="s">
        <v>87</v>
      </c>
      <c r="B25" s="68"/>
      <c r="C25" s="6">
        <f>COUNTA(B13:B22)</f>
        <v>0</v>
      </c>
      <c r="D25" s="68" t="s">
        <v>88</v>
      </c>
      <c r="E25" s="68"/>
      <c r="F25" s="7">
        <f>SUM(G13:G22)</f>
        <v>39</v>
      </c>
      <c r="G25" s="68" t="s">
        <v>89</v>
      </c>
      <c r="H25" s="68"/>
      <c r="I25" s="7">
        <f>SUM(M13:M22)</f>
        <v>25075</v>
      </c>
      <c r="J25" s="68" t="s">
        <v>90</v>
      </c>
      <c r="K25" s="68"/>
      <c r="L25" s="7">
        <f>SUM(N13:N22)</f>
        <v>0</v>
      </c>
      <c r="M25" s="68" t="s">
        <v>91</v>
      </c>
      <c r="N25" s="68"/>
      <c r="O25" s="8">
        <f>SUM(O13:O22)</f>
        <v>0</v>
      </c>
    </row>
    <row r="26" spans="1:15" ht="15" thickBot="1" x14ac:dyDescent="0.4">
      <c r="A26" s="3"/>
      <c r="O26" s="4"/>
    </row>
    <row r="27" spans="1:15" ht="19.899999999999999" customHeight="1" thickBot="1" x14ac:dyDescent="0.4">
      <c r="A27" s="75" t="s">
        <v>92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7"/>
    </row>
    <row r="28" spans="1:15" ht="24" customHeight="1" thickBot="1" x14ac:dyDescent="0.4">
      <c r="A28" s="78" t="s">
        <v>93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7"/>
    </row>
    <row r="29" spans="1:15" ht="24" customHeight="1" thickBot="1" x14ac:dyDescent="0.4">
      <c r="A29" s="79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7"/>
    </row>
    <row r="30" spans="1:15" ht="15" thickBot="1" x14ac:dyDescent="0.4">
      <c r="A30" s="3"/>
      <c r="O30" s="4"/>
    </row>
    <row r="31" spans="1:15" ht="19.899999999999999" customHeight="1" thickBot="1" x14ac:dyDescent="0.4">
      <c r="A31" s="75" t="s">
        <v>94</v>
      </c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7"/>
    </row>
    <row r="32" spans="1:15" ht="22.15" customHeight="1" thickBot="1" x14ac:dyDescent="0.4">
      <c r="A32" s="80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2"/>
    </row>
    <row r="33" spans="1:15" ht="19.899999999999999" customHeight="1" x14ac:dyDescent="0.35">
      <c r="A33" s="89" t="s">
        <v>95</v>
      </c>
      <c r="B33" s="90"/>
      <c r="C33" s="90"/>
      <c r="D33" s="91" t="s">
        <v>96</v>
      </c>
      <c r="E33" s="90"/>
      <c r="F33" s="90"/>
      <c r="G33" s="91" t="s">
        <v>97</v>
      </c>
      <c r="H33" s="90"/>
      <c r="I33" s="90"/>
      <c r="J33" s="91" t="s">
        <v>98</v>
      </c>
      <c r="K33" s="90"/>
      <c r="L33" s="90"/>
      <c r="M33" s="91" t="s">
        <v>99</v>
      </c>
      <c r="N33" s="90"/>
      <c r="O33" s="92"/>
    </row>
    <row r="34" spans="1:15" ht="19.899999999999999" customHeight="1" x14ac:dyDescent="0.35">
      <c r="A34" s="9"/>
      <c r="B34" s="10"/>
      <c r="C34" s="10"/>
      <c r="D34" s="11"/>
      <c r="E34" s="10"/>
      <c r="F34" s="10"/>
      <c r="G34" s="11"/>
      <c r="H34" s="10"/>
      <c r="I34" s="10"/>
      <c r="J34" s="11"/>
      <c r="K34" s="10"/>
      <c r="L34" s="10"/>
      <c r="M34" s="11"/>
      <c r="N34" s="10"/>
      <c r="O34" s="12"/>
    </row>
    <row r="35" spans="1:15" ht="19.899999999999999" customHeight="1" x14ac:dyDescent="0.35">
      <c r="A35" s="9"/>
      <c r="B35" s="10"/>
      <c r="C35" s="10"/>
      <c r="D35" s="11"/>
      <c r="E35" s="10"/>
      <c r="F35" s="10"/>
      <c r="G35" s="11"/>
      <c r="H35" s="10"/>
      <c r="I35" s="10"/>
      <c r="J35" s="11"/>
      <c r="K35" s="10"/>
      <c r="L35" s="10"/>
      <c r="M35" s="11"/>
      <c r="N35" s="10"/>
      <c r="O35" s="12"/>
    </row>
    <row r="36" spans="1:15" ht="19.899999999999999" customHeight="1" thickBot="1" x14ac:dyDescent="0.4">
      <c r="A36" s="9"/>
      <c r="B36" s="10"/>
      <c r="C36" s="10"/>
      <c r="D36" s="11"/>
      <c r="E36" s="10"/>
      <c r="F36" s="10"/>
      <c r="G36" s="11"/>
      <c r="H36" s="10"/>
      <c r="I36" s="10"/>
      <c r="J36" s="11"/>
      <c r="K36" s="10"/>
      <c r="L36" s="10"/>
      <c r="M36" s="11"/>
      <c r="N36" s="10"/>
      <c r="O36" s="12"/>
    </row>
    <row r="37" spans="1:15" ht="18.5" x14ac:dyDescent="0.35">
      <c r="A37" s="93" t="s">
        <v>100</v>
      </c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5"/>
    </row>
    <row r="38" spans="1:15" ht="14.5" customHeight="1" x14ac:dyDescent="0.35">
      <c r="A38" s="83" t="s">
        <v>101</v>
      </c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5"/>
    </row>
    <row r="39" spans="1:15" ht="15" thickBot="1" x14ac:dyDescent="0.4">
      <c r="A39" s="86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8"/>
    </row>
  </sheetData>
  <mergeCells count="62">
    <mergeCell ref="A38:O39"/>
    <mergeCell ref="A33:C33"/>
    <mergeCell ref="D33:F33"/>
    <mergeCell ref="G33:I33"/>
    <mergeCell ref="J33:L33"/>
    <mergeCell ref="M33:O33"/>
    <mergeCell ref="A37:O37"/>
    <mergeCell ref="A28:O29"/>
    <mergeCell ref="A31:O31"/>
    <mergeCell ref="A32:C32"/>
    <mergeCell ref="D32:F32"/>
    <mergeCell ref="G32:I32"/>
    <mergeCell ref="J32:L32"/>
    <mergeCell ref="M32:O32"/>
    <mergeCell ref="A25:B25"/>
    <mergeCell ref="D25:E25"/>
    <mergeCell ref="G25:H25"/>
    <mergeCell ref="J25:K25"/>
    <mergeCell ref="A27:O27"/>
    <mergeCell ref="M25:N25"/>
    <mergeCell ref="K10:L10"/>
    <mergeCell ref="M10:N10"/>
    <mergeCell ref="A9:B9"/>
    <mergeCell ref="C9:D9"/>
    <mergeCell ref="E9:F9"/>
    <mergeCell ref="G9:H9"/>
    <mergeCell ref="I9:J9"/>
    <mergeCell ref="K9:L9"/>
    <mergeCell ref="A23:F23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M9:N9"/>
    <mergeCell ref="A10:B10"/>
    <mergeCell ref="C10:D10"/>
    <mergeCell ref="E10:F10"/>
    <mergeCell ref="G10:H10"/>
    <mergeCell ref="I10:J10"/>
    <mergeCell ref="A5:O5"/>
    <mergeCell ref="A6:B6"/>
    <mergeCell ref="C6:D6"/>
    <mergeCell ref="E6:F6"/>
    <mergeCell ref="G6:H6"/>
    <mergeCell ref="I6:J6"/>
    <mergeCell ref="K6:L6"/>
    <mergeCell ref="M6:N6"/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</mergeCells>
  <pageMargins left="0.7" right="0.7" top="0.75" bottom="0.75" header="0.3" footer="0.3"/>
  <pageSetup paperSize="9" scale="51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79D27-B534-4A2B-8C92-F9BA13D4F5D9}">
  <sheetPr>
    <tabColor theme="7" tint="0.79998168889431442"/>
    <pageSetUpPr fitToPage="1"/>
  </sheetPr>
  <dimension ref="A1:O39"/>
  <sheetViews>
    <sheetView showGridLines="0" view="pageBreakPreview" zoomScale="60" zoomScaleNormal="70" workbookViewId="0">
      <selection activeCell="W16" sqref="W16"/>
    </sheetView>
  </sheetViews>
  <sheetFormatPr defaultRowHeight="14.5" x14ac:dyDescent="0.35"/>
  <cols>
    <col min="1" max="1" width="8" style="1" customWidth="1"/>
    <col min="2" max="2" width="13" style="1" customWidth="1"/>
    <col min="3" max="3" width="11.7265625" style="1" customWidth="1"/>
    <col min="4" max="4" width="30.26953125" style="1" bestFit="1" customWidth="1"/>
    <col min="5" max="5" width="15.08984375" style="1" bestFit="1" customWidth="1"/>
    <col min="6" max="6" width="6.54296875" style="1" bestFit="1" customWidth="1"/>
    <col min="7" max="8" width="8" style="1" customWidth="1"/>
    <col min="9" max="9" width="11.26953125" style="1" bestFit="1" customWidth="1"/>
    <col min="10" max="10" width="7.90625" style="1" customWidth="1"/>
    <col min="11" max="11" width="8.26953125" style="1" customWidth="1"/>
    <col min="12" max="12" width="8.36328125" style="1" customWidth="1"/>
    <col min="13" max="13" width="12" style="1" customWidth="1"/>
    <col min="14" max="14" width="13" style="1" customWidth="1"/>
    <col min="15" max="15" width="12" style="1" customWidth="1"/>
    <col min="16" max="16384" width="8.7265625" style="1"/>
  </cols>
  <sheetData>
    <row r="1" spans="1:15" ht="17.25" customHeight="1" x14ac:dyDescent="0.35">
      <c r="A1" s="34" t="e" vm="1">
        <v>#VALUE!</v>
      </c>
      <c r="B1" s="35"/>
      <c r="C1" s="36"/>
      <c r="D1" s="43" t="s">
        <v>45</v>
      </c>
      <c r="E1" s="44"/>
      <c r="F1" s="44"/>
      <c r="G1" s="44"/>
      <c r="H1" s="44"/>
      <c r="I1" s="44"/>
      <c r="J1" s="44"/>
      <c r="K1" s="45"/>
      <c r="L1" s="52" t="s">
        <v>46</v>
      </c>
      <c r="M1" s="53"/>
      <c r="N1" s="54">
        <v>46098</v>
      </c>
      <c r="O1" s="55"/>
    </row>
    <row r="2" spans="1:15" ht="18" customHeight="1" x14ac:dyDescent="0.35">
      <c r="A2" s="37"/>
      <c r="B2" s="38"/>
      <c r="C2" s="39"/>
      <c r="D2" s="46"/>
      <c r="E2" s="47"/>
      <c r="F2" s="47"/>
      <c r="G2" s="47"/>
      <c r="H2" s="47"/>
      <c r="I2" s="47"/>
      <c r="J2" s="47"/>
      <c r="K2" s="48"/>
      <c r="L2" s="56" t="s">
        <v>47</v>
      </c>
      <c r="M2" s="57"/>
      <c r="N2" s="58" t="s">
        <v>48</v>
      </c>
      <c r="O2" s="59"/>
    </row>
    <row r="3" spans="1:15" ht="16.5" customHeight="1" x14ac:dyDescent="0.35">
      <c r="A3" s="37"/>
      <c r="B3" s="38"/>
      <c r="C3" s="39"/>
      <c r="D3" s="46"/>
      <c r="E3" s="47"/>
      <c r="F3" s="47"/>
      <c r="G3" s="47"/>
      <c r="H3" s="47"/>
      <c r="I3" s="47"/>
      <c r="J3" s="47"/>
      <c r="K3" s="48"/>
      <c r="L3" s="56" t="s">
        <v>49</v>
      </c>
      <c r="M3" s="57"/>
      <c r="N3" s="58" t="s">
        <v>50</v>
      </c>
      <c r="O3" s="59"/>
    </row>
    <row r="4" spans="1:15" ht="15.75" customHeight="1" thickBot="1" x14ac:dyDescent="0.4">
      <c r="A4" s="40"/>
      <c r="B4" s="41"/>
      <c r="C4" s="42"/>
      <c r="D4" s="49"/>
      <c r="E4" s="50"/>
      <c r="F4" s="50"/>
      <c r="G4" s="50"/>
      <c r="H4" s="50"/>
      <c r="I4" s="50"/>
      <c r="J4" s="50"/>
      <c r="K4" s="51"/>
      <c r="L4" s="60" t="s">
        <v>51</v>
      </c>
      <c r="M4" s="61"/>
      <c r="N4" s="62" t="s">
        <v>52</v>
      </c>
      <c r="O4" s="63"/>
    </row>
    <row r="5" spans="1:15" ht="19.899999999999999" customHeight="1" thickBot="1" x14ac:dyDescent="0.4">
      <c r="A5" s="64" t="s">
        <v>53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6"/>
    </row>
    <row r="6" spans="1:15" ht="22.15" customHeight="1" x14ac:dyDescent="0.35">
      <c r="A6" s="67" t="s">
        <v>54</v>
      </c>
      <c r="B6" s="68"/>
      <c r="C6" s="70" t="s">
        <v>153</v>
      </c>
      <c r="D6" s="70"/>
      <c r="E6" s="68" t="s">
        <v>55</v>
      </c>
      <c r="F6" s="68"/>
      <c r="G6" s="71">
        <v>46119</v>
      </c>
      <c r="H6" s="70"/>
      <c r="I6" s="68" t="s">
        <v>56</v>
      </c>
      <c r="J6" s="68"/>
      <c r="K6" s="70" t="s">
        <v>151</v>
      </c>
      <c r="L6" s="70"/>
      <c r="M6" s="68" t="s">
        <v>57</v>
      </c>
      <c r="N6" s="68"/>
      <c r="O6" s="13" t="s">
        <v>103</v>
      </c>
    </row>
    <row r="7" spans="1:15" ht="22.15" customHeight="1" x14ac:dyDescent="0.35">
      <c r="A7" s="67" t="s">
        <v>58</v>
      </c>
      <c r="B7" s="68"/>
      <c r="C7" s="69" t="s">
        <v>100</v>
      </c>
      <c r="D7" s="70"/>
      <c r="E7" s="70"/>
      <c r="F7" s="70"/>
      <c r="G7" s="70"/>
      <c r="H7" s="70"/>
      <c r="I7" s="68" t="s">
        <v>59</v>
      </c>
      <c r="J7" s="68"/>
      <c r="K7" s="69" t="s">
        <v>102</v>
      </c>
      <c r="L7" s="70"/>
      <c r="M7" s="70"/>
      <c r="N7" s="70"/>
      <c r="O7" s="73"/>
    </row>
    <row r="8" spans="1:15" ht="22.15" customHeight="1" x14ac:dyDescent="0.35">
      <c r="A8" s="67" t="s">
        <v>60</v>
      </c>
      <c r="B8" s="68"/>
      <c r="C8" s="69" t="s">
        <v>102</v>
      </c>
      <c r="D8" s="70"/>
      <c r="E8" s="70"/>
      <c r="F8" s="70"/>
      <c r="G8" s="70"/>
      <c r="H8" s="70"/>
      <c r="I8" s="68" t="s">
        <v>61</v>
      </c>
      <c r="J8" s="68"/>
      <c r="K8" s="69" t="s">
        <v>106</v>
      </c>
      <c r="L8" s="70"/>
      <c r="M8" s="68" t="s">
        <v>62</v>
      </c>
      <c r="N8" s="68"/>
      <c r="O8" s="13" t="s">
        <v>105</v>
      </c>
    </row>
    <row r="9" spans="1:15" ht="22.15" customHeight="1" x14ac:dyDescent="0.35">
      <c r="A9" s="67" t="s">
        <v>63</v>
      </c>
      <c r="B9" s="68"/>
      <c r="C9" s="69" t="s">
        <v>104</v>
      </c>
      <c r="D9" s="70"/>
      <c r="E9" s="68" t="s">
        <v>64</v>
      </c>
      <c r="F9" s="68"/>
      <c r="G9" s="69" t="s">
        <v>105</v>
      </c>
      <c r="H9" s="70"/>
      <c r="I9" s="68" t="s">
        <v>65</v>
      </c>
      <c r="J9" s="68"/>
      <c r="K9" s="69" t="s">
        <v>107</v>
      </c>
      <c r="L9" s="70"/>
      <c r="M9" s="68" t="s">
        <v>66</v>
      </c>
      <c r="N9" s="68"/>
      <c r="O9" s="2">
        <v>46153</v>
      </c>
    </row>
    <row r="10" spans="1:15" ht="22.15" customHeight="1" x14ac:dyDescent="0.35">
      <c r="A10" s="67" t="s">
        <v>67</v>
      </c>
      <c r="B10" s="68"/>
      <c r="C10" s="74" t="s">
        <v>122</v>
      </c>
      <c r="D10" s="70"/>
      <c r="E10" s="68" t="s">
        <v>68</v>
      </c>
      <c r="F10" s="68"/>
      <c r="G10" s="70"/>
      <c r="H10" s="70"/>
      <c r="I10" s="68" t="s">
        <v>69</v>
      </c>
      <c r="J10" s="68"/>
      <c r="K10" s="70"/>
      <c r="L10" s="70"/>
      <c r="M10" s="68" t="s">
        <v>70</v>
      </c>
      <c r="N10" s="68"/>
      <c r="O10" s="13" t="s">
        <v>108</v>
      </c>
    </row>
    <row r="11" spans="1:15" ht="15" thickBot="1" x14ac:dyDescent="0.4">
      <c r="A11" s="3" t="s">
        <v>144</v>
      </c>
      <c r="O11" s="4"/>
    </row>
    <row r="12" spans="1:15" ht="34.15" customHeight="1" thickBot="1" x14ac:dyDescent="0.4">
      <c r="A12" s="5" t="s">
        <v>71</v>
      </c>
      <c r="B12" s="17" t="s">
        <v>72</v>
      </c>
      <c r="C12" s="17" t="s">
        <v>73</v>
      </c>
      <c r="D12" s="17" t="s">
        <v>74</v>
      </c>
      <c r="E12" s="17" t="s">
        <v>75</v>
      </c>
      <c r="F12" s="17" t="s">
        <v>76</v>
      </c>
      <c r="G12" s="17" t="s">
        <v>77</v>
      </c>
      <c r="H12" s="17" t="s">
        <v>78</v>
      </c>
      <c r="I12" s="17" t="s">
        <v>79</v>
      </c>
      <c r="J12" s="17" t="s">
        <v>80</v>
      </c>
      <c r="K12" s="17" t="s">
        <v>81</v>
      </c>
      <c r="L12" s="17" t="s">
        <v>82</v>
      </c>
      <c r="M12" s="17" t="s">
        <v>83</v>
      </c>
      <c r="N12" s="17" t="s">
        <v>84</v>
      </c>
      <c r="O12" s="21" t="s">
        <v>85</v>
      </c>
    </row>
    <row r="13" spans="1:15" ht="21" customHeight="1" x14ac:dyDescent="0.35">
      <c r="A13" s="20">
        <v>1</v>
      </c>
      <c r="B13" s="19"/>
      <c r="C13" s="18" t="s">
        <v>15</v>
      </c>
      <c r="D13" s="15" t="s">
        <v>117</v>
      </c>
      <c r="E13" s="15" t="s">
        <v>133</v>
      </c>
      <c r="F13" s="15" t="s">
        <v>106</v>
      </c>
      <c r="G13" s="15">
        <v>17</v>
      </c>
      <c r="H13" s="15" t="s">
        <v>109</v>
      </c>
      <c r="I13" s="15" t="s">
        <v>110</v>
      </c>
      <c r="J13" s="15">
        <v>8000</v>
      </c>
      <c r="K13" s="15">
        <v>1500</v>
      </c>
      <c r="L13" s="15">
        <v>3</v>
      </c>
      <c r="M13" s="15">
        <v>4790</v>
      </c>
      <c r="N13" s="31"/>
      <c r="O13" s="31"/>
    </row>
    <row r="14" spans="1:15" ht="21" customHeight="1" x14ac:dyDescent="0.35">
      <c r="A14" s="20">
        <v>2</v>
      </c>
      <c r="B14" s="19"/>
      <c r="C14" s="18" t="s">
        <v>16</v>
      </c>
      <c r="D14" s="15" t="s">
        <v>117</v>
      </c>
      <c r="E14" s="15" t="s">
        <v>133</v>
      </c>
      <c r="F14" s="15" t="s">
        <v>106</v>
      </c>
      <c r="G14" s="15">
        <v>17</v>
      </c>
      <c r="H14" s="15" t="s">
        <v>109</v>
      </c>
      <c r="I14" s="15" t="s">
        <v>110</v>
      </c>
      <c r="J14" s="15">
        <v>8000</v>
      </c>
      <c r="K14" s="15">
        <v>1500</v>
      </c>
      <c r="L14" s="15">
        <v>3</v>
      </c>
      <c r="M14" s="15">
        <v>4780</v>
      </c>
      <c r="N14" s="31"/>
      <c r="O14" s="31"/>
    </row>
    <row r="15" spans="1:15" ht="21" customHeight="1" x14ac:dyDescent="0.35">
      <c r="A15" s="20">
        <v>3</v>
      </c>
      <c r="B15" s="19"/>
      <c r="C15" s="18" t="s">
        <v>17</v>
      </c>
      <c r="D15" s="15" t="s">
        <v>114</v>
      </c>
      <c r="E15" s="15" t="s">
        <v>133</v>
      </c>
      <c r="F15" s="15" t="s">
        <v>106</v>
      </c>
      <c r="G15" s="15">
        <v>14</v>
      </c>
      <c r="H15" s="15" t="s">
        <v>109</v>
      </c>
      <c r="I15" s="15" t="s">
        <v>110</v>
      </c>
      <c r="J15" s="15">
        <v>8000</v>
      </c>
      <c r="K15" s="15">
        <v>1500</v>
      </c>
      <c r="L15" s="15">
        <v>4</v>
      </c>
      <c r="M15" s="15">
        <v>5320</v>
      </c>
      <c r="N15" s="31"/>
      <c r="O15" s="31"/>
    </row>
    <row r="16" spans="1:15" ht="21" customHeight="1" x14ac:dyDescent="0.35">
      <c r="A16" s="20">
        <v>4</v>
      </c>
      <c r="B16" s="19"/>
      <c r="C16" s="18" t="s">
        <v>18</v>
      </c>
      <c r="D16" s="15" t="s">
        <v>111</v>
      </c>
      <c r="E16" s="15" t="s">
        <v>133</v>
      </c>
      <c r="F16" s="15" t="s">
        <v>106</v>
      </c>
      <c r="G16" s="15">
        <v>7</v>
      </c>
      <c r="H16" s="15" t="s">
        <v>109</v>
      </c>
      <c r="I16" s="15" t="s">
        <v>110</v>
      </c>
      <c r="J16" s="15">
        <v>6900</v>
      </c>
      <c r="K16" s="15">
        <v>1500</v>
      </c>
      <c r="L16" s="15">
        <v>6</v>
      </c>
      <c r="M16" s="15">
        <v>3460</v>
      </c>
      <c r="N16" s="31"/>
      <c r="O16" s="31"/>
    </row>
    <row r="17" spans="1:15" ht="21" customHeight="1" x14ac:dyDescent="0.35">
      <c r="A17" s="20">
        <v>5</v>
      </c>
      <c r="B17" s="19"/>
      <c r="C17" s="18" t="s">
        <v>19</v>
      </c>
      <c r="D17" s="15" t="s">
        <v>115</v>
      </c>
      <c r="E17" s="15" t="s">
        <v>132</v>
      </c>
      <c r="F17" s="15" t="s">
        <v>106</v>
      </c>
      <c r="G17" s="15">
        <v>6</v>
      </c>
      <c r="H17" s="15" t="s">
        <v>109</v>
      </c>
      <c r="I17" s="15" t="s">
        <v>110</v>
      </c>
      <c r="J17" s="15">
        <v>8000</v>
      </c>
      <c r="K17" s="15">
        <v>1500</v>
      </c>
      <c r="L17" s="15">
        <v>12</v>
      </c>
      <c r="M17" s="15">
        <v>6870</v>
      </c>
      <c r="N17" s="31"/>
      <c r="O17" s="31"/>
    </row>
    <row r="18" spans="1:15" ht="21" customHeight="1" x14ac:dyDescent="0.35">
      <c r="A18" s="20">
        <v>6</v>
      </c>
      <c r="B18" s="26"/>
      <c r="C18" s="18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25"/>
      <c r="O18" s="25"/>
    </row>
    <row r="19" spans="1:15" ht="21" customHeight="1" x14ac:dyDescent="0.35">
      <c r="A19" s="20">
        <v>7</v>
      </c>
      <c r="B19" s="26"/>
      <c r="C19" s="26"/>
      <c r="D19" s="26"/>
      <c r="E19" s="26"/>
      <c r="F19" s="26"/>
      <c r="G19" s="27"/>
      <c r="H19" s="26"/>
      <c r="I19" s="26"/>
      <c r="J19" s="28"/>
      <c r="K19" s="28"/>
      <c r="L19" s="28"/>
      <c r="M19" s="27"/>
      <c r="N19" s="27"/>
      <c r="O19" s="29" t="str">
        <f t="shared" ref="O19:O22" si="0">IF(COUNTA(J19:L19)=3,J19*K19*L19/1000000,"")</f>
        <v/>
      </c>
    </row>
    <row r="20" spans="1:15" ht="21" customHeight="1" x14ac:dyDescent="0.35">
      <c r="A20" s="20">
        <v>8</v>
      </c>
      <c r="B20" s="26"/>
      <c r="C20" s="26"/>
      <c r="D20" s="26"/>
      <c r="E20" s="26"/>
      <c r="F20" s="26"/>
      <c r="G20" s="27"/>
      <c r="H20" s="26"/>
      <c r="I20" s="26"/>
      <c r="J20" s="28"/>
      <c r="K20" s="28"/>
      <c r="L20" s="28"/>
      <c r="M20" s="27"/>
      <c r="N20" s="27"/>
      <c r="O20" s="29" t="str">
        <f t="shared" si="0"/>
        <v/>
      </c>
    </row>
    <row r="21" spans="1:15" ht="21" customHeight="1" x14ac:dyDescent="0.35">
      <c r="A21" s="20">
        <v>9</v>
      </c>
      <c r="B21" s="26"/>
      <c r="C21" s="26"/>
      <c r="D21" s="26"/>
      <c r="E21" s="26"/>
      <c r="F21" s="26"/>
      <c r="G21" s="27"/>
      <c r="H21" s="26"/>
      <c r="I21" s="26"/>
      <c r="J21" s="28"/>
      <c r="K21" s="28"/>
      <c r="L21" s="28"/>
      <c r="M21" s="27"/>
      <c r="N21" s="27"/>
      <c r="O21" s="29" t="str">
        <f t="shared" si="0"/>
        <v/>
      </c>
    </row>
    <row r="22" spans="1:15" ht="21" customHeight="1" thickBot="1" x14ac:dyDescent="0.4">
      <c r="A22" s="20">
        <v>10</v>
      </c>
      <c r="B22" s="26"/>
      <c r="C22" s="26"/>
      <c r="D22" s="26"/>
      <c r="E22" s="26"/>
      <c r="F22" s="26"/>
      <c r="G22" s="27"/>
      <c r="H22" s="26"/>
      <c r="I22" s="26"/>
      <c r="J22" s="28"/>
      <c r="K22" s="28"/>
      <c r="L22" s="28"/>
      <c r="M22" s="27"/>
      <c r="N22" s="27"/>
      <c r="O22" s="29" t="str">
        <f t="shared" si="0"/>
        <v/>
      </c>
    </row>
    <row r="23" spans="1:15" ht="22.15" customHeight="1" thickBot="1" x14ac:dyDescent="0.4">
      <c r="A23" s="72" t="s">
        <v>86</v>
      </c>
      <c r="B23" s="65"/>
      <c r="C23" s="65"/>
      <c r="D23" s="65"/>
      <c r="E23" s="65"/>
      <c r="F23" s="65"/>
      <c r="G23" s="22">
        <f>SUM(G13:G22)</f>
        <v>61</v>
      </c>
      <c r="H23" s="23"/>
      <c r="I23" s="23"/>
      <c r="J23" s="23"/>
      <c r="K23" s="23"/>
      <c r="L23" s="23"/>
      <c r="M23" s="22">
        <f>SUM(M13:M22)</f>
        <v>25220</v>
      </c>
      <c r="N23" s="22">
        <f>SUM(N13:N22)</f>
        <v>0</v>
      </c>
      <c r="O23" s="24">
        <f>SUM(O13:O22)</f>
        <v>0</v>
      </c>
    </row>
    <row r="24" spans="1:15" x14ac:dyDescent="0.35">
      <c r="A24" s="3"/>
      <c r="O24" s="4"/>
    </row>
    <row r="25" spans="1:15" ht="22.15" customHeight="1" x14ac:dyDescent="0.35">
      <c r="A25" s="67" t="s">
        <v>87</v>
      </c>
      <c r="B25" s="68"/>
      <c r="C25" s="6">
        <f>COUNTA(B13:B22)</f>
        <v>0</v>
      </c>
      <c r="D25" s="68" t="s">
        <v>88</v>
      </c>
      <c r="E25" s="68"/>
      <c r="F25" s="7">
        <f>SUM(G13:G22)</f>
        <v>61</v>
      </c>
      <c r="G25" s="68" t="s">
        <v>89</v>
      </c>
      <c r="H25" s="68"/>
      <c r="I25" s="7">
        <f>SUM(M13:M22)</f>
        <v>25220</v>
      </c>
      <c r="J25" s="68" t="s">
        <v>90</v>
      </c>
      <c r="K25" s="68"/>
      <c r="L25" s="7">
        <f>SUM(N13:N22)</f>
        <v>0</v>
      </c>
      <c r="M25" s="68" t="s">
        <v>91</v>
      </c>
      <c r="N25" s="68"/>
      <c r="O25" s="8">
        <f>SUM(O13:O22)</f>
        <v>0</v>
      </c>
    </row>
    <row r="26" spans="1:15" ht="15" thickBot="1" x14ac:dyDescent="0.4">
      <c r="A26" s="3"/>
      <c r="O26" s="4"/>
    </row>
    <row r="27" spans="1:15" ht="19.899999999999999" customHeight="1" thickBot="1" x14ac:dyDescent="0.4">
      <c r="A27" s="75" t="s">
        <v>92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7"/>
    </row>
    <row r="28" spans="1:15" ht="24" customHeight="1" thickBot="1" x14ac:dyDescent="0.4">
      <c r="A28" s="78" t="s">
        <v>93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7"/>
    </row>
    <row r="29" spans="1:15" ht="24" customHeight="1" thickBot="1" x14ac:dyDescent="0.4">
      <c r="A29" s="79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7"/>
    </row>
    <row r="30" spans="1:15" ht="15" thickBot="1" x14ac:dyDescent="0.4">
      <c r="A30" s="3"/>
      <c r="O30" s="4"/>
    </row>
    <row r="31" spans="1:15" ht="19.899999999999999" customHeight="1" thickBot="1" x14ac:dyDescent="0.4">
      <c r="A31" s="75" t="s">
        <v>94</v>
      </c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7"/>
    </row>
    <row r="32" spans="1:15" ht="22.15" customHeight="1" thickBot="1" x14ac:dyDescent="0.4">
      <c r="A32" s="80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2"/>
    </row>
    <row r="33" spans="1:15" ht="19.899999999999999" customHeight="1" x14ac:dyDescent="0.35">
      <c r="A33" s="89" t="s">
        <v>95</v>
      </c>
      <c r="B33" s="90"/>
      <c r="C33" s="90"/>
      <c r="D33" s="91" t="s">
        <v>96</v>
      </c>
      <c r="E33" s="90"/>
      <c r="F33" s="90"/>
      <c r="G33" s="91" t="s">
        <v>97</v>
      </c>
      <c r="H33" s="90"/>
      <c r="I33" s="90"/>
      <c r="J33" s="91" t="s">
        <v>98</v>
      </c>
      <c r="K33" s="90"/>
      <c r="L33" s="90"/>
      <c r="M33" s="91" t="s">
        <v>99</v>
      </c>
      <c r="N33" s="90"/>
      <c r="O33" s="92"/>
    </row>
    <row r="34" spans="1:15" ht="19.899999999999999" customHeight="1" x14ac:dyDescent="0.35">
      <c r="A34" s="9"/>
      <c r="B34" s="10"/>
      <c r="C34" s="10"/>
      <c r="D34" s="11"/>
      <c r="E34" s="10"/>
      <c r="F34" s="10"/>
      <c r="G34" s="11"/>
      <c r="H34" s="10"/>
      <c r="I34" s="10"/>
      <c r="J34" s="11"/>
      <c r="K34" s="10"/>
      <c r="L34" s="10"/>
      <c r="M34" s="11"/>
      <c r="N34" s="10"/>
      <c r="O34" s="12"/>
    </row>
    <row r="35" spans="1:15" ht="19.899999999999999" customHeight="1" x14ac:dyDescent="0.35">
      <c r="A35" s="9"/>
      <c r="B35" s="10"/>
      <c r="C35" s="10"/>
      <c r="D35" s="11"/>
      <c r="E35" s="10"/>
      <c r="F35" s="10"/>
      <c r="G35" s="11"/>
      <c r="H35" s="10"/>
      <c r="I35" s="10"/>
      <c r="J35" s="11"/>
      <c r="K35" s="10"/>
      <c r="L35" s="10"/>
      <c r="M35" s="11"/>
      <c r="N35" s="10"/>
      <c r="O35" s="12"/>
    </row>
    <row r="36" spans="1:15" ht="19.899999999999999" customHeight="1" thickBot="1" x14ac:dyDescent="0.4">
      <c r="A36" s="9"/>
      <c r="B36" s="10"/>
      <c r="C36" s="10"/>
      <c r="D36" s="11"/>
      <c r="E36" s="10"/>
      <c r="F36" s="10"/>
      <c r="G36" s="11"/>
      <c r="H36" s="10"/>
      <c r="I36" s="10"/>
      <c r="J36" s="11"/>
      <c r="K36" s="10"/>
      <c r="L36" s="10"/>
      <c r="M36" s="11"/>
      <c r="N36" s="10"/>
      <c r="O36" s="12"/>
    </row>
    <row r="37" spans="1:15" ht="18.5" x14ac:dyDescent="0.35">
      <c r="A37" s="93" t="s">
        <v>100</v>
      </c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5"/>
    </row>
    <row r="38" spans="1:15" ht="14.5" customHeight="1" x14ac:dyDescent="0.35">
      <c r="A38" s="83" t="s">
        <v>101</v>
      </c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5"/>
    </row>
    <row r="39" spans="1:15" ht="15" thickBot="1" x14ac:dyDescent="0.4">
      <c r="A39" s="86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8"/>
    </row>
  </sheetData>
  <mergeCells count="62">
    <mergeCell ref="A38:O39"/>
    <mergeCell ref="A33:C33"/>
    <mergeCell ref="D33:F33"/>
    <mergeCell ref="G33:I33"/>
    <mergeCell ref="J33:L33"/>
    <mergeCell ref="M33:O33"/>
    <mergeCell ref="A37:O37"/>
    <mergeCell ref="A28:O29"/>
    <mergeCell ref="A31:O31"/>
    <mergeCell ref="A32:C32"/>
    <mergeCell ref="D32:F32"/>
    <mergeCell ref="G32:I32"/>
    <mergeCell ref="J32:L32"/>
    <mergeCell ref="M32:O32"/>
    <mergeCell ref="A25:B25"/>
    <mergeCell ref="D25:E25"/>
    <mergeCell ref="G25:H25"/>
    <mergeCell ref="J25:K25"/>
    <mergeCell ref="A27:O27"/>
    <mergeCell ref="M25:N25"/>
    <mergeCell ref="K10:L10"/>
    <mergeCell ref="M10:N10"/>
    <mergeCell ref="A9:B9"/>
    <mergeCell ref="C9:D9"/>
    <mergeCell ref="E9:F9"/>
    <mergeCell ref="G9:H9"/>
    <mergeCell ref="I9:J9"/>
    <mergeCell ref="K9:L9"/>
    <mergeCell ref="A23:F23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M9:N9"/>
    <mergeCell ref="A10:B10"/>
    <mergeCell ref="C10:D10"/>
    <mergeCell ref="E10:F10"/>
    <mergeCell ref="G10:H10"/>
    <mergeCell ref="I10:J10"/>
    <mergeCell ref="A5:O5"/>
    <mergeCell ref="A6:B6"/>
    <mergeCell ref="C6:D6"/>
    <mergeCell ref="E6:F6"/>
    <mergeCell ref="G6:H6"/>
    <mergeCell ref="I6:J6"/>
    <mergeCell ref="K6:L6"/>
    <mergeCell ref="M6:N6"/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</mergeCells>
  <pageMargins left="0.7" right="0.7" top="0.75" bottom="0.75" header="0.3" footer="0.3"/>
  <pageSetup paperSize="9" scale="75" fitToHeight="0" orientation="landscape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96668-F894-4843-807C-BDB7EB57ED23}">
  <sheetPr>
    <tabColor theme="7" tint="0.79998168889431442"/>
  </sheetPr>
  <dimension ref="A1:O39"/>
  <sheetViews>
    <sheetView showGridLines="0" view="pageBreakPreview" zoomScale="60" zoomScaleNormal="70" workbookViewId="0">
      <selection activeCell="K6" sqref="K6:L6"/>
    </sheetView>
  </sheetViews>
  <sheetFormatPr defaultRowHeight="14.5" x14ac:dyDescent="0.35"/>
  <cols>
    <col min="1" max="1" width="8" style="1" customWidth="1"/>
    <col min="2" max="2" width="13" style="1" customWidth="1"/>
    <col min="3" max="3" width="11.7265625" style="1" bestFit="1" customWidth="1"/>
    <col min="4" max="4" width="30.26953125" style="1" bestFit="1" customWidth="1"/>
    <col min="5" max="5" width="15.08984375" style="1" bestFit="1" customWidth="1"/>
    <col min="6" max="6" width="6.54296875" style="1" bestFit="1" customWidth="1"/>
    <col min="7" max="8" width="8" style="1" customWidth="1"/>
    <col min="9" max="9" width="11.26953125" style="1" bestFit="1" customWidth="1"/>
    <col min="10" max="10" width="7.90625" style="1" customWidth="1"/>
    <col min="11" max="11" width="8.26953125" style="1" customWidth="1"/>
    <col min="12" max="12" width="8.36328125" style="1" customWidth="1"/>
    <col min="13" max="13" width="12" style="1" customWidth="1"/>
    <col min="14" max="14" width="13" style="1" customWidth="1"/>
    <col min="15" max="15" width="12" style="1" customWidth="1"/>
    <col min="16" max="16384" width="8.7265625" style="1"/>
  </cols>
  <sheetData>
    <row r="1" spans="1:15" ht="17.25" customHeight="1" x14ac:dyDescent="0.35">
      <c r="A1" s="34" t="e" vm="1">
        <v>#VALUE!</v>
      </c>
      <c r="B1" s="35"/>
      <c r="C1" s="36"/>
      <c r="D1" s="43" t="s">
        <v>45</v>
      </c>
      <c r="E1" s="44"/>
      <c r="F1" s="44"/>
      <c r="G1" s="44"/>
      <c r="H1" s="44"/>
      <c r="I1" s="44"/>
      <c r="J1" s="44"/>
      <c r="K1" s="45"/>
      <c r="L1" s="52" t="s">
        <v>46</v>
      </c>
      <c r="M1" s="53"/>
      <c r="N1" s="54">
        <v>46098</v>
      </c>
      <c r="O1" s="55"/>
    </row>
    <row r="2" spans="1:15" ht="18" customHeight="1" x14ac:dyDescent="0.35">
      <c r="A2" s="37"/>
      <c r="B2" s="38"/>
      <c r="C2" s="39"/>
      <c r="D2" s="46"/>
      <c r="E2" s="47"/>
      <c r="F2" s="47"/>
      <c r="G2" s="47"/>
      <c r="H2" s="47"/>
      <c r="I2" s="47"/>
      <c r="J2" s="47"/>
      <c r="K2" s="48"/>
      <c r="L2" s="56" t="s">
        <v>47</v>
      </c>
      <c r="M2" s="57"/>
      <c r="N2" s="58" t="s">
        <v>48</v>
      </c>
      <c r="O2" s="59"/>
    </row>
    <row r="3" spans="1:15" ht="16.5" customHeight="1" x14ac:dyDescent="0.35">
      <c r="A3" s="37"/>
      <c r="B3" s="38"/>
      <c r="C3" s="39"/>
      <c r="D3" s="46"/>
      <c r="E3" s="47"/>
      <c r="F3" s="47"/>
      <c r="G3" s="47"/>
      <c r="H3" s="47"/>
      <c r="I3" s="47"/>
      <c r="J3" s="47"/>
      <c r="K3" s="48"/>
      <c r="L3" s="56" t="s">
        <v>49</v>
      </c>
      <c r="M3" s="57"/>
      <c r="N3" s="58" t="s">
        <v>50</v>
      </c>
      <c r="O3" s="59"/>
    </row>
    <row r="4" spans="1:15" ht="15.75" customHeight="1" thickBot="1" x14ac:dyDescent="0.4">
      <c r="A4" s="40"/>
      <c r="B4" s="41"/>
      <c r="C4" s="42"/>
      <c r="D4" s="49"/>
      <c r="E4" s="50"/>
      <c r="F4" s="50"/>
      <c r="G4" s="50"/>
      <c r="H4" s="50"/>
      <c r="I4" s="50"/>
      <c r="J4" s="50"/>
      <c r="K4" s="51"/>
      <c r="L4" s="60" t="s">
        <v>51</v>
      </c>
      <c r="M4" s="61"/>
      <c r="N4" s="62" t="s">
        <v>52</v>
      </c>
      <c r="O4" s="63"/>
    </row>
    <row r="5" spans="1:15" ht="19.899999999999999" customHeight="1" thickBot="1" x14ac:dyDescent="0.4">
      <c r="A5" s="64" t="s">
        <v>53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6"/>
    </row>
    <row r="6" spans="1:15" ht="22.15" customHeight="1" x14ac:dyDescent="0.35">
      <c r="A6" s="67" t="s">
        <v>54</v>
      </c>
      <c r="B6" s="68"/>
      <c r="C6" s="69" t="s">
        <v>152</v>
      </c>
      <c r="D6" s="70"/>
      <c r="E6" s="68" t="s">
        <v>55</v>
      </c>
      <c r="F6" s="68"/>
      <c r="G6" s="71">
        <v>46119</v>
      </c>
      <c r="H6" s="70"/>
      <c r="I6" s="68" t="s">
        <v>56</v>
      </c>
      <c r="J6" s="68"/>
      <c r="K6" s="70" t="s">
        <v>151</v>
      </c>
      <c r="L6" s="70"/>
      <c r="M6" s="68" t="s">
        <v>57</v>
      </c>
      <c r="N6" s="68"/>
      <c r="O6" s="13" t="s">
        <v>103</v>
      </c>
    </row>
    <row r="7" spans="1:15" ht="22.15" customHeight="1" x14ac:dyDescent="0.35">
      <c r="A7" s="67" t="s">
        <v>58</v>
      </c>
      <c r="B7" s="68"/>
      <c r="C7" s="69" t="s">
        <v>100</v>
      </c>
      <c r="D7" s="70"/>
      <c r="E7" s="70"/>
      <c r="F7" s="70"/>
      <c r="G7" s="70"/>
      <c r="H7" s="70"/>
      <c r="I7" s="68" t="s">
        <v>59</v>
      </c>
      <c r="J7" s="68"/>
      <c r="K7" s="69" t="s">
        <v>102</v>
      </c>
      <c r="L7" s="70"/>
      <c r="M7" s="70"/>
      <c r="N7" s="70"/>
      <c r="O7" s="73"/>
    </row>
    <row r="8" spans="1:15" ht="22.15" customHeight="1" x14ac:dyDescent="0.35">
      <c r="A8" s="67" t="s">
        <v>60</v>
      </c>
      <c r="B8" s="68"/>
      <c r="C8" s="69" t="s">
        <v>102</v>
      </c>
      <c r="D8" s="70"/>
      <c r="E8" s="70"/>
      <c r="F8" s="70"/>
      <c r="G8" s="70"/>
      <c r="H8" s="70"/>
      <c r="I8" s="68" t="s">
        <v>61</v>
      </c>
      <c r="J8" s="68"/>
      <c r="K8" s="69" t="s">
        <v>106</v>
      </c>
      <c r="L8" s="70"/>
      <c r="M8" s="68" t="s">
        <v>62</v>
      </c>
      <c r="N8" s="68"/>
      <c r="O8" s="13" t="s">
        <v>105</v>
      </c>
    </row>
    <row r="9" spans="1:15" ht="22.15" customHeight="1" x14ac:dyDescent="0.35">
      <c r="A9" s="67" t="s">
        <v>63</v>
      </c>
      <c r="B9" s="68"/>
      <c r="C9" s="69" t="s">
        <v>104</v>
      </c>
      <c r="D9" s="70"/>
      <c r="E9" s="68" t="s">
        <v>64</v>
      </c>
      <c r="F9" s="68"/>
      <c r="G9" s="69" t="s">
        <v>105</v>
      </c>
      <c r="H9" s="70"/>
      <c r="I9" s="68" t="s">
        <v>65</v>
      </c>
      <c r="J9" s="68"/>
      <c r="K9" s="69" t="s">
        <v>107</v>
      </c>
      <c r="L9" s="70"/>
      <c r="M9" s="68" t="s">
        <v>66</v>
      </c>
      <c r="N9" s="68"/>
      <c r="O9" s="2">
        <v>46153</v>
      </c>
    </row>
    <row r="10" spans="1:15" ht="22.15" customHeight="1" x14ac:dyDescent="0.35">
      <c r="A10" s="67" t="s">
        <v>67</v>
      </c>
      <c r="B10" s="68"/>
      <c r="C10" s="74" t="s">
        <v>123</v>
      </c>
      <c r="D10" s="70"/>
      <c r="E10" s="68" t="s">
        <v>68</v>
      </c>
      <c r="F10" s="68"/>
      <c r="G10" s="70"/>
      <c r="H10" s="70"/>
      <c r="I10" s="68" t="s">
        <v>69</v>
      </c>
      <c r="J10" s="68"/>
      <c r="K10" s="70"/>
      <c r="L10" s="70"/>
      <c r="M10" s="68" t="s">
        <v>70</v>
      </c>
      <c r="N10" s="68"/>
      <c r="O10" s="13" t="s">
        <v>108</v>
      </c>
    </row>
    <row r="11" spans="1:15" ht="15" thickBot="1" x14ac:dyDescent="0.4">
      <c r="A11" s="3" t="s">
        <v>127</v>
      </c>
      <c r="O11" s="4"/>
    </row>
    <row r="12" spans="1:15" ht="34.15" customHeight="1" thickBot="1" x14ac:dyDescent="0.4">
      <c r="A12" s="5" t="s">
        <v>71</v>
      </c>
      <c r="B12" s="17" t="s">
        <v>72</v>
      </c>
      <c r="C12" s="17" t="s">
        <v>73</v>
      </c>
      <c r="D12" s="17" t="s">
        <v>74</v>
      </c>
      <c r="E12" s="17" t="s">
        <v>75</v>
      </c>
      <c r="F12" s="17" t="s">
        <v>76</v>
      </c>
      <c r="G12" s="17" t="s">
        <v>77</v>
      </c>
      <c r="H12" s="17" t="s">
        <v>78</v>
      </c>
      <c r="I12" s="17" t="s">
        <v>79</v>
      </c>
      <c r="J12" s="17" t="s">
        <v>80</v>
      </c>
      <c r="K12" s="17" t="s">
        <v>81</v>
      </c>
      <c r="L12" s="17" t="s">
        <v>82</v>
      </c>
      <c r="M12" s="17" t="s">
        <v>83</v>
      </c>
      <c r="N12" s="17" t="s">
        <v>84</v>
      </c>
      <c r="O12" s="21" t="s">
        <v>85</v>
      </c>
    </row>
    <row r="13" spans="1:15" ht="21" customHeight="1" x14ac:dyDescent="0.35">
      <c r="A13" s="20">
        <v>1</v>
      </c>
      <c r="B13" s="19"/>
      <c r="C13" s="18" t="s">
        <v>20</v>
      </c>
      <c r="D13" s="15" t="s">
        <v>114</v>
      </c>
      <c r="E13" s="15" t="s">
        <v>133</v>
      </c>
      <c r="F13" s="15" t="s">
        <v>106</v>
      </c>
      <c r="G13" s="15">
        <v>12</v>
      </c>
      <c r="H13" s="15" t="s">
        <v>109</v>
      </c>
      <c r="I13" s="15" t="s">
        <v>110</v>
      </c>
      <c r="J13" s="15">
        <v>8000</v>
      </c>
      <c r="K13" s="15">
        <v>1500</v>
      </c>
      <c r="L13" s="15">
        <v>4</v>
      </c>
      <c r="M13" s="15">
        <v>4540</v>
      </c>
      <c r="N13" s="31"/>
      <c r="O13" s="30"/>
    </row>
    <row r="14" spans="1:15" ht="21" customHeight="1" x14ac:dyDescent="0.35">
      <c r="A14" s="20">
        <v>2</v>
      </c>
      <c r="B14" s="19"/>
      <c r="C14" s="18" t="s">
        <v>21</v>
      </c>
      <c r="D14" s="15" t="s">
        <v>112</v>
      </c>
      <c r="E14" s="15" t="s">
        <v>133</v>
      </c>
      <c r="F14" s="15" t="s">
        <v>106</v>
      </c>
      <c r="G14" s="15">
        <v>8</v>
      </c>
      <c r="H14" s="15" t="s">
        <v>109</v>
      </c>
      <c r="I14" s="15" t="s">
        <v>110</v>
      </c>
      <c r="J14" s="15">
        <v>6900</v>
      </c>
      <c r="K14" s="15">
        <v>1500</v>
      </c>
      <c r="L14" s="15">
        <v>8</v>
      </c>
      <c r="M14" s="15">
        <v>5215</v>
      </c>
      <c r="N14" s="31"/>
      <c r="O14" s="30"/>
    </row>
    <row r="15" spans="1:15" ht="21" customHeight="1" x14ac:dyDescent="0.35">
      <c r="A15" s="20">
        <v>3</v>
      </c>
      <c r="B15" s="19"/>
      <c r="C15" s="18" t="s">
        <v>22</v>
      </c>
      <c r="D15" s="15" t="s">
        <v>136</v>
      </c>
      <c r="E15" s="15" t="s">
        <v>133</v>
      </c>
      <c r="F15" s="15" t="s">
        <v>106</v>
      </c>
      <c r="G15" s="15">
        <v>9</v>
      </c>
      <c r="H15" s="15" t="s">
        <v>109</v>
      </c>
      <c r="I15" s="15" t="s">
        <v>110</v>
      </c>
      <c r="J15" s="15">
        <v>6000</v>
      </c>
      <c r="K15" s="15">
        <v>1500</v>
      </c>
      <c r="L15" s="15">
        <v>8</v>
      </c>
      <c r="M15" s="15">
        <v>5105</v>
      </c>
      <c r="N15" s="31"/>
      <c r="O15" s="30"/>
    </row>
    <row r="16" spans="1:15" ht="21" customHeight="1" x14ac:dyDescent="0.35">
      <c r="A16" s="20">
        <v>4</v>
      </c>
      <c r="B16" s="19"/>
      <c r="C16" s="18" t="s">
        <v>23</v>
      </c>
      <c r="D16" s="15" t="s">
        <v>115</v>
      </c>
      <c r="E16" s="15" t="s">
        <v>132</v>
      </c>
      <c r="F16" s="15" t="s">
        <v>106</v>
      </c>
      <c r="G16" s="15">
        <v>4</v>
      </c>
      <c r="H16" s="15" t="s">
        <v>109</v>
      </c>
      <c r="I16" s="15" t="s">
        <v>110</v>
      </c>
      <c r="J16" s="15">
        <v>8000</v>
      </c>
      <c r="K16" s="15">
        <v>1500</v>
      </c>
      <c r="L16" s="15">
        <v>12</v>
      </c>
      <c r="M16" s="15">
        <v>4535</v>
      </c>
      <c r="N16" s="31"/>
      <c r="O16" s="30"/>
    </row>
    <row r="17" spans="1:15" ht="21" customHeight="1" x14ac:dyDescent="0.35">
      <c r="A17" s="20">
        <v>5</v>
      </c>
      <c r="B17" s="19"/>
      <c r="C17" s="18" t="s">
        <v>24</v>
      </c>
      <c r="D17" s="15" t="s">
        <v>115</v>
      </c>
      <c r="E17" s="15" t="s">
        <v>132</v>
      </c>
      <c r="F17" s="15" t="s">
        <v>106</v>
      </c>
      <c r="G17" s="15">
        <v>5</v>
      </c>
      <c r="H17" s="15" t="s">
        <v>109</v>
      </c>
      <c r="I17" s="15" t="s">
        <v>110</v>
      </c>
      <c r="J17" s="15">
        <v>8000</v>
      </c>
      <c r="K17" s="15">
        <v>1500</v>
      </c>
      <c r="L17" s="15">
        <v>12</v>
      </c>
      <c r="M17" s="15">
        <v>5705</v>
      </c>
      <c r="N17" s="31"/>
      <c r="O17" s="30"/>
    </row>
    <row r="18" spans="1:15" ht="21" customHeight="1" x14ac:dyDescent="0.35">
      <c r="A18" s="20">
        <v>6</v>
      </c>
      <c r="B18" s="26"/>
      <c r="C18" s="18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25"/>
      <c r="O18" s="25"/>
    </row>
    <row r="19" spans="1:15" ht="21" customHeight="1" x14ac:dyDescent="0.35">
      <c r="A19" s="20">
        <v>7</v>
      </c>
      <c r="B19" s="26"/>
      <c r="C19" s="26"/>
      <c r="D19" s="26"/>
      <c r="E19" s="26"/>
      <c r="F19" s="26"/>
      <c r="G19" s="27"/>
      <c r="H19" s="26"/>
      <c r="I19" s="26"/>
      <c r="J19" s="28"/>
      <c r="K19" s="28"/>
      <c r="L19" s="28"/>
      <c r="M19" s="27"/>
      <c r="N19" s="27"/>
      <c r="O19" s="29" t="str">
        <f t="shared" ref="O19:O22" si="0">IF(COUNTA(J19:L19)=3,J19*K19*L19/1000000,"")</f>
        <v/>
      </c>
    </row>
    <row r="20" spans="1:15" ht="21" customHeight="1" x14ac:dyDescent="0.35">
      <c r="A20" s="20">
        <v>8</v>
      </c>
      <c r="B20" s="26"/>
      <c r="C20" s="26"/>
      <c r="D20" s="26"/>
      <c r="E20" s="26"/>
      <c r="F20" s="26"/>
      <c r="G20" s="27"/>
      <c r="H20" s="26"/>
      <c r="I20" s="26"/>
      <c r="J20" s="28"/>
      <c r="K20" s="28"/>
      <c r="L20" s="28"/>
      <c r="M20" s="27"/>
      <c r="N20" s="27"/>
      <c r="O20" s="29" t="str">
        <f t="shared" si="0"/>
        <v/>
      </c>
    </row>
    <row r="21" spans="1:15" ht="21" customHeight="1" x14ac:dyDescent="0.35">
      <c r="A21" s="20">
        <v>9</v>
      </c>
      <c r="B21" s="26"/>
      <c r="C21" s="26"/>
      <c r="D21" s="26"/>
      <c r="E21" s="26"/>
      <c r="F21" s="26"/>
      <c r="G21" s="27"/>
      <c r="H21" s="26"/>
      <c r="I21" s="26"/>
      <c r="J21" s="28"/>
      <c r="K21" s="28"/>
      <c r="L21" s="28"/>
      <c r="M21" s="27"/>
      <c r="N21" s="27"/>
      <c r="O21" s="29" t="str">
        <f t="shared" si="0"/>
        <v/>
      </c>
    </row>
    <row r="22" spans="1:15" ht="21" customHeight="1" thickBot="1" x14ac:dyDescent="0.4">
      <c r="A22" s="20">
        <v>10</v>
      </c>
      <c r="B22" s="26"/>
      <c r="C22" s="26"/>
      <c r="D22" s="26"/>
      <c r="E22" s="26"/>
      <c r="F22" s="26"/>
      <c r="G22" s="27"/>
      <c r="H22" s="26"/>
      <c r="I22" s="26"/>
      <c r="J22" s="28"/>
      <c r="K22" s="28"/>
      <c r="L22" s="28"/>
      <c r="M22" s="27"/>
      <c r="N22" s="27"/>
      <c r="O22" s="29" t="str">
        <f t="shared" si="0"/>
        <v/>
      </c>
    </row>
    <row r="23" spans="1:15" ht="22.15" customHeight="1" thickBot="1" x14ac:dyDescent="0.4">
      <c r="A23" s="72" t="s">
        <v>86</v>
      </c>
      <c r="B23" s="65"/>
      <c r="C23" s="65"/>
      <c r="D23" s="65"/>
      <c r="E23" s="65"/>
      <c r="F23" s="65"/>
      <c r="G23" s="22">
        <f>SUM(G13:G22)</f>
        <v>38</v>
      </c>
      <c r="H23" s="23"/>
      <c r="I23" s="23"/>
      <c r="J23" s="23"/>
      <c r="K23" s="23"/>
      <c r="L23" s="23"/>
      <c r="M23" s="22">
        <f>SUM(M13:M22)</f>
        <v>25100</v>
      </c>
      <c r="N23" s="22">
        <f>SUM(N13:N22)</f>
        <v>0</v>
      </c>
      <c r="O23" s="24">
        <f>SUM(O13:O22)</f>
        <v>0</v>
      </c>
    </row>
    <row r="24" spans="1:15" x14ac:dyDescent="0.35">
      <c r="A24" s="3"/>
      <c r="O24" s="4"/>
    </row>
    <row r="25" spans="1:15" ht="22.15" customHeight="1" x14ac:dyDescent="0.35">
      <c r="A25" s="67" t="s">
        <v>87</v>
      </c>
      <c r="B25" s="68"/>
      <c r="C25" s="6">
        <f>COUNTA(B13:B22)</f>
        <v>0</v>
      </c>
      <c r="D25" s="68" t="s">
        <v>88</v>
      </c>
      <c r="E25" s="68"/>
      <c r="F25" s="7">
        <f>SUM(G13:G22)</f>
        <v>38</v>
      </c>
      <c r="G25" s="68" t="s">
        <v>89</v>
      </c>
      <c r="H25" s="68"/>
      <c r="I25" s="7">
        <f>SUM(M13:M22)</f>
        <v>25100</v>
      </c>
      <c r="J25" s="68" t="s">
        <v>90</v>
      </c>
      <c r="K25" s="68"/>
      <c r="L25" s="7">
        <f>SUM(N13:N22)</f>
        <v>0</v>
      </c>
      <c r="M25" s="68" t="s">
        <v>91</v>
      </c>
      <c r="N25" s="68"/>
      <c r="O25" s="8">
        <f>SUM(O13:O22)</f>
        <v>0</v>
      </c>
    </row>
    <row r="26" spans="1:15" ht="15" thickBot="1" x14ac:dyDescent="0.4">
      <c r="A26" s="3"/>
      <c r="O26" s="4"/>
    </row>
    <row r="27" spans="1:15" ht="19.899999999999999" customHeight="1" thickBot="1" x14ac:dyDescent="0.4">
      <c r="A27" s="75" t="s">
        <v>92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7"/>
    </row>
    <row r="28" spans="1:15" ht="24" customHeight="1" thickBot="1" x14ac:dyDescent="0.4">
      <c r="A28" s="78" t="s">
        <v>93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7"/>
    </row>
    <row r="29" spans="1:15" ht="24" customHeight="1" thickBot="1" x14ac:dyDescent="0.4">
      <c r="A29" s="79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7"/>
    </row>
    <row r="30" spans="1:15" ht="15" thickBot="1" x14ac:dyDescent="0.4">
      <c r="A30" s="3"/>
      <c r="O30" s="4"/>
    </row>
    <row r="31" spans="1:15" ht="19.899999999999999" customHeight="1" thickBot="1" x14ac:dyDescent="0.4">
      <c r="A31" s="75" t="s">
        <v>94</v>
      </c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7"/>
    </row>
    <row r="32" spans="1:15" ht="22.15" customHeight="1" thickBot="1" x14ac:dyDescent="0.4">
      <c r="A32" s="80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2"/>
    </row>
    <row r="33" spans="1:15" ht="19.899999999999999" customHeight="1" x14ac:dyDescent="0.35">
      <c r="A33" s="89" t="s">
        <v>95</v>
      </c>
      <c r="B33" s="90"/>
      <c r="C33" s="90"/>
      <c r="D33" s="91" t="s">
        <v>96</v>
      </c>
      <c r="E33" s="90"/>
      <c r="F33" s="90"/>
      <c r="G33" s="91" t="s">
        <v>97</v>
      </c>
      <c r="H33" s="90"/>
      <c r="I33" s="90"/>
      <c r="J33" s="91" t="s">
        <v>98</v>
      </c>
      <c r="K33" s="90"/>
      <c r="L33" s="90"/>
      <c r="M33" s="91" t="s">
        <v>99</v>
      </c>
      <c r="N33" s="90"/>
      <c r="O33" s="92"/>
    </row>
    <row r="34" spans="1:15" ht="19.899999999999999" customHeight="1" x14ac:dyDescent="0.35">
      <c r="A34" s="9"/>
      <c r="B34" s="10"/>
      <c r="C34" s="10"/>
      <c r="D34" s="11"/>
      <c r="E34" s="10"/>
      <c r="F34" s="10"/>
      <c r="G34" s="11"/>
      <c r="H34" s="10"/>
      <c r="I34" s="10"/>
      <c r="J34" s="11"/>
      <c r="K34" s="10"/>
      <c r="L34" s="10"/>
      <c r="M34" s="11"/>
      <c r="N34" s="10"/>
      <c r="O34" s="12"/>
    </row>
    <row r="35" spans="1:15" ht="19.899999999999999" customHeight="1" x14ac:dyDescent="0.35">
      <c r="A35" s="9"/>
      <c r="B35" s="10"/>
      <c r="C35" s="10"/>
      <c r="D35" s="11"/>
      <c r="E35" s="10"/>
      <c r="F35" s="10"/>
      <c r="G35" s="11"/>
      <c r="H35" s="10"/>
      <c r="I35" s="10"/>
      <c r="J35" s="11"/>
      <c r="K35" s="10"/>
      <c r="L35" s="10"/>
      <c r="M35" s="11"/>
      <c r="N35" s="10"/>
      <c r="O35" s="12"/>
    </row>
    <row r="36" spans="1:15" ht="19.899999999999999" customHeight="1" thickBot="1" x14ac:dyDescent="0.4">
      <c r="A36" s="9"/>
      <c r="B36" s="10"/>
      <c r="C36" s="10"/>
      <c r="D36" s="11"/>
      <c r="E36" s="10"/>
      <c r="F36" s="10"/>
      <c r="G36" s="11"/>
      <c r="H36" s="10"/>
      <c r="I36" s="10"/>
      <c r="J36" s="11"/>
      <c r="K36" s="10"/>
      <c r="L36" s="10"/>
      <c r="M36" s="11"/>
      <c r="N36" s="10"/>
      <c r="O36" s="12"/>
    </row>
    <row r="37" spans="1:15" ht="18.5" x14ac:dyDescent="0.35">
      <c r="A37" s="93" t="s">
        <v>100</v>
      </c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5"/>
    </row>
    <row r="38" spans="1:15" ht="14.5" customHeight="1" x14ac:dyDescent="0.35">
      <c r="A38" s="83" t="s">
        <v>101</v>
      </c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5"/>
    </row>
    <row r="39" spans="1:15" ht="15" thickBot="1" x14ac:dyDescent="0.4">
      <c r="A39" s="86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8"/>
    </row>
  </sheetData>
  <mergeCells count="62">
    <mergeCell ref="A38:O39"/>
    <mergeCell ref="A33:C33"/>
    <mergeCell ref="D33:F33"/>
    <mergeCell ref="G33:I33"/>
    <mergeCell ref="J33:L33"/>
    <mergeCell ref="M33:O33"/>
    <mergeCell ref="A37:O37"/>
    <mergeCell ref="A28:O29"/>
    <mergeCell ref="A31:O31"/>
    <mergeCell ref="A32:C32"/>
    <mergeCell ref="D32:F32"/>
    <mergeCell ref="G32:I32"/>
    <mergeCell ref="J32:L32"/>
    <mergeCell ref="M32:O32"/>
    <mergeCell ref="A25:B25"/>
    <mergeCell ref="D25:E25"/>
    <mergeCell ref="G25:H25"/>
    <mergeCell ref="J25:K25"/>
    <mergeCell ref="A27:O27"/>
    <mergeCell ref="M25:N25"/>
    <mergeCell ref="K10:L10"/>
    <mergeCell ref="M10:N10"/>
    <mergeCell ref="A9:B9"/>
    <mergeCell ref="C9:D9"/>
    <mergeCell ref="E9:F9"/>
    <mergeCell ref="G9:H9"/>
    <mergeCell ref="I9:J9"/>
    <mergeCell ref="K9:L9"/>
    <mergeCell ref="A23:F23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M9:N9"/>
    <mergeCell ref="A10:B10"/>
    <mergeCell ref="C10:D10"/>
    <mergeCell ref="E10:F10"/>
    <mergeCell ref="G10:H10"/>
    <mergeCell ref="I10:J10"/>
    <mergeCell ref="A5:O5"/>
    <mergeCell ref="A6:B6"/>
    <mergeCell ref="C6:D6"/>
    <mergeCell ref="E6:F6"/>
    <mergeCell ref="G6:H6"/>
    <mergeCell ref="I6:J6"/>
    <mergeCell ref="K6:L6"/>
    <mergeCell ref="M6:N6"/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</mergeCells>
  <pageMargins left="0.7" right="0.7" top="0.75" bottom="0.75" header="0.3" footer="0.3"/>
  <pageSetup paperSize="9" scale="51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6D088-2E51-40B9-B9C1-04C1D5492579}">
  <sheetPr>
    <tabColor theme="7" tint="0.79998168889431442"/>
  </sheetPr>
  <dimension ref="A1:O39"/>
  <sheetViews>
    <sheetView showGridLines="0" view="pageBreakPreview" zoomScale="60" zoomScaleNormal="70" workbookViewId="0">
      <selection activeCell="U18" sqref="U18"/>
    </sheetView>
  </sheetViews>
  <sheetFormatPr defaultRowHeight="14.5" x14ac:dyDescent="0.35"/>
  <cols>
    <col min="1" max="1" width="8" style="1" customWidth="1"/>
    <col min="2" max="2" width="13" style="1" customWidth="1"/>
    <col min="3" max="3" width="11.7265625" style="1" bestFit="1" customWidth="1"/>
    <col min="4" max="4" width="30.26953125" style="1" bestFit="1" customWidth="1"/>
    <col min="5" max="5" width="15.08984375" style="1" bestFit="1" customWidth="1"/>
    <col min="6" max="6" width="6.54296875" style="1" bestFit="1" customWidth="1"/>
    <col min="7" max="8" width="8" style="1" customWidth="1"/>
    <col min="9" max="9" width="11.26953125" style="1" bestFit="1" customWidth="1"/>
    <col min="10" max="10" width="7.90625" style="1" customWidth="1"/>
    <col min="11" max="11" width="8.26953125" style="1" customWidth="1"/>
    <col min="12" max="12" width="8.36328125" style="1" customWidth="1"/>
    <col min="13" max="13" width="12" style="1" customWidth="1"/>
    <col min="14" max="14" width="13" style="1" customWidth="1"/>
    <col min="15" max="15" width="12" style="1" customWidth="1"/>
    <col min="16" max="16384" width="8.7265625" style="1"/>
  </cols>
  <sheetData>
    <row r="1" spans="1:15" ht="17.25" customHeight="1" x14ac:dyDescent="0.35">
      <c r="A1" s="34" t="e" vm="1">
        <v>#VALUE!</v>
      </c>
      <c r="B1" s="35"/>
      <c r="C1" s="36"/>
      <c r="D1" s="43" t="s">
        <v>45</v>
      </c>
      <c r="E1" s="44"/>
      <c r="F1" s="44"/>
      <c r="G1" s="44"/>
      <c r="H1" s="44"/>
      <c r="I1" s="44"/>
      <c r="J1" s="44"/>
      <c r="K1" s="45"/>
      <c r="L1" s="52" t="s">
        <v>46</v>
      </c>
      <c r="M1" s="53"/>
      <c r="N1" s="54">
        <v>46098</v>
      </c>
      <c r="O1" s="55"/>
    </row>
    <row r="2" spans="1:15" ht="18" customHeight="1" x14ac:dyDescent="0.35">
      <c r="A2" s="37"/>
      <c r="B2" s="38"/>
      <c r="C2" s="39"/>
      <c r="D2" s="46"/>
      <c r="E2" s="47"/>
      <c r="F2" s="47"/>
      <c r="G2" s="47"/>
      <c r="H2" s="47"/>
      <c r="I2" s="47"/>
      <c r="J2" s="47"/>
      <c r="K2" s="48"/>
      <c r="L2" s="56" t="s">
        <v>47</v>
      </c>
      <c r="M2" s="57"/>
      <c r="N2" s="58" t="s">
        <v>48</v>
      </c>
      <c r="O2" s="59"/>
    </row>
    <row r="3" spans="1:15" ht="16.5" customHeight="1" x14ac:dyDescent="0.35">
      <c r="A3" s="37"/>
      <c r="B3" s="38"/>
      <c r="C3" s="39"/>
      <c r="D3" s="46"/>
      <c r="E3" s="47"/>
      <c r="F3" s="47"/>
      <c r="G3" s="47"/>
      <c r="H3" s="47"/>
      <c r="I3" s="47"/>
      <c r="J3" s="47"/>
      <c r="K3" s="48"/>
      <c r="L3" s="56" t="s">
        <v>49</v>
      </c>
      <c r="M3" s="57"/>
      <c r="N3" s="58" t="s">
        <v>50</v>
      </c>
      <c r="O3" s="59"/>
    </row>
    <row r="4" spans="1:15" ht="15.75" customHeight="1" thickBot="1" x14ac:dyDescent="0.4">
      <c r="A4" s="40"/>
      <c r="B4" s="41"/>
      <c r="C4" s="42"/>
      <c r="D4" s="49"/>
      <c r="E4" s="50"/>
      <c r="F4" s="50"/>
      <c r="G4" s="50"/>
      <c r="H4" s="50"/>
      <c r="I4" s="50"/>
      <c r="J4" s="50"/>
      <c r="K4" s="51"/>
      <c r="L4" s="60" t="s">
        <v>51</v>
      </c>
      <c r="M4" s="61"/>
      <c r="N4" s="62" t="s">
        <v>52</v>
      </c>
      <c r="O4" s="63"/>
    </row>
    <row r="5" spans="1:15" ht="19.899999999999999" customHeight="1" thickBot="1" x14ac:dyDescent="0.4">
      <c r="A5" s="64" t="s">
        <v>53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6"/>
    </row>
    <row r="6" spans="1:15" ht="22.15" customHeight="1" x14ac:dyDescent="0.35">
      <c r="A6" s="67" t="s">
        <v>54</v>
      </c>
      <c r="B6" s="68"/>
      <c r="C6" s="69" t="s">
        <v>152</v>
      </c>
      <c r="D6" s="70"/>
      <c r="E6" s="68" t="s">
        <v>55</v>
      </c>
      <c r="F6" s="68"/>
      <c r="G6" s="71">
        <v>46119</v>
      </c>
      <c r="H6" s="70"/>
      <c r="I6" s="68" t="s">
        <v>56</v>
      </c>
      <c r="J6" s="68"/>
      <c r="K6" s="70" t="s">
        <v>151</v>
      </c>
      <c r="L6" s="70"/>
      <c r="M6" s="68" t="s">
        <v>57</v>
      </c>
      <c r="N6" s="68"/>
      <c r="O6" s="13" t="s">
        <v>103</v>
      </c>
    </row>
    <row r="7" spans="1:15" ht="22.15" customHeight="1" x14ac:dyDescent="0.35">
      <c r="A7" s="67" t="s">
        <v>58</v>
      </c>
      <c r="B7" s="68"/>
      <c r="C7" s="69" t="s">
        <v>100</v>
      </c>
      <c r="D7" s="70"/>
      <c r="E7" s="70"/>
      <c r="F7" s="70"/>
      <c r="G7" s="70"/>
      <c r="H7" s="70"/>
      <c r="I7" s="68" t="s">
        <v>59</v>
      </c>
      <c r="J7" s="68"/>
      <c r="K7" s="69" t="s">
        <v>102</v>
      </c>
      <c r="L7" s="70"/>
      <c r="M7" s="70"/>
      <c r="N7" s="70"/>
      <c r="O7" s="73"/>
    </row>
    <row r="8" spans="1:15" ht="22.15" customHeight="1" x14ac:dyDescent="0.35">
      <c r="A8" s="67" t="s">
        <v>60</v>
      </c>
      <c r="B8" s="68"/>
      <c r="C8" s="69" t="s">
        <v>102</v>
      </c>
      <c r="D8" s="70"/>
      <c r="E8" s="70"/>
      <c r="F8" s="70"/>
      <c r="G8" s="70"/>
      <c r="H8" s="70"/>
      <c r="I8" s="68" t="s">
        <v>61</v>
      </c>
      <c r="J8" s="68"/>
      <c r="K8" s="69" t="s">
        <v>106</v>
      </c>
      <c r="L8" s="70"/>
      <c r="M8" s="68" t="s">
        <v>62</v>
      </c>
      <c r="N8" s="68"/>
      <c r="O8" s="13" t="s">
        <v>105</v>
      </c>
    </row>
    <row r="9" spans="1:15" ht="22.15" customHeight="1" x14ac:dyDescent="0.35">
      <c r="A9" s="67" t="s">
        <v>63</v>
      </c>
      <c r="B9" s="68"/>
      <c r="C9" s="69" t="s">
        <v>104</v>
      </c>
      <c r="D9" s="70"/>
      <c r="E9" s="68" t="s">
        <v>64</v>
      </c>
      <c r="F9" s="68"/>
      <c r="G9" s="69" t="s">
        <v>105</v>
      </c>
      <c r="H9" s="70"/>
      <c r="I9" s="68" t="s">
        <v>65</v>
      </c>
      <c r="J9" s="68"/>
      <c r="K9" s="69" t="s">
        <v>107</v>
      </c>
      <c r="L9" s="70"/>
      <c r="M9" s="68" t="s">
        <v>66</v>
      </c>
      <c r="N9" s="68"/>
      <c r="O9" s="2">
        <v>46153</v>
      </c>
    </row>
    <row r="10" spans="1:15" ht="22.15" customHeight="1" x14ac:dyDescent="0.35">
      <c r="A10" s="67" t="s">
        <v>67</v>
      </c>
      <c r="B10" s="68"/>
      <c r="C10" s="74" t="s">
        <v>124</v>
      </c>
      <c r="D10" s="70"/>
      <c r="E10" s="68" t="s">
        <v>68</v>
      </c>
      <c r="F10" s="68"/>
      <c r="G10" s="70"/>
      <c r="H10" s="70"/>
      <c r="I10" s="68" t="s">
        <v>69</v>
      </c>
      <c r="J10" s="68"/>
      <c r="K10" s="70"/>
      <c r="L10" s="70"/>
      <c r="M10" s="68" t="s">
        <v>70</v>
      </c>
      <c r="N10" s="68"/>
      <c r="O10" s="13" t="s">
        <v>108</v>
      </c>
    </row>
    <row r="11" spans="1:15" ht="15" thickBot="1" x14ac:dyDescent="0.4">
      <c r="A11" s="3" t="s">
        <v>126</v>
      </c>
      <c r="O11" s="4"/>
    </row>
    <row r="12" spans="1:15" ht="34.15" customHeight="1" thickBot="1" x14ac:dyDescent="0.4">
      <c r="A12" s="5" t="s">
        <v>71</v>
      </c>
      <c r="B12" s="17" t="s">
        <v>72</v>
      </c>
      <c r="C12" s="17" t="s">
        <v>73</v>
      </c>
      <c r="D12" s="17" t="s">
        <v>74</v>
      </c>
      <c r="E12" s="17" t="s">
        <v>75</v>
      </c>
      <c r="F12" s="17" t="s">
        <v>76</v>
      </c>
      <c r="G12" s="17" t="s">
        <v>77</v>
      </c>
      <c r="H12" s="17" t="s">
        <v>78</v>
      </c>
      <c r="I12" s="17" t="s">
        <v>79</v>
      </c>
      <c r="J12" s="17" t="s">
        <v>80</v>
      </c>
      <c r="K12" s="17" t="s">
        <v>81</v>
      </c>
      <c r="L12" s="17" t="s">
        <v>82</v>
      </c>
      <c r="M12" s="17" t="s">
        <v>83</v>
      </c>
      <c r="N12" s="17" t="s">
        <v>84</v>
      </c>
      <c r="O12" s="21" t="s">
        <v>85</v>
      </c>
    </row>
    <row r="13" spans="1:15" ht="21" customHeight="1" x14ac:dyDescent="0.35">
      <c r="A13" s="20">
        <v>1</v>
      </c>
      <c r="B13" s="19"/>
      <c r="C13" s="18" t="s">
        <v>25</v>
      </c>
      <c r="D13" s="15" t="s">
        <v>136</v>
      </c>
      <c r="E13" s="15" t="s">
        <v>133</v>
      </c>
      <c r="F13" s="15" t="s">
        <v>106</v>
      </c>
      <c r="G13" s="15">
        <v>9</v>
      </c>
      <c r="H13" s="15" t="s">
        <v>109</v>
      </c>
      <c r="I13" s="15" t="s">
        <v>110</v>
      </c>
      <c r="J13" s="15">
        <v>6000</v>
      </c>
      <c r="K13" s="15">
        <v>1500</v>
      </c>
      <c r="L13" s="15">
        <v>8</v>
      </c>
      <c r="M13" s="15">
        <v>5079</v>
      </c>
      <c r="N13" s="30"/>
      <c r="O13" s="30"/>
    </row>
    <row r="14" spans="1:15" ht="21" customHeight="1" x14ac:dyDescent="0.35">
      <c r="A14" s="20">
        <v>2</v>
      </c>
      <c r="B14" s="19"/>
      <c r="C14" s="18" t="s">
        <v>26</v>
      </c>
      <c r="D14" s="15" t="s">
        <v>115</v>
      </c>
      <c r="E14" s="15" t="s">
        <v>132</v>
      </c>
      <c r="F14" s="15" t="s">
        <v>106</v>
      </c>
      <c r="G14" s="15">
        <v>4</v>
      </c>
      <c r="H14" s="15" t="s">
        <v>109</v>
      </c>
      <c r="I14" s="15" t="s">
        <v>110</v>
      </c>
      <c r="J14" s="15">
        <v>8000</v>
      </c>
      <c r="K14" s="15">
        <v>1500</v>
      </c>
      <c r="L14" s="15">
        <v>12</v>
      </c>
      <c r="M14" s="15">
        <v>4510</v>
      </c>
      <c r="N14" s="30"/>
      <c r="O14" s="30"/>
    </row>
    <row r="15" spans="1:15" ht="21" customHeight="1" x14ac:dyDescent="0.35">
      <c r="A15" s="20">
        <v>3</v>
      </c>
      <c r="B15" s="19"/>
      <c r="C15" s="18" t="s">
        <v>27</v>
      </c>
      <c r="D15" s="15" t="s">
        <v>116</v>
      </c>
      <c r="E15" s="15" t="s">
        <v>132</v>
      </c>
      <c r="F15" s="15" t="s">
        <v>106</v>
      </c>
      <c r="G15" s="15">
        <v>5</v>
      </c>
      <c r="H15" s="15" t="s">
        <v>109</v>
      </c>
      <c r="I15" s="15" t="s">
        <v>110</v>
      </c>
      <c r="J15" s="15">
        <v>6900</v>
      </c>
      <c r="K15" s="15">
        <v>1500</v>
      </c>
      <c r="L15" s="15">
        <v>12</v>
      </c>
      <c r="M15" s="15">
        <v>4877</v>
      </c>
      <c r="N15" s="30"/>
      <c r="O15" s="30"/>
    </row>
    <row r="16" spans="1:15" ht="21" customHeight="1" x14ac:dyDescent="0.35">
      <c r="A16" s="20">
        <v>4</v>
      </c>
      <c r="B16" s="19"/>
      <c r="C16" s="18" t="s">
        <v>28</v>
      </c>
      <c r="D16" s="15" t="s">
        <v>116</v>
      </c>
      <c r="E16" s="15" t="s">
        <v>132</v>
      </c>
      <c r="F16" s="15" t="s">
        <v>106</v>
      </c>
      <c r="G16" s="15">
        <v>5</v>
      </c>
      <c r="H16" s="15" t="s">
        <v>109</v>
      </c>
      <c r="I16" s="15" t="s">
        <v>110</v>
      </c>
      <c r="J16" s="15">
        <v>6900</v>
      </c>
      <c r="K16" s="15">
        <v>1500</v>
      </c>
      <c r="L16" s="15">
        <v>12</v>
      </c>
      <c r="M16" s="15">
        <v>4877</v>
      </c>
      <c r="N16" s="30"/>
      <c r="O16" s="30"/>
    </row>
    <row r="17" spans="1:15" ht="21" customHeight="1" x14ac:dyDescent="0.35">
      <c r="A17" s="20">
        <v>5</v>
      </c>
      <c r="B17" s="19"/>
      <c r="C17" s="18" t="s">
        <v>29</v>
      </c>
      <c r="D17" s="15" t="s">
        <v>115</v>
      </c>
      <c r="E17" s="15" t="s">
        <v>132</v>
      </c>
      <c r="F17" s="15" t="s">
        <v>106</v>
      </c>
      <c r="G17" s="15">
        <v>5</v>
      </c>
      <c r="H17" s="15" t="s">
        <v>109</v>
      </c>
      <c r="I17" s="15" t="s">
        <v>110</v>
      </c>
      <c r="J17" s="15">
        <v>8000</v>
      </c>
      <c r="K17" s="15">
        <v>1500</v>
      </c>
      <c r="L17" s="15">
        <v>12</v>
      </c>
      <c r="M17" s="15">
        <v>5697</v>
      </c>
      <c r="N17" s="30"/>
      <c r="O17" s="30"/>
    </row>
    <row r="18" spans="1:15" ht="21" customHeight="1" x14ac:dyDescent="0.35">
      <c r="A18" s="20">
        <v>6</v>
      </c>
      <c r="B18" s="26"/>
      <c r="C18" s="18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25"/>
      <c r="O18" s="25"/>
    </row>
    <row r="19" spans="1:15" ht="21" customHeight="1" x14ac:dyDescent="0.35">
      <c r="A19" s="20">
        <v>7</v>
      </c>
      <c r="B19" s="26"/>
      <c r="C19" s="26"/>
      <c r="D19" s="26"/>
      <c r="E19" s="26"/>
      <c r="F19" s="26"/>
      <c r="G19" s="27"/>
      <c r="H19" s="26"/>
      <c r="I19" s="26"/>
      <c r="J19" s="28"/>
      <c r="K19" s="28"/>
      <c r="L19" s="28"/>
      <c r="M19" s="27"/>
      <c r="N19" s="27"/>
      <c r="O19" s="29" t="str">
        <f t="shared" ref="O19:O22" si="0">IF(COUNTA(J19:L19)=3,J19*K19*L19/1000000,"")</f>
        <v/>
      </c>
    </row>
    <row r="20" spans="1:15" ht="21" customHeight="1" x14ac:dyDescent="0.35">
      <c r="A20" s="20">
        <v>8</v>
      </c>
      <c r="B20" s="26"/>
      <c r="C20" s="26"/>
      <c r="D20" s="26"/>
      <c r="E20" s="26"/>
      <c r="F20" s="26"/>
      <c r="G20" s="27"/>
      <c r="H20" s="26"/>
      <c r="I20" s="26"/>
      <c r="J20" s="28"/>
      <c r="K20" s="28"/>
      <c r="L20" s="28"/>
      <c r="M20" s="27"/>
      <c r="N20" s="27"/>
      <c r="O20" s="29" t="str">
        <f t="shared" si="0"/>
        <v/>
      </c>
    </row>
    <row r="21" spans="1:15" ht="21" customHeight="1" x14ac:dyDescent="0.35">
      <c r="A21" s="20">
        <v>9</v>
      </c>
      <c r="B21" s="26"/>
      <c r="C21" s="26"/>
      <c r="D21" s="26"/>
      <c r="E21" s="26"/>
      <c r="F21" s="26"/>
      <c r="G21" s="27"/>
      <c r="H21" s="26"/>
      <c r="I21" s="26"/>
      <c r="J21" s="28"/>
      <c r="K21" s="28"/>
      <c r="L21" s="28"/>
      <c r="M21" s="27"/>
      <c r="N21" s="27"/>
      <c r="O21" s="29" t="str">
        <f t="shared" si="0"/>
        <v/>
      </c>
    </row>
    <row r="22" spans="1:15" ht="21" customHeight="1" thickBot="1" x14ac:dyDescent="0.4">
      <c r="A22" s="20">
        <v>10</v>
      </c>
      <c r="B22" s="26"/>
      <c r="C22" s="26"/>
      <c r="D22" s="26"/>
      <c r="E22" s="26"/>
      <c r="F22" s="26"/>
      <c r="G22" s="27"/>
      <c r="H22" s="26"/>
      <c r="I22" s="26"/>
      <c r="J22" s="28"/>
      <c r="K22" s="28"/>
      <c r="L22" s="28"/>
      <c r="M22" s="27"/>
      <c r="N22" s="27"/>
      <c r="O22" s="29" t="str">
        <f t="shared" si="0"/>
        <v/>
      </c>
    </row>
    <row r="23" spans="1:15" ht="22.15" customHeight="1" thickBot="1" x14ac:dyDescent="0.4">
      <c r="A23" s="72" t="s">
        <v>86</v>
      </c>
      <c r="B23" s="65"/>
      <c r="C23" s="65"/>
      <c r="D23" s="65"/>
      <c r="E23" s="65"/>
      <c r="F23" s="65"/>
      <c r="G23" s="22">
        <f>SUM(G13:G22)</f>
        <v>28</v>
      </c>
      <c r="H23" s="23"/>
      <c r="I23" s="23"/>
      <c r="J23" s="23"/>
      <c r="K23" s="23"/>
      <c r="L23" s="23"/>
      <c r="M23" s="22">
        <f>SUM(M13:M22)</f>
        <v>25040</v>
      </c>
      <c r="N23" s="22">
        <f>SUM(N13:N22)</f>
        <v>0</v>
      </c>
      <c r="O23" s="24">
        <f>SUM(O13:O22)</f>
        <v>0</v>
      </c>
    </row>
    <row r="24" spans="1:15" x14ac:dyDescent="0.35">
      <c r="A24" s="3"/>
      <c r="O24" s="4"/>
    </row>
    <row r="25" spans="1:15" ht="22.15" customHeight="1" x14ac:dyDescent="0.35">
      <c r="A25" s="67" t="s">
        <v>87</v>
      </c>
      <c r="B25" s="68"/>
      <c r="C25" s="6">
        <f>COUNTA(B13:B22)</f>
        <v>0</v>
      </c>
      <c r="D25" s="68" t="s">
        <v>88</v>
      </c>
      <c r="E25" s="68"/>
      <c r="F25" s="7">
        <f>SUM(G13:G22)</f>
        <v>28</v>
      </c>
      <c r="G25" s="68" t="s">
        <v>89</v>
      </c>
      <c r="H25" s="68"/>
      <c r="I25" s="7">
        <f>SUM(M13:M22)</f>
        <v>25040</v>
      </c>
      <c r="J25" s="68" t="s">
        <v>90</v>
      </c>
      <c r="K25" s="68"/>
      <c r="L25" s="7">
        <f>SUM(N13:N22)</f>
        <v>0</v>
      </c>
      <c r="M25" s="68" t="s">
        <v>91</v>
      </c>
      <c r="N25" s="68"/>
      <c r="O25" s="8">
        <f>SUM(O13:O22)</f>
        <v>0</v>
      </c>
    </row>
    <row r="26" spans="1:15" ht="15" thickBot="1" x14ac:dyDescent="0.4">
      <c r="A26" s="3"/>
      <c r="O26" s="4"/>
    </row>
    <row r="27" spans="1:15" ht="19.899999999999999" customHeight="1" thickBot="1" x14ac:dyDescent="0.4">
      <c r="A27" s="75" t="s">
        <v>92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7"/>
    </row>
    <row r="28" spans="1:15" ht="24" customHeight="1" thickBot="1" x14ac:dyDescent="0.4">
      <c r="A28" s="78" t="s">
        <v>93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7"/>
    </row>
    <row r="29" spans="1:15" ht="24" customHeight="1" thickBot="1" x14ac:dyDescent="0.4">
      <c r="A29" s="79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7"/>
    </row>
    <row r="30" spans="1:15" ht="15" thickBot="1" x14ac:dyDescent="0.4">
      <c r="A30" s="3"/>
      <c r="O30" s="4"/>
    </row>
    <row r="31" spans="1:15" ht="19.899999999999999" customHeight="1" thickBot="1" x14ac:dyDescent="0.4">
      <c r="A31" s="75" t="s">
        <v>94</v>
      </c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7"/>
    </row>
    <row r="32" spans="1:15" ht="22.15" customHeight="1" thickBot="1" x14ac:dyDescent="0.4">
      <c r="A32" s="80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2"/>
    </row>
    <row r="33" spans="1:15" ht="19.899999999999999" customHeight="1" x14ac:dyDescent="0.35">
      <c r="A33" s="89" t="s">
        <v>95</v>
      </c>
      <c r="B33" s="90"/>
      <c r="C33" s="90"/>
      <c r="D33" s="91" t="s">
        <v>96</v>
      </c>
      <c r="E33" s="90"/>
      <c r="F33" s="90"/>
      <c r="G33" s="91" t="s">
        <v>97</v>
      </c>
      <c r="H33" s="90"/>
      <c r="I33" s="90"/>
      <c r="J33" s="91" t="s">
        <v>98</v>
      </c>
      <c r="K33" s="90"/>
      <c r="L33" s="90"/>
      <c r="M33" s="91" t="s">
        <v>99</v>
      </c>
      <c r="N33" s="90"/>
      <c r="O33" s="92"/>
    </row>
    <row r="34" spans="1:15" ht="19.899999999999999" customHeight="1" x14ac:dyDescent="0.35">
      <c r="A34" s="9"/>
      <c r="B34" s="10"/>
      <c r="C34" s="10"/>
      <c r="D34" s="11"/>
      <c r="E34" s="10"/>
      <c r="F34" s="10"/>
      <c r="G34" s="11"/>
      <c r="H34" s="10"/>
      <c r="I34" s="10"/>
      <c r="J34" s="11"/>
      <c r="K34" s="10"/>
      <c r="L34" s="10"/>
      <c r="M34" s="11"/>
      <c r="N34" s="10"/>
      <c r="O34" s="12"/>
    </row>
    <row r="35" spans="1:15" ht="19.899999999999999" customHeight="1" x14ac:dyDescent="0.35">
      <c r="A35" s="9"/>
      <c r="B35" s="10"/>
      <c r="C35" s="10"/>
      <c r="D35" s="11"/>
      <c r="E35" s="10"/>
      <c r="F35" s="10"/>
      <c r="G35" s="11"/>
      <c r="H35" s="10"/>
      <c r="I35" s="10"/>
      <c r="J35" s="11"/>
      <c r="K35" s="10"/>
      <c r="L35" s="10"/>
      <c r="M35" s="11"/>
      <c r="N35" s="10"/>
      <c r="O35" s="12"/>
    </row>
    <row r="36" spans="1:15" ht="19.899999999999999" customHeight="1" thickBot="1" x14ac:dyDescent="0.4">
      <c r="A36" s="9"/>
      <c r="B36" s="10"/>
      <c r="C36" s="10"/>
      <c r="D36" s="11"/>
      <c r="E36" s="10"/>
      <c r="F36" s="10"/>
      <c r="G36" s="11"/>
      <c r="H36" s="10"/>
      <c r="I36" s="10"/>
      <c r="J36" s="11"/>
      <c r="K36" s="10"/>
      <c r="L36" s="10"/>
      <c r="M36" s="11"/>
      <c r="N36" s="10"/>
      <c r="O36" s="12"/>
    </row>
    <row r="37" spans="1:15" ht="18.5" x14ac:dyDescent="0.35">
      <c r="A37" s="93" t="s">
        <v>100</v>
      </c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5"/>
    </row>
    <row r="38" spans="1:15" ht="14.5" customHeight="1" x14ac:dyDescent="0.35">
      <c r="A38" s="83" t="s">
        <v>101</v>
      </c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5"/>
    </row>
    <row r="39" spans="1:15" ht="15" thickBot="1" x14ac:dyDescent="0.4">
      <c r="A39" s="86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8"/>
    </row>
  </sheetData>
  <mergeCells count="62">
    <mergeCell ref="A38:O39"/>
    <mergeCell ref="A33:C33"/>
    <mergeCell ref="D33:F33"/>
    <mergeCell ref="G33:I33"/>
    <mergeCell ref="J33:L33"/>
    <mergeCell ref="M33:O33"/>
    <mergeCell ref="A37:O37"/>
    <mergeCell ref="A28:O29"/>
    <mergeCell ref="A31:O31"/>
    <mergeCell ref="A32:C32"/>
    <mergeCell ref="D32:F32"/>
    <mergeCell ref="G32:I32"/>
    <mergeCell ref="J32:L32"/>
    <mergeCell ref="M32:O32"/>
    <mergeCell ref="A25:B25"/>
    <mergeCell ref="D25:E25"/>
    <mergeCell ref="G25:H25"/>
    <mergeCell ref="J25:K25"/>
    <mergeCell ref="A27:O27"/>
    <mergeCell ref="M25:N25"/>
    <mergeCell ref="K10:L10"/>
    <mergeCell ref="M10:N10"/>
    <mergeCell ref="A9:B9"/>
    <mergeCell ref="C9:D9"/>
    <mergeCell ref="E9:F9"/>
    <mergeCell ref="G9:H9"/>
    <mergeCell ref="I9:J9"/>
    <mergeCell ref="K9:L9"/>
    <mergeCell ref="A23:F23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M9:N9"/>
    <mergeCell ref="A10:B10"/>
    <mergeCell ref="C10:D10"/>
    <mergeCell ref="E10:F10"/>
    <mergeCell ref="G10:H10"/>
    <mergeCell ref="I10:J10"/>
    <mergeCell ref="A5:O5"/>
    <mergeCell ref="A6:B6"/>
    <mergeCell ref="C6:D6"/>
    <mergeCell ref="E6:F6"/>
    <mergeCell ref="G6:H6"/>
    <mergeCell ref="I6:J6"/>
    <mergeCell ref="K6:L6"/>
    <mergeCell ref="M6:N6"/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</mergeCells>
  <pageMargins left="0.7" right="0.7" top="0.75" bottom="0.75" header="0.3" footer="0.3"/>
  <pageSetup paperSize="9" scale="48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01711-E59F-4678-A42D-12ACB5B3D2E5}">
  <sheetPr>
    <tabColor theme="7" tint="0.79998168889431442"/>
  </sheetPr>
  <dimension ref="A1:O39"/>
  <sheetViews>
    <sheetView showGridLines="0" view="pageBreakPreview" zoomScale="60" zoomScaleNormal="70" workbookViewId="0">
      <selection activeCell="K6" sqref="K6:L6"/>
    </sheetView>
  </sheetViews>
  <sheetFormatPr defaultRowHeight="14.5" x14ac:dyDescent="0.35"/>
  <cols>
    <col min="1" max="1" width="8" style="1" customWidth="1"/>
    <col min="2" max="2" width="13" style="1" customWidth="1"/>
    <col min="3" max="3" width="11.7265625" style="1" bestFit="1" customWidth="1"/>
    <col min="4" max="4" width="29.1796875" style="1" bestFit="1" customWidth="1"/>
    <col min="5" max="5" width="15.08984375" style="1" bestFit="1" customWidth="1"/>
    <col min="6" max="6" width="6.54296875" style="1" bestFit="1" customWidth="1"/>
    <col min="7" max="8" width="8" style="1" customWidth="1"/>
    <col min="9" max="9" width="11.26953125" style="1" bestFit="1" customWidth="1"/>
    <col min="10" max="10" width="7.90625" style="1" customWidth="1"/>
    <col min="11" max="11" width="8.26953125" style="1" customWidth="1"/>
    <col min="12" max="12" width="8.36328125" style="1" customWidth="1"/>
    <col min="13" max="13" width="12" style="1" customWidth="1"/>
    <col min="14" max="14" width="13" style="1" customWidth="1"/>
    <col min="15" max="15" width="12" style="1" customWidth="1"/>
    <col min="16" max="16384" width="8.7265625" style="1"/>
  </cols>
  <sheetData>
    <row r="1" spans="1:15" ht="17.25" customHeight="1" x14ac:dyDescent="0.35">
      <c r="A1" s="34" t="e" vm="1">
        <v>#VALUE!</v>
      </c>
      <c r="B1" s="35"/>
      <c r="C1" s="36"/>
      <c r="D1" s="43" t="s">
        <v>45</v>
      </c>
      <c r="E1" s="44"/>
      <c r="F1" s="44"/>
      <c r="G1" s="44"/>
      <c r="H1" s="44"/>
      <c r="I1" s="44"/>
      <c r="J1" s="44"/>
      <c r="K1" s="45"/>
      <c r="L1" s="52" t="s">
        <v>46</v>
      </c>
      <c r="M1" s="53"/>
      <c r="N1" s="54">
        <v>46098</v>
      </c>
      <c r="O1" s="55"/>
    </row>
    <row r="2" spans="1:15" ht="18" customHeight="1" x14ac:dyDescent="0.35">
      <c r="A2" s="37"/>
      <c r="B2" s="38"/>
      <c r="C2" s="39"/>
      <c r="D2" s="46"/>
      <c r="E2" s="47"/>
      <c r="F2" s="47"/>
      <c r="G2" s="47"/>
      <c r="H2" s="47"/>
      <c r="I2" s="47"/>
      <c r="J2" s="47"/>
      <c r="K2" s="48"/>
      <c r="L2" s="56" t="s">
        <v>47</v>
      </c>
      <c r="M2" s="57"/>
      <c r="N2" s="58" t="s">
        <v>48</v>
      </c>
      <c r="O2" s="59"/>
    </row>
    <row r="3" spans="1:15" ht="16.5" customHeight="1" x14ac:dyDescent="0.35">
      <c r="A3" s="37"/>
      <c r="B3" s="38"/>
      <c r="C3" s="39"/>
      <c r="D3" s="46"/>
      <c r="E3" s="47"/>
      <c r="F3" s="47"/>
      <c r="G3" s="47"/>
      <c r="H3" s="47"/>
      <c r="I3" s="47"/>
      <c r="J3" s="47"/>
      <c r="K3" s="48"/>
      <c r="L3" s="56" t="s">
        <v>49</v>
      </c>
      <c r="M3" s="57"/>
      <c r="N3" s="58" t="s">
        <v>50</v>
      </c>
      <c r="O3" s="59"/>
    </row>
    <row r="4" spans="1:15" ht="15.75" customHeight="1" thickBot="1" x14ac:dyDescent="0.4">
      <c r="A4" s="40"/>
      <c r="B4" s="41"/>
      <c r="C4" s="42"/>
      <c r="D4" s="49"/>
      <c r="E4" s="50"/>
      <c r="F4" s="50"/>
      <c r="G4" s="50"/>
      <c r="H4" s="50"/>
      <c r="I4" s="50"/>
      <c r="J4" s="50"/>
      <c r="K4" s="51"/>
      <c r="L4" s="60" t="s">
        <v>51</v>
      </c>
      <c r="M4" s="61"/>
      <c r="N4" s="62" t="s">
        <v>52</v>
      </c>
      <c r="O4" s="63"/>
    </row>
    <row r="5" spans="1:15" ht="19.899999999999999" customHeight="1" thickBot="1" x14ac:dyDescent="0.4">
      <c r="A5" s="64" t="s">
        <v>53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6"/>
    </row>
    <row r="6" spans="1:15" ht="22.15" customHeight="1" x14ac:dyDescent="0.35">
      <c r="A6" s="67" t="s">
        <v>54</v>
      </c>
      <c r="B6" s="68"/>
      <c r="C6" s="69" t="s">
        <v>152</v>
      </c>
      <c r="D6" s="70"/>
      <c r="E6" s="68" t="s">
        <v>55</v>
      </c>
      <c r="F6" s="68"/>
      <c r="G6" s="71">
        <v>46119</v>
      </c>
      <c r="H6" s="70"/>
      <c r="I6" s="68" t="s">
        <v>56</v>
      </c>
      <c r="J6" s="68"/>
      <c r="K6" s="70" t="s">
        <v>151</v>
      </c>
      <c r="L6" s="70"/>
      <c r="M6" s="68" t="s">
        <v>57</v>
      </c>
      <c r="N6" s="68"/>
      <c r="O6" s="13" t="s">
        <v>103</v>
      </c>
    </row>
    <row r="7" spans="1:15" ht="22.15" customHeight="1" x14ac:dyDescent="0.35">
      <c r="A7" s="67" t="s">
        <v>58</v>
      </c>
      <c r="B7" s="68"/>
      <c r="C7" s="69" t="s">
        <v>100</v>
      </c>
      <c r="D7" s="70"/>
      <c r="E7" s="70"/>
      <c r="F7" s="70"/>
      <c r="G7" s="70"/>
      <c r="H7" s="70"/>
      <c r="I7" s="68" t="s">
        <v>59</v>
      </c>
      <c r="J7" s="68"/>
      <c r="K7" s="69" t="s">
        <v>102</v>
      </c>
      <c r="L7" s="70"/>
      <c r="M7" s="70"/>
      <c r="N7" s="70"/>
      <c r="O7" s="73"/>
    </row>
    <row r="8" spans="1:15" ht="22.15" customHeight="1" x14ac:dyDescent="0.35">
      <c r="A8" s="67" t="s">
        <v>60</v>
      </c>
      <c r="B8" s="68"/>
      <c r="C8" s="69" t="s">
        <v>102</v>
      </c>
      <c r="D8" s="70"/>
      <c r="E8" s="70"/>
      <c r="F8" s="70"/>
      <c r="G8" s="70"/>
      <c r="H8" s="70"/>
      <c r="I8" s="68" t="s">
        <v>61</v>
      </c>
      <c r="J8" s="68"/>
      <c r="K8" s="69" t="s">
        <v>106</v>
      </c>
      <c r="L8" s="70"/>
      <c r="M8" s="68" t="s">
        <v>62</v>
      </c>
      <c r="N8" s="68"/>
      <c r="O8" s="13" t="s">
        <v>105</v>
      </c>
    </row>
    <row r="9" spans="1:15" ht="22.15" customHeight="1" x14ac:dyDescent="0.35">
      <c r="A9" s="67" t="s">
        <v>63</v>
      </c>
      <c r="B9" s="68"/>
      <c r="C9" s="69" t="s">
        <v>104</v>
      </c>
      <c r="D9" s="70"/>
      <c r="E9" s="68" t="s">
        <v>64</v>
      </c>
      <c r="F9" s="68"/>
      <c r="G9" s="69" t="s">
        <v>105</v>
      </c>
      <c r="H9" s="70"/>
      <c r="I9" s="68" t="s">
        <v>65</v>
      </c>
      <c r="J9" s="68"/>
      <c r="K9" s="69" t="s">
        <v>107</v>
      </c>
      <c r="L9" s="70"/>
      <c r="M9" s="68" t="s">
        <v>66</v>
      </c>
      <c r="N9" s="68"/>
      <c r="O9" s="2">
        <v>46153</v>
      </c>
    </row>
    <row r="10" spans="1:15" ht="22.15" customHeight="1" x14ac:dyDescent="0.35">
      <c r="A10" s="67" t="s">
        <v>67</v>
      </c>
      <c r="B10" s="68"/>
      <c r="C10" s="74" t="s">
        <v>128</v>
      </c>
      <c r="D10" s="70"/>
      <c r="E10" s="68" t="s">
        <v>68</v>
      </c>
      <c r="F10" s="68"/>
      <c r="G10" s="70"/>
      <c r="H10" s="70"/>
      <c r="I10" s="68" t="s">
        <v>69</v>
      </c>
      <c r="J10" s="68"/>
      <c r="K10" s="70"/>
      <c r="L10" s="70"/>
      <c r="M10" s="68" t="s">
        <v>70</v>
      </c>
      <c r="N10" s="68"/>
      <c r="O10" s="13" t="s">
        <v>108</v>
      </c>
    </row>
    <row r="11" spans="1:15" ht="15" thickBot="1" x14ac:dyDescent="0.4">
      <c r="A11" s="3" t="s">
        <v>145</v>
      </c>
      <c r="O11" s="4"/>
    </row>
    <row r="12" spans="1:15" ht="34.15" customHeight="1" thickBot="1" x14ac:dyDescent="0.4">
      <c r="A12" s="5" t="s">
        <v>71</v>
      </c>
      <c r="B12" s="17" t="s">
        <v>72</v>
      </c>
      <c r="C12" s="17" t="s">
        <v>73</v>
      </c>
      <c r="D12" s="17" t="s">
        <v>74</v>
      </c>
      <c r="E12" s="17" t="s">
        <v>75</v>
      </c>
      <c r="F12" s="17" t="s">
        <v>76</v>
      </c>
      <c r="G12" s="17" t="s">
        <v>77</v>
      </c>
      <c r="H12" s="17" t="s">
        <v>78</v>
      </c>
      <c r="I12" s="17" t="s">
        <v>79</v>
      </c>
      <c r="J12" s="17" t="s">
        <v>80</v>
      </c>
      <c r="K12" s="17" t="s">
        <v>81</v>
      </c>
      <c r="L12" s="17" t="s">
        <v>82</v>
      </c>
      <c r="M12" s="17" t="s">
        <v>83</v>
      </c>
      <c r="N12" s="17" t="s">
        <v>84</v>
      </c>
      <c r="O12" s="21" t="s">
        <v>85</v>
      </c>
    </row>
    <row r="13" spans="1:15" ht="21" customHeight="1" x14ac:dyDescent="0.35">
      <c r="A13" s="20">
        <v>1</v>
      </c>
      <c r="B13" s="19"/>
      <c r="C13" s="18" t="s">
        <v>30</v>
      </c>
      <c r="D13" s="15" t="s">
        <v>117</v>
      </c>
      <c r="E13" s="15" t="s">
        <v>133</v>
      </c>
      <c r="F13" s="15" t="s">
        <v>106</v>
      </c>
      <c r="G13" s="15">
        <v>17</v>
      </c>
      <c r="H13" s="15" t="s">
        <v>109</v>
      </c>
      <c r="I13" s="15" t="s">
        <v>110</v>
      </c>
      <c r="J13" s="15">
        <v>8000</v>
      </c>
      <c r="K13" s="15">
        <v>1500</v>
      </c>
      <c r="L13" s="15">
        <v>3</v>
      </c>
      <c r="M13" s="15">
        <v>4790</v>
      </c>
      <c r="N13" s="30"/>
      <c r="O13" s="30"/>
    </row>
    <row r="14" spans="1:15" ht="21" customHeight="1" x14ac:dyDescent="0.35">
      <c r="A14" s="20">
        <v>2</v>
      </c>
      <c r="B14" s="19"/>
      <c r="C14" s="18" t="s">
        <v>31</v>
      </c>
      <c r="D14" s="15" t="s">
        <v>114</v>
      </c>
      <c r="E14" s="15" t="s">
        <v>133</v>
      </c>
      <c r="F14" s="15" t="s">
        <v>106</v>
      </c>
      <c r="G14" s="15">
        <v>14</v>
      </c>
      <c r="H14" s="15" t="s">
        <v>109</v>
      </c>
      <c r="I14" s="15" t="s">
        <v>110</v>
      </c>
      <c r="J14" s="15">
        <v>8000</v>
      </c>
      <c r="K14" s="15">
        <v>1500</v>
      </c>
      <c r="L14" s="15">
        <v>4</v>
      </c>
      <c r="M14" s="15">
        <v>5320</v>
      </c>
      <c r="N14" s="30"/>
      <c r="O14" s="30"/>
    </row>
    <row r="15" spans="1:15" ht="21" customHeight="1" x14ac:dyDescent="0.35">
      <c r="A15" s="20">
        <v>3</v>
      </c>
      <c r="B15" s="19"/>
      <c r="C15" s="18" t="s">
        <v>32</v>
      </c>
      <c r="D15" s="15" t="s">
        <v>111</v>
      </c>
      <c r="E15" s="15" t="s">
        <v>133</v>
      </c>
      <c r="F15" s="15" t="s">
        <v>106</v>
      </c>
      <c r="G15" s="15">
        <v>10</v>
      </c>
      <c r="H15" s="15" t="s">
        <v>109</v>
      </c>
      <c r="I15" s="15" t="s">
        <v>110</v>
      </c>
      <c r="J15" s="15">
        <v>6900</v>
      </c>
      <c r="K15" s="15">
        <v>1500</v>
      </c>
      <c r="L15" s="15">
        <v>6</v>
      </c>
      <c r="M15" s="15">
        <v>4940</v>
      </c>
      <c r="N15" s="30"/>
      <c r="O15" s="30"/>
    </row>
    <row r="16" spans="1:15" ht="21" customHeight="1" x14ac:dyDescent="0.35">
      <c r="A16" s="20">
        <v>4</v>
      </c>
      <c r="B16" s="19"/>
      <c r="C16" s="18" t="s">
        <v>33</v>
      </c>
      <c r="D16" s="15" t="s">
        <v>111</v>
      </c>
      <c r="E16" s="15" t="s">
        <v>133</v>
      </c>
      <c r="F16" s="15" t="s">
        <v>106</v>
      </c>
      <c r="G16" s="15">
        <v>10</v>
      </c>
      <c r="H16" s="15" t="s">
        <v>109</v>
      </c>
      <c r="I16" s="15" t="s">
        <v>110</v>
      </c>
      <c r="J16" s="15">
        <v>6900</v>
      </c>
      <c r="K16" s="15">
        <v>1500</v>
      </c>
      <c r="L16" s="15">
        <v>6</v>
      </c>
      <c r="M16" s="15">
        <v>4930</v>
      </c>
      <c r="N16" s="30"/>
      <c r="O16" s="30"/>
    </row>
    <row r="17" spans="1:15" ht="21" customHeight="1" x14ac:dyDescent="0.35">
      <c r="A17" s="20">
        <v>5</v>
      </c>
      <c r="B17" s="19"/>
      <c r="C17" s="18" t="s">
        <v>34</v>
      </c>
      <c r="D17" s="15" t="s">
        <v>112</v>
      </c>
      <c r="E17" s="15" t="s">
        <v>133</v>
      </c>
      <c r="F17" s="15" t="s">
        <v>106</v>
      </c>
      <c r="G17" s="15">
        <v>8</v>
      </c>
      <c r="H17" s="15" t="s">
        <v>109</v>
      </c>
      <c r="I17" s="15" t="s">
        <v>110</v>
      </c>
      <c r="J17" s="15">
        <v>6900</v>
      </c>
      <c r="K17" s="15">
        <v>1500</v>
      </c>
      <c r="L17" s="15">
        <v>8</v>
      </c>
      <c r="M17" s="15">
        <v>5240</v>
      </c>
      <c r="N17" s="30"/>
      <c r="O17" s="30"/>
    </row>
    <row r="18" spans="1:15" ht="21" customHeight="1" x14ac:dyDescent="0.35">
      <c r="A18" s="20">
        <v>6</v>
      </c>
      <c r="B18" s="26"/>
      <c r="C18" s="18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25"/>
      <c r="O18" s="25"/>
    </row>
    <row r="19" spans="1:15" ht="21" customHeight="1" x14ac:dyDescent="0.35">
      <c r="A19" s="20">
        <v>7</v>
      </c>
      <c r="B19" s="26"/>
      <c r="C19" s="26"/>
      <c r="D19" s="26"/>
      <c r="E19" s="26"/>
      <c r="F19" s="26"/>
      <c r="G19" s="27"/>
      <c r="H19" s="26"/>
      <c r="I19" s="26"/>
      <c r="J19" s="28"/>
      <c r="K19" s="28"/>
      <c r="L19" s="28"/>
      <c r="M19" s="27"/>
      <c r="N19" s="27"/>
      <c r="O19" s="29" t="str">
        <f t="shared" ref="O19:O22" si="0">IF(COUNTA(J19:L19)=3,J19*K19*L19/1000000,"")</f>
        <v/>
      </c>
    </row>
    <row r="20" spans="1:15" ht="21" customHeight="1" x14ac:dyDescent="0.35">
      <c r="A20" s="20">
        <v>8</v>
      </c>
      <c r="B20" s="26"/>
      <c r="C20" s="26"/>
      <c r="D20" s="26"/>
      <c r="E20" s="26"/>
      <c r="F20" s="26"/>
      <c r="G20" s="27"/>
      <c r="H20" s="26"/>
      <c r="I20" s="26"/>
      <c r="J20" s="28"/>
      <c r="K20" s="28"/>
      <c r="L20" s="28"/>
      <c r="M20" s="27"/>
      <c r="N20" s="27"/>
      <c r="O20" s="29" t="str">
        <f t="shared" si="0"/>
        <v/>
      </c>
    </row>
    <row r="21" spans="1:15" ht="21" customHeight="1" x14ac:dyDescent="0.35">
      <c r="A21" s="20">
        <v>9</v>
      </c>
      <c r="B21" s="26"/>
      <c r="C21" s="26"/>
      <c r="D21" s="26"/>
      <c r="E21" s="26"/>
      <c r="F21" s="26"/>
      <c r="G21" s="27"/>
      <c r="H21" s="26"/>
      <c r="I21" s="26"/>
      <c r="J21" s="28"/>
      <c r="K21" s="28"/>
      <c r="L21" s="28"/>
      <c r="M21" s="27"/>
      <c r="N21" s="27"/>
      <c r="O21" s="29" t="str">
        <f t="shared" si="0"/>
        <v/>
      </c>
    </row>
    <row r="22" spans="1:15" ht="21" customHeight="1" thickBot="1" x14ac:dyDescent="0.4">
      <c r="A22" s="20">
        <v>10</v>
      </c>
      <c r="B22" s="26"/>
      <c r="C22" s="26"/>
      <c r="D22" s="26"/>
      <c r="E22" s="26"/>
      <c r="F22" s="26"/>
      <c r="G22" s="27"/>
      <c r="H22" s="26"/>
      <c r="I22" s="26"/>
      <c r="J22" s="28"/>
      <c r="K22" s="28"/>
      <c r="L22" s="28"/>
      <c r="M22" s="27"/>
      <c r="N22" s="27"/>
      <c r="O22" s="29" t="str">
        <f t="shared" si="0"/>
        <v/>
      </c>
    </row>
    <row r="23" spans="1:15" ht="22.15" customHeight="1" thickBot="1" x14ac:dyDescent="0.4">
      <c r="A23" s="72" t="s">
        <v>86</v>
      </c>
      <c r="B23" s="65"/>
      <c r="C23" s="65"/>
      <c r="D23" s="65"/>
      <c r="E23" s="65"/>
      <c r="F23" s="65"/>
      <c r="G23" s="22">
        <f>SUM(G13:G22)</f>
        <v>59</v>
      </c>
      <c r="H23" s="23"/>
      <c r="I23" s="23"/>
      <c r="J23" s="23"/>
      <c r="K23" s="23"/>
      <c r="L23" s="23"/>
      <c r="M23" s="22">
        <f>SUM(M13:M22)</f>
        <v>25220</v>
      </c>
      <c r="N23" s="22">
        <f>SUM(N13:N22)</f>
        <v>0</v>
      </c>
      <c r="O23" s="24">
        <f>SUM(O13:O22)</f>
        <v>0</v>
      </c>
    </row>
    <row r="24" spans="1:15" x14ac:dyDescent="0.35">
      <c r="A24" s="3"/>
      <c r="O24" s="4"/>
    </row>
    <row r="25" spans="1:15" ht="22.15" customHeight="1" x14ac:dyDescent="0.35">
      <c r="A25" s="67" t="s">
        <v>87</v>
      </c>
      <c r="B25" s="68"/>
      <c r="C25" s="6">
        <f>COUNTA(B13:B22)</f>
        <v>0</v>
      </c>
      <c r="D25" s="68" t="s">
        <v>88</v>
      </c>
      <c r="E25" s="68"/>
      <c r="F25" s="7">
        <f>SUM(G13:G22)</f>
        <v>59</v>
      </c>
      <c r="G25" s="68" t="s">
        <v>89</v>
      </c>
      <c r="H25" s="68"/>
      <c r="I25" s="7">
        <f>SUM(M13:M22)</f>
        <v>25220</v>
      </c>
      <c r="J25" s="68" t="s">
        <v>90</v>
      </c>
      <c r="K25" s="68"/>
      <c r="L25" s="7">
        <f>SUM(N13:N22)</f>
        <v>0</v>
      </c>
      <c r="M25" s="68" t="s">
        <v>91</v>
      </c>
      <c r="N25" s="68"/>
      <c r="O25" s="8">
        <f>SUM(O13:O22)</f>
        <v>0</v>
      </c>
    </row>
    <row r="26" spans="1:15" ht="15" thickBot="1" x14ac:dyDescent="0.4">
      <c r="A26" s="3"/>
      <c r="O26" s="4"/>
    </row>
    <row r="27" spans="1:15" ht="19.899999999999999" customHeight="1" thickBot="1" x14ac:dyDescent="0.4">
      <c r="A27" s="75" t="s">
        <v>92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7"/>
    </row>
    <row r="28" spans="1:15" ht="24" customHeight="1" thickBot="1" x14ac:dyDescent="0.4">
      <c r="A28" s="78" t="s">
        <v>93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7"/>
    </row>
    <row r="29" spans="1:15" ht="24" customHeight="1" thickBot="1" x14ac:dyDescent="0.4">
      <c r="A29" s="79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7"/>
    </row>
    <row r="30" spans="1:15" ht="15" thickBot="1" x14ac:dyDescent="0.4">
      <c r="A30" s="3"/>
      <c r="O30" s="4"/>
    </row>
    <row r="31" spans="1:15" ht="19.899999999999999" customHeight="1" thickBot="1" x14ac:dyDescent="0.4">
      <c r="A31" s="75" t="s">
        <v>94</v>
      </c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7"/>
    </row>
    <row r="32" spans="1:15" ht="22.15" customHeight="1" thickBot="1" x14ac:dyDescent="0.4">
      <c r="A32" s="80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2"/>
    </row>
    <row r="33" spans="1:15" ht="19.899999999999999" customHeight="1" x14ac:dyDescent="0.35">
      <c r="A33" s="89" t="s">
        <v>95</v>
      </c>
      <c r="B33" s="90"/>
      <c r="C33" s="90"/>
      <c r="D33" s="91" t="s">
        <v>96</v>
      </c>
      <c r="E33" s="90"/>
      <c r="F33" s="90"/>
      <c r="G33" s="91" t="s">
        <v>97</v>
      </c>
      <c r="H33" s="90"/>
      <c r="I33" s="90"/>
      <c r="J33" s="91" t="s">
        <v>98</v>
      </c>
      <c r="K33" s="90"/>
      <c r="L33" s="90"/>
      <c r="M33" s="91" t="s">
        <v>99</v>
      </c>
      <c r="N33" s="90"/>
      <c r="O33" s="92"/>
    </row>
    <row r="34" spans="1:15" ht="19.899999999999999" customHeight="1" x14ac:dyDescent="0.35">
      <c r="A34" s="9"/>
      <c r="B34" s="10"/>
      <c r="C34" s="10"/>
      <c r="D34" s="11"/>
      <c r="E34" s="10"/>
      <c r="F34" s="10"/>
      <c r="G34" s="11"/>
      <c r="H34" s="10"/>
      <c r="I34" s="10"/>
      <c r="J34" s="11"/>
      <c r="K34" s="10"/>
      <c r="L34" s="10"/>
      <c r="M34" s="11"/>
      <c r="N34" s="10"/>
      <c r="O34" s="12"/>
    </row>
    <row r="35" spans="1:15" ht="19.899999999999999" customHeight="1" x14ac:dyDescent="0.35">
      <c r="A35" s="9"/>
      <c r="B35" s="10"/>
      <c r="C35" s="10"/>
      <c r="D35" s="11"/>
      <c r="E35" s="10"/>
      <c r="F35" s="10"/>
      <c r="G35" s="11"/>
      <c r="H35" s="10"/>
      <c r="I35" s="10"/>
      <c r="J35" s="11"/>
      <c r="K35" s="10"/>
      <c r="L35" s="10"/>
      <c r="M35" s="11"/>
      <c r="N35" s="10"/>
      <c r="O35" s="12"/>
    </row>
    <row r="36" spans="1:15" ht="19.899999999999999" customHeight="1" thickBot="1" x14ac:dyDescent="0.4">
      <c r="A36" s="9"/>
      <c r="B36" s="10"/>
      <c r="C36" s="10"/>
      <c r="D36" s="11"/>
      <c r="E36" s="10"/>
      <c r="F36" s="10"/>
      <c r="G36" s="11"/>
      <c r="H36" s="10"/>
      <c r="I36" s="10"/>
      <c r="J36" s="11"/>
      <c r="K36" s="10"/>
      <c r="L36" s="10"/>
      <c r="M36" s="11"/>
      <c r="N36" s="10"/>
      <c r="O36" s="12"/>
    </row>
    <row r="37" spans="1:15" ht="18.5" x14ac:dyDescent="0.35">
      <c r="A37" s="93" t="s">
        <v>100</v>
      </c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5"/>
    </row>
    <row r="38" spans="1:15" ht="14.5" customHeight="1" x14ac:dyDescent="0.35">
      <c r="A38" s="83" t="s">
        <v>101</v>
      </c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5"/>
    </row>
    <row r="39" spans="1:15" ht="15" thickBot="1" x14ac:dyDescent="0.4">
      <c r="A39" s="86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8"/>
    </row>
  </sheetData>
  <mergeCells count="62">
    <mergeCell ref="A38:O39"/>
    <mergeCell ref="A33:C33"/>
    <mergeCell ref="D33:F33"/>
    <mergeCell ref="G33:I33"/>
    <mergeCell ref="J33:L33"/>
    <mergeCell ref="M33:O33"/>
    <mergeCell ref="A37:O37"/>
    <mergeCell ref="A28:O29"/>
    <mergeCell ref="A31:O31"/>
    <mergeCell ref="A32:C32"/>
    <mergeCell ref="D32:F32"/>
    <mergeCell ref="G32:I32"/>
    <mergeCell ref="J32:L32"/>
    <mergeCell ref="M32:O32"/>
    <mergeCell ref="A25:B25"/>
    <mergeCell ref="D25:E25"/>
    <mergeCell ref="G25:H25"/>
    <mergeCell ref="J25:K25"/>
    <mergeCell ref="A27:O27"/>
    <mergeCell ref="M25:N25"/>
    <mergeCell ref="K10:L10"/>
    <mergeCell ref="M10:N10"/>
    <mergeCell ref="A9:B9"/>
    <mergeCell ref="C9:D9"/>
    <mergeCell ref="E9:F9"/>
    <mergeCell ref="G9:H9"/>
    <mergeCell ref="I9:J9"/>
    <mergeCell ref="K9:L9"/>
    <mergeCell ref="A23:F23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M9:N9"/>
    <mergeCell ref="A10:B10"/>
    <mergeCell ref="C10:D10"/>
    <mergeCell ref="E10:F10"/>
    <mergeCell ref="G10:H10"/>
    <mergeCell ref="I10:J10"/>
    <mergeCell ref="A5:O5"/>
    <mergeCell ref="A6:B6"/>
    <mergeCell ref="C6:D6"/>
    <mergeCell ref="E6:F6"/>
    <mergeCell ref="G6:H6"/>
    <mergeCell ref="I6:J6"/>
    <mergeCell ref="K6:L6"/>
    <mergeCell ref="M6:N6"/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</mergeCells>
  <pageMargins left="0.7" right="0.7" top="0.75" bottom="0.75" header="0.3" footer="0.3"/>
  <pageSetup paperSize="9" scale="48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ED3F2-D0F1-4AA7-A55F-8644D23F3CD1}">
  <sheetPr>
    <tabColor theme="7" tint="0.79998168889431442"/>
  </sheetPr>
  <dimension ref="A1:O39"/>
  <sheetViews>
    <sheetView showGridLines="0" view="pageBreakPreview" zoomScale="60" zoomScaleNormal="70" workbookViewId="0">
      <selection activeCell="K6" sqref="K6:L6"/>
    </sheetView>
  </sheetViews>
  <sheetFormatPr defaultRowHeight="14.5" x14ac:dyDescent="0.35"/>
  <cols>
    <col min="1" max="1" width="8" style="1" customWidth="1"/>
    <col min="2" max="2" width="13" style="1" customWidth="1"/>
    <col min="3" max="3" width="11.7265625" style="1" bestFit="1" customWidth="1"/>
    <col min="4" max="4" width="30.26953125" style="1" bestFit="1" customWidth="1"/>
    <col min="5" max="5" width="15.08984375" style="1" bestFit="1" customWidth="1"/>
    <col min="6" max="6" width="6.54296875" style="1" bestFit="1" customWidth="1"/>
    <col min="7" max="8" width="8" style="1" customWidth="1"/>
    <col min="9" max="9" width="11.26953125" style="1" bestFit="1" customWidth="1"/>
    <col min="10" max="10" width="7.90625" style="1" customWidth="1"/>
    <col min="11" max="11" width="8.26953125" style="1" customWidth="1"/>
    <col min="12" max="12" width="8.36328125" style="1" customWidth="1"/>
    <col min="13" max="13" width="12" style="1" customWidth="1"/>
    <col min="14" max="14" width="13" style="1" customWidth="1"/>
    <col min="15" max="15" width="12" style="1" customWidth="1"/>
    <col min="16" max="16384" width="8.7265625" style="1"/>
  </cols>
  <sheetData>
    <row r="1" spans="1:15" ht="17.25" customHeight="1" x14ac:dyDescent="0.35">
      <c r="A1" s="34" t="e" vm="1">
        <v>#VALUE!</v>
      </c>
      <c r="B1" s="35"/>
      <c r="C1" s="36"/>
      <c r="D1" s="43" t="s">
        <v>45</v>
      </c>
      <c r="E1" s="44"/>
      <c r="F1" s="44"/>
      <c r="G1" s="44"/>
      <c r="H1" s="44"/>
      <c r="I1" s="44"/>
      <c r="J1" s="44"/>
      <c r="K1" s="45"/>
      <c r="L1" s="52" t="s">
        <v>46</v>
      </c>
      <c r="M1" s="53"/>
      <c r="N1" s="54">
        <v>46098</v>
      </c>
      <c r="O1" s="55"/>
    </row>
    <row r="2" spans="1:15" ht="18" customHeight="1" x14ac:dyDescent="0.35">
      <c r="A2" s="37"/>
      <c r="B2" s="38"/>
      <c r="C2" s="39"/>
      <c r="D2" s="46"/>
      <c r="E2" s="47"/>
      <c r="F2" s="47"/>
      <c r="G2" s="47"/>
      <c r="H2" s="47"/>
      <c r="I2" s="47"/>
      <c r="J2" s="47"/>
      <c r="K2" s="48"/>
      <c r="L2" s="56" t="s">
        <v>47</v>
      </c>
      <c r="M2" s="57"/>
      <c r="N2" s="58" t="s">
        <v>48</v>
      </c>
      <c r="O2" s="59"/>
    </row>
    <row r="3" spans="1:15" ht="16.5" customHeight="1" x14ac:dyDescent="0.35">
      <c r="A3" s="37"/>
      <c r="B3" s="38"/>
      <c r="C3" s="39"/>
      <c r="D3" s="46"/>
      <c r="E3" s="47"/>
      <c r="F3" s="47"/>
      <c r="G3" s="47"/>
      <c r="H3" s="47"/>
      <c r="I3" s="47"/>
      <c r="J3" s="47"/>
      <c r="K3" s="48"/>
      <c r="L3" s="56" t="s">
        <v>49</v>
      </c>
      <c r="M3" s="57"/>
      <c r="N3" s="58" t="s">
        <v>50</v>
      </c>
      <c r="O3" s="59"/>
    </row>
    <row r="4" spans="1:15" ht="15.75" customHeight="1" thickBot="1" x14ac:dyDescent="0.4">
      <c r="A4" s="40"/>
      <c r="B4" s="41"/>
      <c r="C4" s="42"/>
      <c r="D4" s="49"/>
      <c r="E4" s="50"/>
      <c r="F4" s="50"/>
      <c r="G4" s="50"/>
      <c r="H4" s="50"/>
      <c r="I4" s="50"/>
      <c r="J4" s="50"/>
      <c r="K4" s="51"/>
      <c r="L4" s="60" t="s">
        <v>51</v>
      </c>
      <c r="M4" s="61"/>
      <c r="N4" s="62" t="s">
        <v>52</v>
      </c>
      <c r="O4" s="63"/>
    </row>
    <row r="5" spans="1:15" ht="19.899999999999999" customHeight="1" thickBot="1" x14ac:dyDescent="0.4">
      <c r="A5" s="64" t="s">
        <v>53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6"/>
    </row>
    <row r="6" spans="1:15" ht="22.15" customHeight="1" x14ac:dyDescent="0.35">
      <c r="A6" s="67" t="s">
        <v>54</v>
      </c>
      <c r="B6" s="68"/>
      <c r="C6" s="69" t="s">
        <v>152</v>
      </c>
      <c r="D6" s="70"/>
      <c r="E6" s="68" t="s">
        <v>55</v>
      </c>
      <c r="F6" s="68"/>
      <c r="G6" s="71">
        <v>46119</v>
      </c>
      <c r="H6" s="70"/>
      <c r="I6" s="68" t="s">
        <v>56</v>
      </c>
      <c r="J6" s="68"/>
      <c r="K6" s="70" t="s">
        <v>151</v>
      </c>
      <c r="L6" s="70"/>
      <c r="M6" s="68" t="s">
        <v>57</v>
      </c>
      <c r="N6" s="68"/>
      <c r="O6" s="13" t="s">
        <v>103</v>
      </c>
    </row>
    <row r="7" spans="1:15" ht="22.15" customHeight="1" x14ac:dyDescent="0.35">
      <c r="A7" s="67" t="s">
        <v>58</v>
      </c>
      <c r="B7" s="68"/>
      <c r="C7" s="69" t="s">
        <v>100</v>
      </c>
      <c r="D7" s="70"/>
      <c r="E7" s="70"/>
      <c r="F7" s="70"/>
      <c r="G7" s="70"/>
      <c r="H7" s="70"/>
      <c r="I7" s="68" t="s">
        <v>59</v>
      </c>
      <c r="J7" s="68"/>
      <c r="K7" s="69" t="s">
        <v>102</v>
      </c>
      <c r="L7" s="70"/>
      <c r="M7" s="70"/>
      <c r="N7" s="70"/>
      <c r="O7" s="73"/>
    </row>
    <row r="8" spans="1:15" ht="22.15" customHeight="1" x14ac:dyDescent="0.35">
      <c r="A8" s="67" t="s">
        <v>60</v>
      </c>
      <c r="B8" s="68"/>
      <c r="C8" s="69" t="s">
        <v>102</v>
      </c>
      <c r="D8" s="70"/>
      <c r="E8" s="70"/>
      <c r="F8" s="70"/>
      <c r="G8" s="70"/>
      <c r="H8" s="70"/>
      <c r="I8" s="68" t="s">
        <v>61</v>
      </c>
      <c r="J8" s="68"/>
      <c r="K8" s="69" t="s">
        <v>106</v>
      </c>
      <c r="L8" s="70"/>
      <c r="M8" s="68" t="s">
        <v>62</v>
      </c>
      <c r="N8" s="68"/>
      <c r="O8" s="13" t="s">
        <v>105</v>
      </c>
    </row>
    <row r="9" spans="1:15" ht="22.15" customHeight="1" x14ac:dyDescent="0.35">
      <c r="A9" s="67" t="s">
        <v>63</v>
      </c>
      <c r="B9" s="68"/>
      <c r="C9" s="69" t="s">
        <v>104</v>
      </c>
      <c r="D9" s="70"/>
      <c r="E9" s="68" t="s">
        <v>64</v>
      </c>
      <c r="F9" s="68"/>
      <c r="G9" s="69" t="s">
        <v>105</v>
      </c>
      <c r="H9" s="70"/>
      <c r="I9" s="68" t="s">
        <v>65</v>
      </c>
      <c r="J9" s="68"/>
      <c r="K9" s="69" t="s">
        <v>107</v>
      </c>
      <c r="L9" s="70"/>
      <c r="M9" s="68" t="s">
        <v>66</v>
      </c>
      <c r="N9" s="68"/>
      <c r="O9" s="2">
        <v>46153</v>
      </c>
    </row>
    <row r="10" spans="1:15" ht="22.15" customHeight="1" x14ac:dyDescent="0.35">
      <c r="A10" s="67" t="s">
        <v>67</v>
      </c>
      <c r="B10" s="68"/>
      <c r="C10" s="74" t="s">
        <v>129</v>
      </c>
      <c r="D10" s="70"/>
      <c r="E10" s="68" t="s">
        <v>68</v>
      </c>
      <c r="F10" s="68"/>
      <c r="G10" s="70"/>
      <c r="H10" s="70"/>
      <c r="I10" s="68" t="s">
        <v>69</v>
      </c>
      <c r="J10" s="68"/>
      <c r="K10" s="70"/>
      <c r="L10" s="70"/>
      <c r="M10" s="68" t="s">
        <v>70</v>
      </c>
      <c r="N10" s="68"/>
      <c r="O10" s="13" t="s">
        <v>108</v>
      </c>
    </row>
    <row r="11" spans="1:15" ht="15" thickBot="1" x14ac:dyDescent="0.4">
      <c r="A11" s="3" t="s">
        <v>146</v>
      </c>
      <c r="O11" s="4"/>
    </row>
    <row r="12" spans="1:15" ht="34.15" customHeight="1" thickBot="1" x14ac:dyDescent="0.4">
      <c r="A12" s="5" t="s">
        <v>71</v>
      </c>
      <c r="B12" s="17" t="s">
        <v>72</v>
      </c>
      <c r="C12" s="17" t="s">
        <v>73</v>
      </c>
      <c r="D12" s="17" t="s">
        <v>74</v>
      </c>
      <c r="E12" s="17" t="s">
        <v>75</v>
      </c>
      <c r="F12" s="17" t="s">
        <v>76</v>
      </c>
      <c r="G12" s="17" t="s">
        <v>77</v>
      </c>
      <c r="H12" s="17" t="s">
        <v>78</v>
      </c>
      <c r="I12" s="17" t="s">
        <v>79</v>
      </c>
      <c r="J12" s="17" t="s">
        <v>80</v>
      </c>
      <c r="K12" s="17" t="s">
        <v>81</v>
      </c>
      <c r="L12" s="17" t="s">
        <v>82</v>
      </c>
      <c r="M12" s="17" t="s">
        <v>83</v>
      </c>
      <c r="N12" s="17" t="s">
        <v>84</v>
      </c>
      <c r="O12" s="21" t="s">
        <v>85</v>
      </c>
    </row>
    <row r="13" spans="1:15" ht="21" customHeight="1" x14ac:dyDescent="0.35">
      <c r="A13" s="20">
        <v>1</v>
      </c>
      <c r="B13" s="19"/>
      <c r="C13" s="18" t="s">
        <v>35</v>
      </c>
      <c r="D13" s="15" t="s">
        <v>114</v>
      </c>
      <c r="E13" s="15" t="s">
        <v>133</v>
      </c>
      <c r="F13" s="15" t="s">
        <v>106</v>
      </c>
      <c r="G13" s="15">
        <v>14</v>
      </c>
      <c r="H13" s="15" t="s">
        <v>109</v>
      </c>
      <c r="I13" s="15" t="s">
        <v>110</v>
      </c>
      <c r="J13" s="15">
        <v>8000</v>
      </c>
      <c r="K13" s="15">
        <v>1500</v>
      </c>
      <c r="L13" s="15">
        <v>4</v>
      </c>
      <c r="M13" s="15">
        <v>5330</v>
      </c>
      <c r="N13" s="30"/>
      <c r="O13" s="30"/>
    </row>
    <row r="14" spans="1:15" ht="21" customHeight="1" x14ac:dyDescent="0.35">
      <c r="A14" s="20">
        <v>2</v>
      </c>
      <c r="B14" s="19"/>
      <c r="C14" s="18" t="s">
        <v>36</v>
      </c>
      <c r="D14" s="15" t="s">
        <v>111</v>
      </c>
      <c r="E14" s="15" t="s">
        <v>133</v>
      </c>
      <c r="F14" s="15" t="s">
        <v>106</v>
      </c>
      <c r="G14" s="15">
        <v>10</v>
      </c>
      <c r="H14" s="15" t="s">
        <v>109</v>
      </c>
      <c r="I14" s="15" t="s">
        <v>110</v>
      </c>
      <c r="J14" s="15">
        <v>6900</v>
      </c>
      <c r="K14" s="15">
        <v>1500</v>
      </c>
      <c r="L14" s="15">
        <v>6</v>
      </c>
      <c r="M14" s="15">
        <v>4940</v>
      </c>
      <c r="N14" s="30"/>
      <c r="O14" s="30"/>
    </row>
    <row r="15" spans="1:15" ht="21" customHeight="1" x14ac:dyDescent="0.35">
      <c r="A15" s="20">
        <v>3</v>
      </c>
      <c r="B15" s="19"/>
      <c r="C15" s="18" t="s">
        <v>37</v>
      </c>
      <c r="D15" s="15" t="s">
        <v>111</v>
      </c>
      <c r="E15" s="15" t="s">
        <v>133</v>
      </c>
      <c r="F15" s="15" t="s">
        <v>106</v>
      </c>
      <c r="G15" s="15">
        <v>10</v>
      </c>
      <c r="H15" s="15" t="s">
        <v>109</v>
      </c>
      <c r="I15" s="15" t="s">
        <v>110</v>
      </c>
      <c r="J15" s="15">
        <v>6900</v>
      </c>
      <c r="K15" s="15">
        <v>1500</v>
      </c>
      <c r="L15" s="15">
        <v>6</v>
      </c>
      <c r="M15" s="15">
        <v>4940</v>
      </c>
      <c r="N15" s="30"/>
      <c r="O15" s="30"/>
    </row>
    <row r="16" spans="1:15" ht="21" customHeight="1" x14ac:dyDescent="0.35">
      <c r="A16" s="20">
        <v>4</v>
      </c>
      <c r="B16" s="19"/>
      <c r="C16" s="18" t="s">
        <v>38</v>
      </c>
      <c r="D16" s="15" t="s">
        <v>111</v>
      </c>
      <c r="E16" s="15" t="s">
        <v>133</v>
      </c>
      <c r="F16" s="15" t="s">
        <v>106</v>
      </c>
      <c r="G16" s="15">
        <v>11</v>
      </c>
      <c r="H16" s="15" t="s">
        <v>109</v>
      </c>
      <c r="I16" s="15" t="s">
        <v>110</v>
      </c>
      <c r="J16" s="15">
        <v>6900</v>
      </c>
      <c r="K16" s="15">
        <v>1500</v>
      </c>
      <c r="L16" s="15">
        <v>6</v>
      </c>
      <c r="M16" s="15">
        <v>5430</v>
      </c>
      <c r="N16" s="30"/>
      <c r="O16" s="30"/>
    </row>
    <row r="17" spans="1:15" ht="21" customHeight="1" x14ac:dyDescent="0.35">
      <c r="A17" s="20">
        <v>5</v>
      </c>
      <c r="B17" s="19"/>
      <c r="C17" s="18" t="s">
        <v>39</v>
      </c>
      <c r="D17" s="15" t="s">
        <v>115</v>
      </c>
      <c r="E17" s="15" t="s">
        <v>132</v>
      </c>
      <c r="F17" s="15" t="s">
        <v>106</v>
      </c>
      <c r="G17" s="15">
        <v>4</v>
      </c>
      <c r="H17" s="15" t="s">
        <v>109</v>
      </c>
      <c r="I17" s="15" t="s">
        <v>110</v>
      </c>
      <c r="J17" s="15">
        <v>8000</v>
      </c>
      <c r="K17" s="15">
        <v>1500</v>
      </c>
      <c r="L17" s="15">
        <v>12</v>
      </c>
      <c r="M17" s="15">
        <v>4580</v>
      </c>
      <c r="N17" s="30"/>
      <c r="O17" s="30"/>
    </row>
    <row r="18" spans="1:15" ht="21" customHeight="1" x14ac:dyDescent="0.35">
      <c r="A18" s="20">
        <v>6</v>
      </c>
      <c r="B18" s="26"/>
      <c r="C18" s="18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25"/>
      <c r="O18" s="25"/>
    </row>
    <row r="19" spans="1:15" ht="21" customHeight="1" x14ac:dyDescent="0.35">
      <c r="A19" s="20">
        <v>7</v>
      </c>
      <c r="B19" s="26"/>
      <c r="C19" s="26"/>
      <c r="D19" s="26"/>
      <c r="E19" s="26"/>
      <c r="F19" s="26"/>
      <c r="G19" s="27"/>
      <c r="H19" s="26"/>
      <c r="I19" s="26"/>
      <c r="J19" s="28"/>
      <c r="K19" s="28"/>
      <c r="L19" s="28"/>
      <c r="M19" s="27"/>
      <c r="N19" s="27"/>
      <c r="O19" s="29" t="str">
        <f t="shared" ref="O19:O22" si="0">IF(COUNTA(J19:L19)=3,J19*K19*L19/1000000,"")</f>
        <v/>
      </c>
    </row>
    <row r="20" spans="1:15" ht="21" customHeight="1" x14ac:dyDescent="0.35">
      <c r="A20" s="20">
        <v>8</v>
      </c>
      <c r="B20" s="26"/>
      <c r="C20" s="26"/>
      <c r="D20" s="26"/>
      <c r="E20" s="26"/>
      <c r="F20" s="26"/>
      <c r="G20" s="27"/>
      <c r="H20" s="26"/>
      <c r="I20" s="26"/>
      <c r="J20" s="28"/>
      <c r="K20" s="28"/>
      <c r="L20" s="28"/>
      <c r="M20" s="27"/>
      <c r="N20" s="27"/>
      <c r="O20" s="29" t="str">
        <f t="shared" si="0"/>
        <v/>
      </c>
    </row>
    <row r="21" spans="1:15" ht="21" customHeight="1" x14ac:dyDescent="0.35">
      <c r="A21" s="20">
        <v>9</v>
      </c>
      <c r="B21" s="26"/>
      <c r="C21" s="26"/>
      <c r="D21" s="26"/>
      <c r="E21" s="26"/>
      <c r="F21" s="26"/>
      <c r="G21" s="27"/>
      <c r="H21" s="26"/>
      <c r="I21" s="26"/>
      <c r="J21" s="28"/>
      <c r="K21" s="28"/>
      <c r="L21" s="28"/>
      <c r="M21" s="27"/>
      <c r="N21" s="27"/>
      <c r="O21" s="29" t="str">
        <f t="shared" si="0"/>
        <v/>
      </c>
    </row>
    <row r="22" spans="1:15" ht="21" customHeight="1" thickBot="1" x14ac:dyDescent="0.4">
      <c r="A22" s="20">
        <v>10</v>
      </c>
      <c r="B22" s="26"/>
      <c r="C22" s="26"/>
      <c r="D22" s="26"/>
      <c r="E22" s="26"/>
      <c r="F22" s="26"/>
      <c r="G22" s="27"/>
      <c r="H22" s="26"/>
      <c r="I22" s="26"/>
      <c r="J22" s="28"/>
      <c r="K22" s="28"/>
      <c r="L22" s="28"/>
      <c r="M22" s="27"/>
      <c r="N22" s="27"/>
      <c r="O22" s="29" t="str">
        <f t="shared" si="0"/>
        <v/>
      </c>
    </row>
    <row r="23" spans="1:15" ht="22.15" customHeight="1" thickBot="1" x14ac:dyDescent="0.4">
      <c r="A23" s="72" t="s">
        <v>86</v>
      </c>
      <c r="B23" s="65"/>
      <c r="C23" s="65"/>
      <c r="D23" s="65"/>
      <c r="E23" s="65"/>
      <c r="F23" s="65"/>
      <c r="G23" s="22">
        <f>SUM(G13:G22)</f>
        <v>49</v>
      </c>
      <c r="H23" s="23"/>
      <c r="I23" s="23"/>
      <c r="J23" s="23"/>
      <c r="K23" s="23"/>
      <c r="L23" s="23"/>
      <c r="M23" s="22">
        <f>SUM(M13:M22)</f>
        <v>25220</v>
      </c>
      <c r="N23" s="22">
        <f>SUM(N13:N22)</f>
        <v>0</v>
      </c>
      <c r="O23" s="24">
        <f>SUM(O13:O22)</f>
        <v>0</v>
      </c>
    </row>
    <row r="24" spans="1:15" x14ac:dyDescent="0.35">
      <c r="A24" s="3"/>
      <c r="O24" s="4"/>
    </row>
    <row r="25" spans="1:15" ht="22.15" customHeight="1" x14ac:dyDescent="0.35">
      <c r="A25" s="67" t="s">
        <v>87</v>
      </c>
      <c r="B25" s="68"/>
      <c r="C25" s="6">
        <f>COUNTA(B13:B22)</f>
        <v>0</v>
      </c>
      <c r="D25" s="68" t="s">
        <v>88</v>
      </c>
      <c r="E25" s="68"/>
      <c r="F25" s="7">
        <f>SUM(G13:G22)</f>
        <v>49</v>
      </c>
      <c r="G25" s="68" t="s">
        <v>89</v>
      </c>
      <c r="H25" s="68"/>
      <c r="I25" s="7">
        <f>SUM(M13:M22)</f>
        <v>25220</v>
      </c>
      <c r="J25" s="68" t="s">
        <v>90</v>
      </c>
      <c r="K25" s="68"/>
      <c r="L25" s="7">
        <f>SUM(N13:N22)</f>
        <v>0</v>
      </c>
      <c r="M25" s="68" t="s">
        <v>91</v>
      </c>
      <c r="N25" s="68"/>
      <c r="O25" s="8">
        <f>SUM(O13:O22)</f>
        <v>0</v>
      </c>
    </row>
    <row r="26" spans="1:15" ht="15" thickBot="1" x14ac:dyDescent="0.4">
      <c r="A26" s="3"/>
      <c r="O26" s="4"/>
    </row>
    <row r="27" spans="1:15" ht="19.899999999999999" customHeight="1" thickBot="1" x14ac:dyDescent="0.4">
      <c r="A27" s="75" t="s">
        <v>92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7"/>
    </row>
    <row r="28" spans="1:15" ht="24" customHeight="1" thickBot="1" x14ac:dyDescent="0.4">
      <c r="A28" s="78" t="s">
        <v>93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7"/>
    </row>
    <row r="29" spans="1:15" ht="24" customHeight="1" thickBot="1" x14ac:dyDescent="0.4">
      <c r="A29" s="79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7"/>
    </row>
    <row r="30" spans="1:15" ht="15" thickBot="1" x14ac:dyDescent="0.4">
      <c r="A30" s="3"/>
      <c r="O30" s="4"/>
    </row>
    <row r="31" spans="1:15" ht="19.899999999999999" customHeight="1" thickBot="1" x14ac:dyDescent="0.4">
      <c r="A31" s="75" t="s">
        <v>94</v>
      </c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7"/>
    </row>
    <row r="32" spans="1:15" ht="22.15" customHeight="1" thickBot="1" x14ac:dyDescent="0.4">
      <c r="A32" s="80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2"/>
    </row>
    <row r="33" spans="1:15" ht="19.899999999999999" customHeight="1" x14ac:dyDescent="0.35">
      <c r="A33" s="89" t="s">
        <v>95</v>
      </c>
      <c r="B33" s="90"/>
      <c r="C33" s="90"/>
      <c r="D33" s="91" t="s">
        <v>96</v>
      </c>
      <c r="E33" s="90"/>
      <c r="F33" s="90"/>
      <c r="G33" s="91" t="s">
        <v>97</v>
      </c>
      <c r="H33" s="90"/>
      <c r="I33" s="90"/>
      <c r="J33" s="91" t="s">
        <v>98</v>
      </c>
      <c r="K33" s="90"/>
      <c r="L33" s="90"/>
      <c r="M33" s="91" t="s">
        <v>99</v>
      </c>
      <c r="N33" s="90"/>
      <c r="O33" s="92"/>
    </row>
    <row r="34" spans="1:15" ht="19.899999999999999" customHeight="1" x14ac:dyDescent="0.35">
      <c r="A34" s="9"/>
      <c r="B34" s="10"/>
      <c r="C34" s="10"/>
      <c r="D34" s="11"/>
      <c r="E34" s="10"/>
      <c r="F34" s="10"/>
      <c r="G34" s="11"/>
      <c r="H34" s="10"/>
      <c r="I34" s="10"/>
      <c r="J34" s="11"/>
      <c r="K34" s="10"/>
      <c r="L34" s="10"/>
      <c r="M34" s="11"/>
      <c r="N34" s="10"/>
      <c r="O34" s="12"/>
    </row>
    <row r="35" spans="1:15" ht="19.899999999999999" customHeight="1" x14ac:dyDescent="0.35">
      <c r="A35" s="9"/>
      <c r="B35" s="10"/>
      <c r="C35" s="10"/>
      <c r="D35" s="11"/>
      <c r="E35" s="10"/>
      <c r="F35" s="10"/>
      <c r="G35" s="11"/>
      <c r="H35" s="10"/>
      <c r="I35" s="10"/>
      <c r="J35" s="11"/>
      <c r="K35" s="10"/>
      <c r="L35" s="10"/>
      <c r="M35" s="11"/>
      <c r="N35" s="10"/>
      <c r="O35" s="12"/>
    </row>
    <row r="36" spans="1:15" ht="19.899999999999999" customHeight="1" thickBot="1" x14ac:dyDescent="0.4">
      <c r="A36" s="9"/>
      <c r="B36" s="10"/>
      <c r="C36" s="10"/>
      <c r="D36" s="11"/>
      <c r="E36" s="10"/>
      <c r="F36" s="10"/>
      <c r="G36" s="11"/>
      <c r="H36" s="10"/>
      <c r="I36" s="10"/>
      <c r="J36" s="11"/>
      <c r="K36" s="10"/>
      <c r="L36" s="10"/>
      <c r="M36" s="11"/>
      <c r="N36" s="10"/>
      <c r="O36" s="12"/>
    </row>
    <row r="37" spans="1:15" ht="18.5" x14ac:dyDescent="0.35">
      <c r="A37" s="93" t="s">
        <v>100</v>
      </c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5"/>
    </row>
    <row r="38" spans="1:15" ht="14.5" customHeight="1" x14ac:dyDescent="0.35">
      <c r="A38" s="83" t="s">
        <v>101</v>
      </c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5"/>
    </row>
    <row r="39" spans="1:15" ht="15" thickBot="1" x14ac:dyDescent="0.4">
      <c r="A39" s="86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8"/>
    </row>
  </sheetData>
  <mergeCells count="62">
    <mergeCell ref="A38:O39"/>
    <mergeCell ref="A33:C33"/>
    <mergeCell ref="D33:F33"/>
    <mergeCell ref="G33:I33"/>
    <mergeCell ref="J33:L33"/>
    <mergeCell ref="M33:O33"/>
    <mergeCell ref="A37:O37"/>
    <mergeCell ref="A28:O29"/>
    <mergeCell ref="A31:O31"/>
    <mergeCell ref="A32:C32"/>
    <mergeCell ref="D32:F32"/>
    <mergeCell ref="G32:I32"/>
    <mergeCell ref="J32:L32"/>
    <mergeCell ref="M32:O32"/>
    <mergeCell ref="A25:B25"/>
    <mergeCell ref="D25:E25"/>
    <mergeCell ref="G25:H25"/>
    <mergeCell ref="J25:K25"/>
    <mergeCell ref="A27:O27"/>
    <mergeCell ref="M25:N25"/>
    <mergeCell ref="K10:L10"/>
    <mergeCell ref="M10:N10"/>
    <mergeCell ref="A9:B9"/>
    <mergeCell ref="C9:D9"/>
    <mergeCell ref="E9:F9"/>
    <mergeCell ref="G9:H9"/>
    <mergeCell ref="I9:J9"/>
    <mergeCell ref="K9:L9"/>
    <mergeCell ref="A23:F23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M9:N9"/>
    <mergeCell ref="A10:B10"/>
    <mergeCell ref="C10:D10"/>
    <mergeCell ref="E10:F10"/>
    <mergeCell ref="G10:H10"/>
    <mergeCell ref="I10:J10"/>
    <mergeCell ref="A5:O5"/>
    <mergeCell ref="A6:B6"/>
    <mergeCell ref="C6:D6"/>
    <mergeCell ref="E6:F6"/>
    <mergeCell ref="G6:H6"/>
    <mergeCell ref="I6:J6"/>
    <mergeCell ref="K6:L6"/>
    <mergeCell ref="M6:N6"/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</mergeCells>
  <pageMargins left="0.7" right="0.7" top="0.75" bottom="0.75" header="0.3" footer="0.3"/>
  <pageSetup paperSize="9" scale="51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0D1EC-7EEC-4891-B801-B38D7E0F6971}">
  <sheetPr>
    <tabColor theme="7" tint="0.79998168889431442"/>
  </sheetPr>
  <dimension ref="A1:O39"/>
  <sheetViews>
    <sheetView showGridLines="0" view="pageBreakPreview" zoomScale="60" zoomScaleNormal="70" workbookViewId="0">
      <selection activeCell="K6" sqref="K6:L6"/>
    </sheetView>
  </sheetViews>
  <sheetFormatPr defaultRowHeight="14.5" x14ac:dyDescent="0.35"/>
  <cols>
    <col min="1" max="1" width="8" style="1" customWidth="1"/>
    <col min="2" max="2" width="13" style="1" customWidth="1"/>
    <col min="3" max="3" width="11.7265625" style="1" bestFit="1" customWidth="1"/>
    <col min="4" max="4" width="30.26953125" style="1" bestFit="1" customWidth="1"/>
    <col min="5" max="5" width="15.08984375" style="1" bestFit="1" customWidth="1"/>
    <col min="6" max="6" width="6.54296875" style="1" bestFit="1" customWidth="1"/>
    <col min="7" max="8" width="8" style="1" customWidth="1"/>
    <col min="9" max="9" width="11.26953125" style="1" bestFit="1" customWidth="1"/>
    <col min="10" max="10" width="7.90625" style="1" customWidth="1"/>
    <col min="11" max="11" width="8.26953125" style="1" customWidth="1"/>
    <col min="12" max="12" width="8.36328125" style="1" customWidth="1"/>
    <col min="13" max="13" width="12" style="1" customWidth="1"/>
    <col min="14" max="14" width="13" style="1" customWidth="1"/>
    <col min="15" max="15" width="12" style="1" customWidth="1"/>
    <col min="16" max="16384" width="8.7265625" style="1"/>
  </cols>
  <sheetData>
    <row r="1" spans="1:15" ht="17.25" customHeight="1" x14ac:dyDescent="0.35">
      <c r="A1" s="34" t="e" vm="1">
        <v>#VALUE!</v>
      </c>
      <c r="B1" s="35"/>
      <c r="C1" s="36"/>
      <c r="D1" s="43" t="s">
        <v>45</v>
      </c>
      <c r="E1" s="44"/>
      <c r="F1" s="44"/>
      <c r="G1" s="44"/>
      <c r="H1" s="44"/>
      <c r="I1" s="44"/>
      <c r="J1" s="44"/>
      <c r="K1" s="45"/>
      <c r="L1" s="52" t="s">
        <v>46</v>
      </c>
      <c r="M1" s="53"/>
      <c r="N1" s="54">
        <v>46098</v>
      </c>
      <c r="O1" s="55"/>
    </row>
    <row r="2" spans="1:15" ht="18" customHeight="1" x14ac:dyDescent="0.35">
      <c r="A2" s="37"/>
      <c r="B2" s="38"/>
      <c r="C2" s="39"/>
      <c r="D2" s="46"/>
      <c r="E2" s="47"/>
      <c r="F2" s="47"/>
      <c r="G2" s="47"/>
      <c r="H2" s="47"/>
      <c r="I2" s="47"/>
      <c r="J2" s="47"/>
      <c r="K2" s="48"/>
      <c r="L2" s="56" t="s">
        <v>47</v>
      </c>
      <c r="M2" s="57"/>
      <c r="N2" s="58" t="s">
        <v>48</v>
      </c>
      <c r="O2" s="59"/>
    </row>
    <row r="3" spans="1:15" ht="16.5" customHeight="1" x14ac:dyDescent="0.35">
      <c r="A3" s="37"/>
      <c r="B3" s="38"/>
      <c r="C3" s="39"/>
      <c r="D3" s="46"/>
      <c r="E3" s="47"/>
      <c r="F3" s="47"/>
      <c r="G3" s="47"/>
      <c r="H3" s="47"/>
      <c r="I3" s="47"/>
      <c r="J3" s="47"/>
      <c r="K3" s="48"/>
      <c r="L3" s="56" t="s">
        <v>49</v>
      </c>
      <c r="M3" s="57"/>
      <c r="N3" s="58" t="s">
        <v>50</v>
      </c>
      <c r="O3" s="59"/>
    </row>
    <row r="4" spans="1:15" ht="15.75" customHeight="1" thickBot="1" x14ac:dyDescent="0.4">
      <c r="A4" s="40"/>
      <c r="B4" s="41"/>
      <c r="C4" s="42"/>
      <c r="D4" s="49"/>
      <c r="E4" s="50"/>
      <c r="F4" s="50"/>
      <c r="G4" s="50"/>
      <c r="H4" s="50"/>
      <c r="I4" s="50"/>
      <c r="J4" s="50"/>
      <c r="K4" s="51"/>
      <c r="L4" s="60" t="s">
        <v>51</v>
      </c>
      <c r="M4" s="61"/>
      <c r="N4" s="62" t="s">
        <v>52</v>
      </c>
      <c r="O4" s="63"/>
    </row>
    <row r="5" spans="1:15" ht="19.899999999999999" customHeight="1" thickBot="1" x14ac:dyDescent="0.4">
      <c r="A5" s="64" t="s">
        <v>53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6"/>
    </row>
    <row r="6" spans="1:15" ht="22.15" customHeight="1" x14ac:dyDescent="0.35">
      <c r="A6" s="67" t="s">
        <v>54</v>
      </c>
      <c r="B6" s="68"/>
      <c r="C6" s="69" t="s">
        <v>152</v>
      </c>
      <c r="D6" s="70"/>
      <c r="E6" s="68" t="s">
        <v>55</v>
      </c>
      <c r="F6" s="68"/>
      <c r="G6" s="71">
        <v>46119</v>
      </c>
      <c r="H6" s="70"/>
      <c r="I6" s="68" t="s">
        <v>56</v>
      </c>
      <c r="J6" s="68"/>
      <c r="K6" s="70" t="s">
        <v>151</v>
      </c>
      <c r="L6" s="70"/>
      <c r="M6" s="68" t="s">
        <v>57</v>
      </c>
      <c r="N6" s="68"/>
      <c r="O6" s="13" t="s">
        <v>103</v>
      </c>
    </row>
    <row r="7" spans="1:15" ht="22.15" customHeight="1" x14ac:dyDescent="0.35">
      <c r="A7" s="67" t="s">
        <v>58</v>
      </c>
      <c r="B7" s="68"/>
      <c r="C7" s="69" t="s">
        <v>100</v>
      </c>
      <c r="D7" s="70"/>
      <c r="E7" s="70"/>
      <c r="F7" s="70"/>
      <c r="G7" s="70"/>
      <c r="H7" s="70"/>
      <c r="I7" s="68" t="s">
        <v>59</v>
      </c>
      <c r="J7" s="68"/>
      <c r="K7" s="69" t="s">
        <v>102</v>
      </c>
      <c r="L7" s="70"/>
      <c r="M7" s="70"/>
      <c r="N7" s="70"/>
      <c r="O7" s="73"/>
    </row>
    <row r="8" spans="1:15" ht="22.15" customHeight="1" x14ac:dyDescent="0.35">
      <c r="A8" s="67" t="s">
        <v>60</v>
      </c>
      <c r="B8" s="68"/>
      <c r="C8" s="69" t="s">
        <v>102</v>
      </c>
      <c r="D8" s="70"/>
      <c r="E8" s="70"/>
      <c r="F8" s="70"/>
      <c r="G8" s="70"/>
      <c r="H8" s="70"/>
      <c r="I8" s="68" t="s">
        <v>61</v>
      </c>
      <c r="J8" s="68"/>
      <c r="K8" s="69" t="s">
        <v>106</v>
      </c>
      <c r="L8" s="70"/>
      <c r="M8" s="68" t="s">
        <v>62</v>
      </c>
      <c r="N8" s="68"/>
      <c r="O8" s="13" t="s">
        <v>105</v>
      </c>
    </row>
    <row r="9" spans="1:15" ht="22.15" customHeight="1" x14ac:dyDescent="0.35">
      <c r="A9" s="67" t="s">
        <v>63</v>
      </c>
      <c r="B9" s="68"/>
      <c r="C9" s="69" t="s">
        <v>104</v>
      </c>
      <c r="D9" s="70"/>
      <c r="E9" s="68" t="s">
        <v>64</v>
      </c>
      <c r="F9" s="68"/>
      <c r="G9" s="69" t="s">
        <v>105</v>
      </c>
      <c r="H9" s="70"/>
      <c r="I9" s="68" t="s">
        <v>65</v>
      </c>
      <c r="J9" s="68"/>
      <c r="K9" s="69" t="s">
        <v>107</v>
      </c>
      <c r="L9" s="70"/>
      <c r="M9" s="68" t="s">
        <v>66</v>
      </c>
      <c r="N9" s="68"/>
      <c r="O9" s="2">
        <v>46153</v>
      </c>
    </row>
    <row r="10" spans="1:15" ht="22.15" customHeight="1" x14ac:dyDescent="0.35">
      <c r="A10" s="67" t="s">
        <v>67</v>
      </c>
      <c r="B10" s="68"/>
      <c r="C10" s="74" t="s">
        <v>130</v>
      </c>
      <c r="D10" s="70"/>
      <c r="E10" s="68" t="s">
        <v>68</v>
      </c>
      <c r="F10" s="68"/>
      <c r="G10" s="70"/>
      <c r="H10" s="70"/>
      <c r="I10" s="68" t="s">
        <v>69</v>
      </c>
      <c r="J10" s="68"/>
      <c r="K10" s="70"/>
      <c r="L10" s="70"/>
      <c r="M10" s="68" t="s">
        <v>70</v>
      </c>
      <c r="N10" s="68"/>
      <c r="O10" s="13" t="s">
        <v>108</v>
      </c>
    </row>
    <row r="11" spans="1:15" ht="15" thickBot="1" x14ac:dyDescent="0.4">
      <c r="A11" s="1" t="s">
        <v>147</v>
      </c>
      <c r="O11" s="4"/>
    </row>
    <row r="12" spans="1:15" ht="34.15" customHeight="1" thickBot="1" x14ac:dyDescent="0.4">
      <c r="A12" s="5" t="s">
        <v>71</v>
      </c>
      <c r="B12" s="17" t="s">
        <v>72</v>
      </c>
      <c r="C12" s="17" t="s">
        <v>73</v>
      </c>
      <c r="D12" s="17" t="s">
        <v>74</v>
      </c>
      <c r="E12" s="17" t="s">
        <v>75</v>
      </c>
      <c r="F12" s="17" t="s">
        <v>76</v>
      </c>
      <c r="G12" s="17" t="s">
        <v>77</v>
      </c>
      <c r="H12" s="17" t="s">
        <v>78</v>
      </c>
      <c r="I12" s="17" t="s">
        <v>79</v>
      </c>
      <c r="J12" s="17" t="s">
        <v>80</v>
      </c>
      <c r="K12" s="17" t="s">
        <v>81</v>
      </c>
      <c r="L12" s="17" t="s">
        <v>82</v>
      </c>
      <c r="M12" s="17" t="s">
        <v>83</v>
      </c>
      <c r="N12" s="17" t="s">
        <v>84</v>
      </c>
      <c r="O12" s="21" t="s">
        <v>85</v>
      </c>
    </row>
    <row r="13" spans="1:15" ht="21" customHeight="1" x14ac:dyDescent="0.35">
      <c r="A13" s="20">
        <v>1</v>
      </c>
      <c r="B13" s="19"/>
      <c r="C13" s="16" t="s">
        <v>40</v>
      </c>
      <c r="D13" s="14" t="s">
        <v>142</v>
      </c>
      <c r="E13" s="14" t="s">
        <v>133</v>
      </c>
      <c r="F13" s="14" t="s">
        <v>106</v>
      </c>
      <c r="G13" s="14">
        <v>8</v>
      </c>
      <c r="H13" s="14" t="s">
        <v>109</v>
      </c>
      <c r="I13" s="14" t="s">
        <v>110</v>
      </c>
      <c r="J13" s="14">
        <v>6000</v>
      </c>
      <c r="K13" s="14">
        <v>1500</v>
      </c>
      <c r="L13" s="14">
        <v>4</v>
      </c>
      <c r="M13" s="15">
        <v>2261</v>
      </c>
      <c r="N13" s="30"/>
      <c r="O13" s="30"/>
    </row>
    <row r="14" spans="1:15" ht="21" customHeight="1" x14ac:dyDescent="0.35">
      <c r="A14" s="20">
        <v>2</v>
      </c>
      <c r="B14" s="19"/>
      <c r="C14" s="16" t="s">
        <v>41</v>
      </c>
      <c r="D14" s="14" t="s">
        <v>113</v>
      </c>
      <c r="E14" s="14" t="s">
        <v>133</v>
      </c>
      <c r="F14" s="14" t="s">
        <v>106</v>
      </c>
      <c r="G14" s="14">
        <v>7</v>
      </c>
      <c r="H14" s="14" t="s">
        <v>109</v>
      </c>
      <c r="I14" s="14" t="s">
        <v>110</v>
      </c>
      <c r="J14" s="14">
        <v>6900</v>
      </c>
      <c r="K14" s="14">
        <v>1500</v>
      </c>
      <c r="L14" s="14">
        <v>10</v>
      </c>
      <c r="M14" s="15">
        <v>5685</v>
      </c>
      <c r="N14" s="30"/>
      <c r="O14" s="30"/>
    </row>
    <row r="15" spans="1:15" ht="21" customHeight="1" x14ac:dyDescent="0.35">
      <c r="A15" s="20">
        <v>3</v>
      </c>
      <c r="B15" s="19"/>
      <c r="C15" s="16" t="s">
        <v>42</v>
      </c>
      <c r="D15" s="14" t="s">
        <v>113</v>
      </c>
      <c r="E15" s="14" t="s">
        <v>133</v>
      </c>
      <c r="F15" s="14" t="s">
        <v>106</v>
      </c>
      <c r="G15" s="14">
        <v>7</v>
      </c>
      <c r="H15" s="14" t="s">
        <v>109</v>
      </c>
      <c r="I15" s="14" t="s">
        <v>110</v>
      </c>
      <c r="J15" s="14">
        <v>6900</v>
      </c>
      <c r="K15" s="14">
        <v>1500</v>
      </c>
      <c r="L15" s="14">
        <v>10</v>
      </c>
      <c r="M15" s="15">
        <v>5686</v>
      </c>
      <c r="N15" s="30"/>
      <c r="O15" s="30"/>
    </row>
    <row r="16" spans="1:15" ht="21" customHeight="1" x14ac:dyDescent="0.35">
      <c r="A16" s="20">
        <v>4</v>
      </c>
      <c r="B16" s="19"/>
      <c r="C16" s="16" t="s">
        <v>43</v>
      </c>
      <c r="D16" s="14" t="s">
        <v>115</v>
      </c>
      <c r="E16" s="14" t="s">
        <v>132</v>
      </c>
      <c r="F16" s="14" t="s">
        <v>106</v>
      </c>
      <c r="G16" s="14">
        <v>5</v>
      </c>
      <c r="H16" s="14" t="s">
        <v>109</v>
      </c>
      <c r="I16" s="14" t="s">
        <v>110</v>
      </c>
      <c r="J16" s="14">
        <v>8000</v>
      </c>
      <c r="K16" s="14">
        <v>1500</v>
      </c>
      <c r="L16" s="14">
        <v>12</v>
      </c>
      <c r="M16" s="15">
        <v>5684</v>
      </c>
      <c r="N16" s="30"/>
      <c r="O16" s="30"/>
    </row>
    <row r="17" spans="1:15" ht="21" customHeight="1" x14ac:dyDescent="0.35">
      <c r="A17" s="20">
        <v>5</v>
      </c>
      <c r="B17" s="19"/>
      <c r="C17" s="16" t="s">
        <v>44</v>
      </c>
      <c r="D17" s="14" t="s">
        <v>115</v>
      </c>
      <c r="E17" s="14" t="s">
        <v>132</v>
      </c>
      <c r="F17" s="14" t="s">
        <v>106</v>
      </c>
      <c r="G17" s="14">
        <v>5</v>
      </c>
      <c r="H17" s="14" t="s">
        <v>109</v>
      </c>
      <c r="I17" s="14" t="s">
        <v>110</v>
      </c>
      <c r="J17" s="14">
        <v>8000</v>
      </c>
      <c r="K17" s="14">
        <v>1500</v>
      </c>
      <c r="L17" s="14">
        <v>12</v>
      </c>
      <c r="M17" s="15">
        <v>5684</v>
      </c>
      <c r="N17" s="30"/>
      <c r="O17" s="30"/>
    </row>
    <row r="18" spans="1:15" ht="21" customHeight="1" x14ac:dyDescent="0.35">
      <c r="A18" s="20">
        <v>6</v>
      </c>
      <c r="B18" s="26"/>
      <c r="C18" s="18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25"/>
      <c r="O18" s="25"/>
    </row>
    <row r="19" spans="1:15" ht="21" customHeight="1" x14ac:dyDescent="0.35">
      <c r="A19" s="20">
        <v>7</v>
      </c>
      <c r="B19" s="26"/>
      <c r="C19" s="26"/>
      <c r="D19" s="26"/>
      <c r="E19" s="26"/>
      <c r="F19" s="26"/>
      <c r="G19" s="27"/>
      <c r="H19" s="26"/>
      <c r="I19" s="26"/>
      <c r="J19" s="28"/>
      <c r="K19" s="28"/>
      <c r="L19" s="28"/>
      <c r="M19" s="27"/>
      <c r="N19" s="27"/>
      <c r="O19" s="29" t="str">
        <f t="shared" ref="O19:O22" si="0">IF(COUNTA(J19:L19)=3,J19*K19*L19/1000000,"")</f>
        <v/>
      </c>
    </row>
    <row r="20" spans="1:15" ht="21" customHeight="1" x14ac:dyDescent="0.35">
      <c r="A20" s="20">
        <v>8</v>
      </c>
      <c r="B20" s="26"/>
      <c r="C20" s="26"/>
      <c r="D20" s="26"/>
      <c r="E20" s="26"/>
      <c r="F20" s="26"/>
      <c r="G20" s="27"/>
      <c r="H20" s="26"/>
      <c r="I20" s="26"/>
      <c r="J20" s="28"/>
      <c r="K20" s="28"/>
      <c r="L20" s="28"/>
      <c r="M20" s="27"/>
      <c r="N20" s="27"/>
      <c r="O20" s="29" t="str">
        <f t="shared" si="0"/>
        <v/>
      </c>
    </row>
    <row r="21" spans="1:15" ht="21" customHeight="1" x14ac:dyDescent="0.35">
      <c r="A21" s="20">
        <v>9</v>
      </c>
      <c r="B21" s="26"/>
      <c r="C21" s="26"/>
      <c r="D21" s="26"/>
      <c r="E21" s="26"/>
      <c r="F21" s="26"/>
      <c r="G21" s="27"/>
      <c r="H21" s="26"/>
      <c r="I21" s="26"/>
      <c r="J21" s="28"/>
      <c r="K21" s="28"/>
      <c r="L21" s="28"/>
      <c r="M21" s="27"/>
      <c r="N21" s="27"/>
      <c r="O21" s="29" t="str">
        <f t="shared" si="0"/>
        <v/>
      </c>
    </row>
    <row r="22" spans="1:15" ht="21" customHeight="1" thickBot="1" x14ac:dyDescent="0.4">
      <c r="A22" s="20">
        <v>10</v>
      </c>
      <c r="B22" s="26"/>
      <c r="C22" s="26"/>
      <c r="D22" s="26"/>
      <c r="E22" s="26"/>
      <c r="F22" s="26"/>
      <c r="G22" s="27"/>
      <c r="H22" s="26"/>
      <c r="I22" s="26"/>
      <c r="J22" s="28"/>
      <c r="K22" s="28"/>
      <c r="L22" s="28"/>
      <c r="M22" s="27"/>
      <c r="N22" s="27"/>
      <c r="O22" s="29" t="str">
        <f t="shared" si="0"/>
        <v/>
      </c>
    </row>
    <row r="23" spans="1:15" ht="22.15" customHeight="1" thickBot="1" x14ac:dyDescent="0.4">
      <c r="A23" s="72" t="s">
        <v>86</v>
      </c>
      <c r="B23" s="65"/>
      <c r="C23" s="65"/>
      <c r="D23" s="65"/>
      <c r="E23" s="65"/>
      <c r="F23" s="65"/>
      <c r="G23" s="22">
        <f>SUM(G13:G22)</f>
        <v>32</v>
      </c>
      <c r="H23" s="23"/>
      <c r="I23" s="23"/>
      <c r="J23" s="23"/>
      <c r="K23" s="23"/>
      <c r="L23" s="23"/>
      <c r="M23" s="22">
        <f>SUM(M13:M22)</f>
        <v>25000</v>
      </c>
      <c r="N23" s="22">
        <f>SUM(N13:N22)</f>
        <v>0</v>
      </c>
      <c r="O23" s="24">
        <f>SUM(O13:O22)</f>
        <v>0</v>
      </c>
    </row>
    <row r="24" spans="1:15" x14ac:dyDescent="0.35">
      <c r="A24" s="3"/>
      <c r="O24" s="4"/>
    </row>
    <row r="25" spans="1:15" ht="22.15" customHeight="1" x14ac:dyDescent="0.35">
      <c r="A25" s="67" t="s">
        <v>87</v>
      </c>
      <c r="B25" s="68"/>
      <c r="C25" s="6">
        <f>COUNTA(B13:B22)</f>
        <v>0</v>
      </c>
      <c r="D25" s="68" t="s">
        <v>88</v>
      </c>
      <c r="E25" s="68"/>
      <c r="F25" s="7">
        <f>SUM(G13:G22)</f>
        <v>32</v>
      </c>
      <c r="G25" s="68" t="s">
        <v>89</v>
      </c>
      <c r="H25" s="68"/>
      <c r="I25" s="7">
        <f>SUM(M13:M22)</f>
        <v>25000</v>
      </c>
      <c r="J25" s="68" t="s">
        <v>90</v>
      </c>
      <c r="K25" s="68"/>
      <c r="L25" s="7">
        <f>SUM(N13:N22)</f>
        <v>0</v>
      </c>
      <c r="M25" s="68" t="s">
        <v>91</v>
      </c>
      <c r="N25" s="68"/>
      <c r="O25" s="8">
        <f>SUM(O13:O22)</f>
        <v>0</v>
      </c>
    </row>
    <row r="26" spans="1:15" ht="15" thickBot="1" x14ac:dyDescent="0.4">
      <c r="A26" s="3"/>
      <c r="O26" s="4"/>
    </row>
    <row r="27" spans="1:15" ht="19.899999999999999" customHeight="1" thickBot="1" x14ac:dyDescent="0.4">
      <c r="A27" s="75" t="s">
        <v>92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7"/>
    </row>
    <row r="28" spans="1:15" ht="24" customHeight="1" thickBot="1" x14ac:dyDescent="0.4">
      <c r="A28" s="78" t="s">
        <v>93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7"/>
    </row>
    <row r="29" spans="1:15" ht="24" customHeight="1" thickBot="1" x14ac:dyDescent="0.4">
      <c r="A29" s="79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7"/>
    </row>
    <row r="30" spans="1:15" ht="15" thickBot="1" x14ac:dyDescent="0.4">
      <c r="A30" s="3"/>
      <c r="O30" s="4"/>
    </row>
    <row r="31" spans="1:15" ht="19.899999999999999" customHeight="1" thickBot="1" x14ac:dyDescent="0.4">
      <c r="A31" s="75" t="s">
        <v>94</v>
      </c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7"/>
    </row>
    <row r="32" spans="1:15" ht="22.15" customHeight="1" thickBot="1" x14ac:dyDescent="0.4">
      <c r="A32" s="80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2"/>
    </row>
    <row r="33" spans="1:15" ht="19.899999999999999" customHeight="1" x14ac:dyDescent="0.35">
      <c r="A33" s="89" t="s">
        <v>95</v>
      </c>
      <c r="B33" s="90"/>
      <c r="C33" s="90"/>
      <c r="D33" s="91" t="s">
        <v>96</v>
      </c>
      <c r="E33" s="90"/>
      <c r="F33" s="90"/>
      <c r="G33" s="91" t="s">
        <v>97</v>
      </c>
      <c r="H33" s="90"/>
      <c r="I33" s="90"/>
      <c r="J33" s="91" t="s">
        <v>98</v>
      </c>
      <c r="K33" s="90"/>
      <c r="L33" s="90"/>
      <c r="M33" s="91" t="s">
        <v>99</v>
      </c>
      <c r="N33" s="90"/>
      <c r="O33" s="92"/>
    </row>
    <row r="34" spans="1:15" ht="19.899999999999999" customHeight="1" x14ac:dyDescent="0.35">
      <c r="A34" s="9"/>
      <c r="B34" s="10"/>
      <c r="C34" s="10"/>
      <c r="D34" s="11"/>
      <c r="E34" s="10"/>
      <c r="F34" s="10"/>
      <c r="G34" s="11"/>
      <c r="H34" s="10"/>
      <c r="I34" s="10"/>
      <c r="J34" s="11"/>
      <c r="K34" s="10"/>
      <c r="L34" s="10"/>
      <c r="M34" s="11"/>
      <c r="N34" s="10"/>
      <c r="O34" s="12"/>
    </row>
    <row r="35" spans="1:15" ht="19.899999999999999" customHeight="1" x14ac:dyDescent="0.35">
      <c r="A35" s="9"/>
      <c r="B35" s="10"/>
      <c r="C35" s="10"/>
      <c r="D35" s="11"/>
      <c r="E35" s="10"/>
      <c r="F35" s="10"/>
      <c r="G35" s="11"/>
      <c r="H35" s="10"/>
      <c r="I35" s="10"/>
      <c r="J35" s="11"/>
      <c r="K35" s="10"/>
      <c r="L35" s="10"/>
      <c r="M35" s="11"/>
      <c r="N35" s="10"/>
      <c r="O35" s="12"/>
    </row>
    <row r="36" spans="1:15" ht="19.899999999999999" customHeight="1" thickBot="1" x14ac:dyDescent="0.4">
      <c r="A36" s="9"/>
      <c r="B36" s="10"/>
      <c r="C36" s="10"/>
      <c r="D36" s="11"/>
      <c r="E36" s="10"/>
      <c r="F36" s="10"/>
      <c r="G36" s="11"/>
      <c r="H36" s="10"/>
      <c r="I36" s="10"/>
      <c r="J36" s="11"/>
      <c r="K36" s="10"/>
      <c r="L36" s="10"/>
      <c r="M36" s="11"/>
      <c r="N36" s="10"/>
      <c r="O36" s="12"/>
    </row>
    <row r="37" spans="1:15" ht="18.5" x14ac:dyDescent="0.35">
      <c r="A37" s="93" t="s">
        <v>100</v>
      </c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5"/>
    </row>
    <row r="38" spans="1:15" ht="14.5" customHeight="1" x14ac:dyDescent="0.35">
      <c r="A38" s="83" t="s">
        <v>101</v>
      </c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5"/>
    </row>
    <row r="39" spans="1:15" ht="15" thickBot="1" x14ac:dyDescent="0.4">
      <c r="A39" s="86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8"/>
    </row>
  </sheetData>
  <mergeCells count="62">
    <mergeCell ref="A38:O39"/>
    <mergeCell ref="A33:C33"/>
    <mergeCell ref="D33:F33"/>
    <mergeCell ref="G33:I33"/>
    <mergeCell ref="J33:L33"/>
    <mergeCell ref="M33:O33"/>
    <mergeCell ref="A37:O37"/>
    <mergeCell ref="A28:O29"/>
    <mergeCell ref="A31:O31"/>
    <mergeCell ref="A32:C32"/>
    <mergeCell ref="D32:F32"/>
    <mergeCell ref="G32:I32"/>
    <mergeCell ref="J32:L32"/>
    <mergeCell ref="M32:O32"/>
    <mergeCell ref="A25:B25"/>
    <mergeCell ref="D25:E25"/>
    <mergeCell ref="G25:H25"/>
    <mergeCell ref="J25:K25"/>
    <mergeCell ref="A27:O27"/>
    <mergeCell ref="M25:N25"/>
    <mergeCell ref="K10:L10"/>
    <mergeCell ref="M10:N10"/>
    <mergeCell ref="A9:B9"/>
    <mergeCell ref="C9:D9"/>
    <mergeCell ref="E9:F9"/>
    <mergeCell ref="G9:H9"/>
    <mergeCell ref="I9:J9"/>
    <mergeCell ref="K9:L9"/>
    <mergeCell ref="A23:F23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M9:N9"/>
    <mergeCell ref="A10:B10"/>
    <mergeCell ref="C10:D10"/>
    <mergeCell ref="E10:F10"/>
    <mergeCell ref="G10:H10"/>
    <mergeCell ref="I10:J10"/>
    <mergeCell ref="A5:O5"/>
    <mergeCell ref="A6:B6"/>
    <mergeCell ref="C6:D6"/>
    <mergeCell ref="E6:F6"/>
    <mergeCell ref="G6:H6"/>
    <mergeCell ref="I6:J6"/>
    <mergeCell ref="K6:L6"/>
    <mergeCell ref="M6:N6"/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</mergeCells>
  <pageMargins left="0.7" right="0.7" top="0.75" bottom="0.75" header="0.3" footer="0.3"/>
  <pageSetup paperSize="9" scale="48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7E88F-549F-4CB7-AFE0-A76CB6A1B0DB}">
  <sheetPr>
    <tabColor rgb="FFF17F9D"/>
  </sheetPr>
  <dimension ref="A1:O39"/>
  <sheetViews>
    <sheetView showGridLines="0" tabSelected="1" view="pageBreakPreview" zoomScale="60" zoomScaleNormal="70" workbookViewId="0">
      <selection activeCell="Q15" sqref="Q15"/>
    </sheetView>
  </sheetViews>
  <sheetFormatPr defaultRowHeight="14.5" x14ac:dyDescent="0.35"/>
  <cols>
    <col min="1" max="1" width="8" style="1" customWidth="1"/>
    <col min="2" max="2" width="13" style="1" customWidth="1"/>
    <col min="3" max="3" width="11.7265625" style="1" bestFit="1" customWidth="1"/>
    <col min="4" max="4" width="30.26953125" style="1" bestFit="1" customWidth="1"/>
    <col min="5" max="5" width="15.08984375" style="1" bestFit="1" customWidth="1"/>
    <col min="6" max="6" width="6.54296875" style="1" bestFit="1" customWidth="1"/>
    <col min="7" max="8" width="8" style="1" customWidth="1"/>
    <col min="9" max="9" width="11.26953125" style="1" bestFit="1" customWidth="1"/>
    <col min="10" max="10" width="7.90625" style="1" customWidth="1"/>
    <col min="11" max="11" width="8.26953125" style="1" customWidth="1"/>
    <col min="12" max="12" width="8.36328125" style="1" customWidth="1"/>
    <col min="13" max="13" width="12" style="1" customWidth="1"/>
    <col min="14" max="14" width="13" style="1" customWidth="1"/>
    <col min="15" max="15" width="12" style="1" customWidth="1"/>
    <col min="16" max="16384" width="8.7265625" style="1"/>
  </cols>
  <sheetData>
    <row r="1" spans="1:15" ht="17.25" customHeight="1" x14ac:dyDescent="0.35">
      <c r="A1" s="34" t="e" vm="1">
        <v>#VALUE!</v>
      </c>
      <c r="B1" s="35"/>
      <c r="C1" s="36"/>
      <c r="D1" s="43" t="s">
        <v>45</v>
      </c>
      <c r="E1" s="44"/>
      <c r="F1" s="44"/>
      <c r="G1" s="44"/>
      <c r="H1" s="44"/>
      <c r="I1" s="44"/>
      <c r="J1" s="44"/>
      <c r="K1" s="45"/>
      <c r="L1" s="52" t="s">
        <v>46</v>
      </c>
      <c r="M1" s="53"/>
      <c r="N1" s="54">
        <v>46098</v>
      </c>
      <c r="O1" s="55"/>
    </row>
    <row r="2" spans="1:15" ht="18" customHeight="1" x14ac:dyDescent="0.35">
      <c r="A2" s="37"/>
      <c r="B2" s="38"/>
      <c r="C2" s="39"/>
      <c r="D2" s="46"/>
      <c r="E2" s="47"/>
      <c r="F2" s="47"/>
      <c r="G2" s="47"/>
      <c r="H2" s="47"/>
      <c r="I2" s="47"/>
      <c r="J2" s="47"/>
      <c r="K2" s="48"/>
      <c r="L2" s="56" t="s">
        <v>47</v>
      </c>
      <c r="M2" s="57"/>
      <c r="N2" s="58" t="s">
        <v>48</v>
      </c>
      <c r="O2" s="59"/>
    </row>
    <row r="3" spans="1:15" ht="16.5" customHeight="1" x14ac:dyDescent="0.35">
      <c r="A3" s="37"/>
      <c r="B3" s="38"/>
      <c r="C3" s="39"/>
      <c r="D3" s="46"/>
      <c r="E3" s="47"/>
      <c r="F3" s="47"/>
      <c r="G3" s="47"/>
      <c r="H3" s="47"/>
      <c r="I3" s="47"/>
      <c r="J3" s="47"/>
      <c r="K3" s="48"/>
      <c r="L3" s="56" t="s">
        <v>49</v>
      </c>
      <c r="M3" s="57"/>
      <c r="N3" s="58" t="s">
        <v>50</v>
      </c>
      <c r="O3" s="59"/>
    </row>
    <row r="4" spans="1:15" ht="15.75" customHeight="1" thickBot="1" x14ac:dyDescent="0.4">
      <c r="A4" s="40"/>
      <c r="B4" s="41"/>
      <c r="C4" s="42"/>
      <c r="D4" s="49"/>
      <c r="E4" s="50"/>
      <c r="F4" s="50"/>
      <c r="G4" s="50"/>
      <c r="H4" s="50"/>
      <c r="I4" s="50"/>
      <c r="J4" s="50"/>
      <c r="K4" s="51"/>
      <c r="L4" s="60" t="s">
        <v>51</v>
      </c>
      <c r="M4" s="61"/>
      <c r="N4" s="62" t="s">
        <v>52</v>
      </c>
      <c r="O4" s="63"/>
    </row>
    <row r="5" spans="1:15" ht="19.899999999999999" customHeight="1" thickBot="1" x14ac:dyDescent="0.4">
      <c r="A5" s="64" t="s">
        <v>53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6"/>
    </row>
    <row r="6" spans="1:15" ht="22.15" customHeight="1" x14ac:dyDescent="0.35">
      <c r="A6" s="67" t="s">
        <v>54</v>
      </c>
      <c r="B6" s="68"/>
      <c r="C6" s="69" t="s">
        <v>152</v>
      </c>
      <c r="D6" s="70"/>
      <c r="E6" s="68" t="s">
        <v>55</v>
      </c>
      <c r="F6" s="68"/>
      <c r="G6" s="71">
        <v>46120</v>
      </c>
      <c r="H6" s="70"/>
      <c r="I6" s="68" t="s">
        <v>56</v>
      </c>
      <c r="J6" s="68"/>
      <c r="K6" s="70" t="s">
        <v>151</v>
      </c>
      <c r="L6" s="70"/>
      <c r="M6" s="68" t="s">
        <v>57</v>
      </c>
      <c r="N6" s="68"/>
      <c r="O6" s="13" t="s">
        <v>103</v>
      </c>
    </row>
    <row r="7" spans="1:15" ht="22.15" customHeight="1" x14ac:dyDescent="0.35">
      <c r="A7" s="67" t="s">
        <v>58</v>
      </c>
      <c r="B7" s="68"/>
      <c r="C7" s="69" t="s">
        <v>100</v>
      </c>
      <c r="D7" s="70"/>
      <c r="E7" s="70"/>
      <c r="F7" s="70"/>
      <c r="G7" s="70"/>
      <c r="H7" s="70"/>
      <c r="I7" s="68" t="s">
        <v>59</v>
      </c>
      <c r="J7" s="68"/>
      <c r="K7" s="69" t="s">
        <v>102</v>
      </c>
      <c r="L7" s="70"/>
      <c r="M7" s="70"/>
      <c r="N7" s="70"/>
      <c r="O7" s="73"/>
    </row>
    <row r="8" spans="1:15" ht="22.15" customHeight="1" x14ac:dyDescent="0.35">
      <c r="A8" s="67" t="s">
        <v>60</v>
      </c>
      <c r="B8" s="68"/>
      <c r="C8" s="69" t="s">
        <v>102</v>
      </c>
      <c r="D8" s="70"/>
      <c r="E8" s="70"/>
      <c r="F8" s="70"/>
      <c r="G8" s="70"/>
      <c r="H8" s="70"/>
      <c r="I8" s="68" t="s">
        <v>61</v>
      </c>
      <c r="J8" s="68"/>
      <c r="K8" s="69" t="s">
        <v>106</v>
      </c>
      <c r="L8" s="70"/>
      <c r="M8" s="68" t="s">
        <v>62</v>
      </c>
      <c r="N8" s="68"/>
      <c r="O8" s="13" t="s">
        <v>105</v>
      </c>
    </row>
    <row r="9" spans="1:15" ht="22.15" customHeight="1" x14ac:dyDescent="0.35">
      <c r="A9" s="67" t="s">
        <v>63</v>
      </c>
      <c r="B9" s="68"/>
      <c r="C9" s="69" t="s">
        <v>104</v>
      </c>
      <c r="D9" s="70"/>
      <c r="E9" s="68" t="s">
        <v>64</v>
      </c>
      <c r="F9" s="68"/>
      <c r="G9" s="69" t="s">
        <v>105</v>
      </c>
      <c r="H9" s="70"/>
      <c r="I9" s="68" t="s">
        <v>65</v>
      </c>
      <c r="J9" s="68"/>
      <c r="K9" s="69" t="s">
        <v>107</v>
      </c>
      <c r="L9" s="70"/>
      <c r="M9" s="68" t="s">
        <v>66</v>
      </c>
      <c r="N9" s="68"/>
      <c r="O9" s="2">
        <v>46153</v>
      </c>
    </row>
    <row r="10" spans="1:15" ht="22.15" customHeight="1" x14ac:dyDescent="0.35">
      <c r="A10" s="67" t="s">
        <v>67</v>
      </c>
      <c r="B10" s="68"/>
      <c r="C10" s="74" t="s">
        <v>131</v>
      </c>
      <c r="D10" s="70"/>
      <c r="E10" s="68" t="s">
        <v>68</v>
      </c>
      <c r="F10" s="68"/>
      <c r="G10" s="70"/>
      <c r="H10" s="70"/>
      <c r="I10" s="68" t="s">
        <v>69</v>
      </c>
      <c r="J10" s="68"/>
      <c r="K10" s="70"/>
      <c r="L10" s="70"/>
      <c r="M10" s="68" t="s">
        <v>70</v>
      </c>
      <c r="N10" s="68"/>
      <c r="O10" s="13" t="s">
        <v>108</v>
      </c>
    </row>
    <row r="11" spans="1:15" ht="15" thickBot="1" x14ac:dyDescent="0.4">
      <c r="A11" s="1" t="s">
        <v>137</v>
      </c>
      <c r="O11" s="4"/>
    </row>
    <row r="12" spans="1:15" ht="34.15" customHeight="1" thickBot="1" x14ac:dyDescent="0.4">
      <c r="A12" s="5" t="s">
        <v>71</v>
      </c>
      <c r="B12" s="17" t="s">
        <v>72</v>
      </c>
      <c r="C12" s="17" t="s">
        <v>73</v>
      </c>
      <c r="D12" s="17" t="s">
        <v>74</v>
      </c>
      <c r="E12" s="17" t="s">
        <v>75</v>
      </c>
      <c r="F12" s="17" t="s">
        <v>76</v>
      </c>
      <c r="G12" s="17" t="s">
        <v>77</v>
      </c>
      <c r="H12" s="17" t="s">
        <v>78</v>
      </c>
      <c r="I12" s="17" t="s">
        <v>79</v>
      </c>
      <c r="J12" s="17" t="s">
        <v>80</v>
      </c>
      <c r="K12" s="17" t="s">
        <v>81</v>
      </c>
      <c r="L12" s="17" t="s">
        <v>82</v>
      </c>
      <c r="M12" s="17" t="s">
        <v>83</v>
      </c>
      <c r="N12" s="17" t="s">
        <v>84</v>
      </c>
      <c r="O12" s="21" t="s">
        <v>85</v>
      </c>
    </row>
    <row r="13" spans="1:15" ht="21" customHeight="1" x14ac:dyDescent="0.35">
      <c r="A13" s="20">
        <v>1</v>
      </c>
      <c r="B13" s="19"/>
      <c r="C13" s="32" t="s">
        <v>138</v>
      </c>
      <c r="D13" s="15" t="s">
        <v>116</v>
      </c>
      <c r="E13" s="15" t="s">
        <v>133</v>
      </c>
      <c r="F13" s="15" t="s">
        <v>106</v>
      </c>
      <c r="G13" s="15">
        <v>5</v>
      </c>
      <c r="H13" s="15" t="s">
        <v>109</v>
      </c>
      <c r="I13" s="15" t="s">
        <v>110</v>
      </c>
      <c r="J13" s="15">
        <v>6900</v>
      </c>
      <c r="K13" s="15">
        <v>1500</v>
      </c>
      <c r="L13" s="15">
        <v>12</v>
      </c>
      <c r="M13" s="15">
        <v>4925</v>
      </c>
      <c r="N13" s="30"/>
      <c r="O13" s="30"/>
    </row>
    <row r="14" spans="1:15" ht="21" customHeight="1" x14ac:dyDescent="0.35">
      <c r="A14" s="20">
        <v>2</v>
      </c>
      <c r="B14" s="19"/>
      <c r="C14" s="18" t="s">
        <v>139</v>
      </c>
      <c r="D14" s="15" t="s">
        <v>116</v>
      </c>
      <c r="E14" s="15" t="s">
        <v>133</v>
      </c>
      <c r="F14" s="15" t="s">
        <v>106</v>
      </c>
      <c r="G14" s="15">
        <v>5</v>
      </c>
      <c r="H14" s="15" t="s">
        <v>109</v>
      </c>
      <c r="I14" s="15" t="s">
        <v>110</v>
      </c>
      <c r="J14" s="15">
        <v>6900</v>
      </c>
      <c r="K14" s="15">
        <v>1500</v>
      </c>
      <c r="L14" s="15">
        <v>12</v>
      </c>
      <c r="M14" s="15">
        <v>4925</v>
      </c>
      <c r="N14" s="30"/>
      <c r="O14" s="30"/>
    </row>
    <row r="15" spans="1:15" ht="21" customHeight="1" x14ac:dyDescent="0.35">
      <c r="A15" s="20">
        <v>3</v>
      </c>
      <c r="B15" s="19"/>
      <c r="C15" s="18" t="s">
        <v>140</v>
      </c>
      <c r="D15" s="15" t="s">
        <v>116</v>
      </c>
      <c r="E15" s="15" t="s">
        <v>133</v>
      </c>
      <c r="F15" s="15" t="s">
        <v>106</v>
      </c>
      <c r="G15" s="15">
        <v>5</v>
      </c>
      <c r="H15" s="15" t="s">
        <v>109</v>
      </c>
      <c r="I15" s="15" t="s">
        <v>110</v>
      </c>
      <c r="J15" s="15">
        <v>6900</v>
      </c>
      <c r="K15" s="15">
        <v>1500</v>
      </c>
      <c r="L15" s="15">
        <v>12</v>
      </c>
      <c r="M15" s="15">
        <v>4925</v>
      </c>
      <c r="N15" s="30"/>
      <c r="O15" s="30"/>
    </row>
    <row r="16" spans="1:15" ht="21" customHeight="1" x14ac:dyDescent="0.35">
      <c r="A16" s="20">
        <v>4</v>
      </c>
      <c r="B16" s="19"/>
      <c r="C16" s="18" t="s">
        <v>141</v>
      </c>
      <c r="D16" s="15" t="s">
        <v>116</v>
      </c>
      <c r="E16" s="15" t="s">
        <v>132</v>
      </c>
      <c r="F16" s="15" t="s">
        <v>106</v>
      </c>
      <c r="G16" s="15">
        <v>6</v>
      </c>
      <c r="H16" s="15" t="s">
        <v>109</v>
      </c>
      <c r="I16" s="15" t="s">
        <v>110</v>
      </c>
      <c r="J16" s="15">
        <v>6900</v>
      </c>
      <c r="K16" s="15">
        <v>1500</v>
      </c>
      <c r="L16" s="15">
        <v>12</v>
      </c>
      <c r="M16" s="15">
        <v>5915</v>
      </c>
      <c r="N16" s="30"/>
      <c r="O16" s="30"/>
    </row>
    <row r="17" spans="1:15" ht="21" customHeight="1" x14ac:dyDescent="0.35">
      <c r="A17" s="20">
        <v>5</v>
      </c>
      <c r="B17" s="19"/>
      <c r="C17" s="16"/>
      <c r="D17" s="14"/>
      <c r="E17" s="14"/>
      <c r="F17" s="14"/>
      <c r="G17" s="14"/>
      <c r="H17" s="14"/>
      <c r="I17" s="14"/>
      <c r="J17" s="14"/>
      <c r="K17" s="14"/>
      <c r="L17" s="14"/>
      <c r="M17" s="15"/>
      <c r="N17" s="30"/>
      <c r="O17" s="30"/>
    </row>
    <row r="18" spans="1:15" ht="21" customHeight="1" x14ac:dyDescent="0.35">
      <c r="A18" s="20">
        <v>6</v>
      </c>
      <c r="B18" s="26"/>
      <c r="C18" s="18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25"/>
      <c r="O18" s="25"/>
    </row>
    <row r="19" spans="1:15" ht="21" customHeight="1" x14ac:dyDescent="0.35">
      <c r="A19" s="20">
        <v>7</v>
      </c>
      <c r="B19" s="26"/>
      <c r="C19" s="26"/>
      <c r="D19" s="26"/>
      <c r="E19" s="26"/>
      <c r="F19" s="26"/>
      <c r="G19" s="27"/>
      <c r="H19" s="26"/>
      <c r="I19" s="26"/>
      <c r="J19" s="28"/>
      <c r="K19" s="28"/>
      <c r="L19" s="28"/>
      <c r="M19" s="27"/>
      <c r="N19" s="27"/>
      <c r="O19" s="29" t="str">
        <f t="shared" ref="O19:O22" si="0">IF(COUNTA(J19:L19)=3,J19*K19*L19/1000000,"")</f>
        <v/>
      </c>
    </row>
    <row r="20" spans="1:15" ht="21" customHeight="1" x14ac:dyDescent="0.35">
      <c r="A20" s="20">
        <v>8</v>
      </c>
      <c r="B20" s="26"/>
      <c r="C20" s="26"/>
      <c r="D20" s="26"/>
      <c r="E20" s="26"/>
      <c r="F20" s="26"/>
      <c r="G20" s="27"/>
      <c r="H20" s="26"/>
      <c r="I20" s="26"/>
      <c r="J20" s="28"/>
      <c r="K20" s="28"/>
      <c r="L20" s="28"/>
      <c r="M20" s="27"/>
      <c r="N20" s="27"/>
      <c r="O20" s="29" t="str">
        <f t="shared" si="0"/>
        <v/>
      </c>
    </row>
    <row r="21" spans="1:15" ht="21" customHeight="1" x14ac:dyDescent="0.35">
      <c r="A21" s="20">
        <v>9</v>
      </c>
      <c r="B21" s="26"/>
      <c r="C21" s="26"/>
      <c r="D21" s="26"/>
      <c r="E21" s="26"/>
      <c r="F21" s="26"/>
      <c r="G21" s="27"/>
      <c r="H21" s="26"/>
      <c r="I21" s="26"/>
      <c r="J21" s="28"/>
      <c r="K21" s="28"/>
      <c r="L21" s="28"/>
      <c r="M21" s="27"/>
      <c r="N21" s="27"/>
      <c r="O21" s="29" t="str">
        <f t="shared" si="0"/>
        <v/>
      </c>
    </row>
    <row r="22" spans="1:15" ht="21" customHeight="1" thickBot="1" x14ac:dyDescent="0.4">
      <c r="A22" s="20">
        <v>10</v>
      </c>
      <c r="B22" s="26"/>
      <c r="C22" s="26"/>
      <c r="D22" s="26"/>
      <c r="E22" s="26"/>
      <c r="F22" s="26"/>
      <c r="G22" s="27"/>
      <c r="H22" s="26"/>
      <c r="I22" s="26"/>
      <c r="J22" s="28"/>
      <c r="K22" s="28"/>
      <c r="L22" s="28"/>
      <c r="M22" s="27"/>
      <c r="N22" s="27"/>
      <c r="O22" s="29" t="str">
        <f t="shared" si="0"/>
        <v/>
      </c>
    </row>
    <row r="23" spans="1:15" ht="22.15" customHeight="1" thickBot="1" x14ac:dyDescent="0.4">
      <c r="A23" s="72" t="s">
        <v>86</v>
      </c>
      <c r="B23" s="65"/>
      <c r="C23" s="65"/>
      <c r="D23" s="65"/>
      <c r="E23" s="65"/>
      <c r="F23" s="65"/>
      <c r="G23" s="22">
        <f>SUM(G13:G22)</f>
        <v>21</v>
      </c>
      <c r="H23" s="23"/>
      <c r="I23" s="23"/>
      <c r="J23" s="23"/>
      <c r="K23" s="23"/>
      <c r="L23" s="23"/>
      <c r="M23" s="22">
        <f>SUM(M13:M22)</f>
        <v>20690</v>
      </c>
      <c r="N23" s="22">
        <f>SUM(N13:N22)</f>
        <v>0</v>
      </c>
      <c r="O23" s="24">
        <f>SUM(O13:O22)</f>
        <v>0</v>
      </c>
    </row>
    <row r="24" spans="1:15" x14ac:dyDescent="0.35">
      <c r="A24" s="3"/>
      <c r="O24" s="4"/>
    </row>
    <row r="25" spans="1:15" ht="22.15" customHeight="1" x14ac:dyDescent="0.35">
      <c r="A25" s="67" t="s">
        <v>87</v>
      </c>
      <c r="B25" s="68"/>
      <c r="C25" s="6">
        <f>COUNTA(B13:B22)</f>
        <v>0</v>
      </c>
      <c r="D25" s="68" t="s">
        <v>88</v>
      </c>
      <c r="E25" s="68"/>
      <c r="F25" s="7">
        <f>SUM(G13:G22)</f>
        <v>21</v>
      </c>
      <c r="G25" s="68" t="s">
        <v>89</v>
      </c>
      <c r="H25" s="68"/>
      <c r="I25" s="7">
        <f>SUM(M13:M22)</f>
        <v>20690</v>
      </c>
      <c r="J25" s="68" t="s">
        <v>90</v>
      </c>
      <c r="K25" s="68"/>
      <c r="L25" s="7">
        <f>SUM(N13:N22)</f>
        <v>0</v>
      </c>
      <c r="M25" s="68" t="s">
        <v>91</v>
      </c>
      <c r="N25" s="68"/>
      <c r="O25" s="8">
        <f>SUM(O13:O22)</f>
        <v>0</v>
      </c>
    </row>
    <row r="26" spans="1:15" ht="15" thickBot="1" x14ac:dyDescent="0.4">
      <c r="A26" s="3"/>
      <c r="O26" s="4"/>
    </row>
    <row r="27" spans="1:15" ht="19.899999999999999" customHeight="1" thickBot="1" x14ac:dyDescent="0.4">
      <c r="A27" s="75" t="s">
        <v>92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7"/>
    </row>
    <row r="28" spans="1:15" ht="24" customHeight="1" thickBot="1" x14ac:dyDescent="0.4">
      <c r="A28" s="78" t="s">
        <v>93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7"/>
    </row>
    <row r="29" spans="1:15" ht="24" customHeight="1" thickBot="1" x14ac:dyDescent="0.4">
      <c r="A29" s="79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7"/>
    </row>
    <row r="30" spans="1:15" ht="15" thickBot="1" x14ac:dyDescent="0.4">
      <c r="A30" s="3"/>
      <c r="O30" s="4"/>
    </row>
    <row r="31" spans="1:15" ht="19.899999999999999" customHeight="1" thickBot="1" x14ac:dyDescent="0.4">
      <c r="A31" s="75" t="s">
        <v>94</v>
      </c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7"/>
    </row>
    <row r="32" spans="1:15" ht="22.15" customHeight="1" thickBot="1" x14ac:dyDescent="0.4">
      <c r="A32" s="80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2"/>
    </row>
    <row r="33" spans="1:15" ht="19.899999999999999" customHeight="1" x14ac:dyDescent="0.35">
      <c r="A33" s="89" t="s">
        <v>95</v>
      </c>
      <c r="B33" s="90"/>
      <c r="C33" s="90"/>
      <c r="D33" s="91" t="s">
        <v>96</v>
      </c>
      <c r="E33" s="90"/>
      <c r="F33" s="90"/>
      <c r="G33" s="91" t="s">
        <v>97</v>
      </c>
      <c r="H33" s="90"/>
      <c r="I33" s="90"/>
      <c r="J33" s="91" t="s">
        <v>98</v>
      </c>
      <c r="K33" s="90"/>
      <c r="L33" s="90"/>
      <c r="M33" s="91" t="s">
        <v>99</v>
      </c>
      <c r="N33" s="90"/>
      <c r="O33" s="92"/>
    </row>
    <row r="34" spans="1:15" ht="19.899999999999999" customHeight="1" x14ac:dyDescent="0.35">
      <c r="A34" s="9"/>
      <c r="B34" s="10"/>
      <c r="C34" s="10"/>
      <c r="D34" s="11"/>
      <c r="E34" s="10"/>
      <c r="F34" s="10"/>
      <c r="G34" s="11"/>
      <c r="H34" s="10"/>
      <c r="I34" s="10"/>
      <c r="J34" s="11"/>
      <c r="K34" s="10"/>
      <c r="L34" s="10"/>
      <c r="M34" s="11"/>
      <c r="N34" s="10"/>
      <c r="O34" s="12"/>
    </row>
    <row r="35" spans="1:15" ht="19.899999999999999" customHeight="1" x14ac:dyDescent="0.35">
      <c r="A35" s="9"/>
      <c r="B35" s="10"/>
      <c r="C35" s="10"/>
      <c r="D35" s="11"/>
      <c r="E35" s="10"/>
      <c r="F35" s="10"/>
      <c r="G35" s="11"/>
      <c r="H35" s="10"/>
      <c r="I35" s="10"/>
      <c r="J35" s="11"/>
      <c r="K35" s="10"/>
      <c r="L35" s="10"/>
      <c r="M35" s="11"/>
      <c r="N35" s="10"/>
      <c r="O35" s="12"/>
    </row>
    <row r="36" spans="1:15" ht="19.899999999999999" customHeight="1" thickBot="1" x14ac:dyDescent="0.4">
      <c r="A36" s="9"/>
      <c r="B36" s="10"/>
      <c r="C36" s="10"/>
      <c r="D36" s="11"/>
      <c r="E36" s="10"/>
      <c r="F36" s="10"/>
      <c r="G36" s="11"/>
      <c r="H36" s="10"/>
      <c r="I36" s="10"/>
      <c r="J36" s="11"/>
      <c r="K36" s="10"/>
      <c r="L36" s="10"/>
      <c r="M36" s="11"/>
      <c r="N36" s="10"/>
      <c r="O36" s="12"/>
    </row>
    <row r="37" spans="1:15" ht="18.5" x14ac:dyDescent="0.35">
      <c r="A37" s="93" t="s">
        <v>100</v>
      </c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5"/>
    </row>
    <row r="38" spans="1:15" ht="14.5" customHeight="1" x14ac:dyDescent="0.35">
      <c r="A38" s="83" t="s">
        <v>101</v>
      </c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5"/>
    </row>
    <row r="39" spans="1:15" ht="15" thickBot="1" x14ac:dyDescent="0.4">
      <c r="A39" s="86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8"/>
    </row>
  </sheetData>
  <mergeCells count="62"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  <mergeCell ref="A5:O5"/>
    <mergeCell ref="A6:B6"/>
    <mergeCell ref="C6:D6"/>
    <mergeCell ref="E6:F6"/>
    <mergeCell ref="G6:H6"/>
    <mergeCell ref="I6:J6"/>
    <mergeCell ref="K6:L6"/>
    <mergeCell ref="M6:N6"/>
    <mergeCell ref="A23:F23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9:L9"/>
    <mergeCell ref="A25:B25"/>
    <mergeCell ref="D25:E25"/>
    <mergeCell ref="G25:H25"/>
    <mergeCell ref="J25:K25"/>
    <mergeCell ref="A27:O27"/>
    <mergeCell ref="M25:N25"/>
    <mergeCell ref="A28:O29"/>
    <mergeCell ref="A31:O31"/>
    <mergeCell ref="A32:C32"/>
    <mergeCell ref="D32:F32"/>
    <mergeCell ref="G32:I32"/>
    <mergeCell ref="J32:L32"/>
    <mergeCell ref="M32:O32"/>
    <mergeCell ref="A38:O39"/>
    <mergeCell ref="A33:C33"/>
    <mergeCell ref="D33:F33"/>
    <mergeCell ref="G33:I33"/>
    <mergeCell ref="J33:L33"/>
    <mergeCell ref="M33:O33"/>
    <mergeCell ref="A37:O37"/>
  </mergeCells>
  <pageMargins left="0.7" right="0.7" top="0.75" bottom="0.75" header="0.3" footer="0.3"/>
  <pageSetup paperSize="9" scale="48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12</vt:i4>
      </vt:variant>
      <vt:variant>
        <vt:lpstr>Adlandırılmış Aralıklar</vt:lpstr>
      </vt:variant>
      <vt:variant>
        <vt:i4>11</vt:i4>
      </vt:variant>
    </vt:vector>
  </HeadingPairs>
  <TitlesOfParts>
    <vt:vector size="23" baseType="lpstr">
      <vt:lpstr>sum</vt:lpstr>
      <vt:lpstr>TCLU7139589</vt:lpstr>
      <vt:lpstr>TCLU7112490</vt:lpstr>
      <vt:lpstr>TEXU1581022</vt:lpstr>
      <vt:lpstr>TLLU1265510</vt:lpstr>
      <vt:lpstr>TRIU0520849</vt:lpstr>
      <vt:lpstr>TLLU1263332</vt:lpstr>
      <vt:lpstr>SEGU734199-1</vt:lpstr>
      <vt:lpstr>TCLU700218-0</vt:lpstr>
      <vt:lpstr>TRLU641946-0</vt:lpstr>
      <vt:lpstr>TCLU716284-5</vt:lpstr>
      <vt:lpstr>TCLU7063591</vt:lpstr>
      <vt:lpstr>'SEGU734199-1'!Yazdırma_Başlıkları</vt:lpstr>
      <vt:lpstr>'TCLU700218-0'!Yazdırma_Başlıkları</vt:lpstr>
      <vt:lpstr>TCLU7063591!Yazdırma_Başlıkları</vt:lpstr>
      <vt:lpstr>TCLU7112490!Yazdırma_Başlıkları</vt:lpstr>
      <vt:lpstr>TCLU7139589!Yazdırma_Başlıkları</vt:lpstr>
      <vt:lpstr>'TCLU716284-5'!Yazdırma_Başlıkları</vt:lpstr>
      <vt:lpstr>TEXU1581022!Yazdırma_Başlıkları</vt:lpstr>
      <vt:lpstr>TLLU1263332!Yazdırma_Başlıkları</vt:lpstr>
      <vt:lpstr>TLLU1265510!Yazdırma_Başlıkları</vt:lpstr>
      <vt:lpstr>TRIU0520849!Yazdırma_Başlıkları</vt:lpstr>
      <vt:lpstr>'TRLU641946-0'!Yazdırma_Başlıkları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Burcu ADIGÜZEL</dc:creator>
  <cp:lastModifiedBy>Burcu ADIGÜZEL</cp:lastModifiedBy>
  <cp:lastPrinted>2026-04-13T12:38:42Z</cp:lastPrinted>
  <dcterms:created xsi:type="dcterms:W3CDTF">2026-03-13T12:45:47Z</dcterms:created>
  <dcterms:modified xsi:type="dcterms:W3CDTF">2026-04-13T12:47:37Z</dcterms:modified>
</cp:coreProperties>
</file>