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1st shipment/"/>
    </mc:Choice>
  </mc:AlternateContent>
  <xr:revisionPtr revIDLastSave="0" documentId="8_{761254D0-0675-442C-90B6-51DDD84651EC}" xr6:coauthVersionLast="47" xr6:coauthVersionMax="47" xr10:uidLastSave="{00000000-0000-0000-0000-000000000000}"/>
  <bookViews>
    <workbookView xWindow="-110" yWindow="-110" windowWidth="19420" windowHeight="10300" firstSheet="17" activeTab="22" xr2:uid="{00000000-000D-0000-FFFF-FFFF00000000}"/>
  </bookViews>
  <sheets>
    <sheet name="Sheet1" sheetId="1" r:id="rId1"/>
    <sheet name="Ayrıntı1" sheetId="4" r:id="rId2"/>
    <sheet name="Ayrıntı2" sheetId="5" r:id="rId3"/>
    <sheet name="Ayrıntı3" sheetId="6" r:id="rId4"/>
    <sheet name="Ayrıntı4" sheetId="7" r:id="rId5"/>
    <sheet name="Ayrıntı5" sheetId="8" r:id="rId6"/>
    <sheet name="Ayrıntı6" sheetId="9" r:id="rId7"/>
    <sheet name="Ayrıntı7" sheetId="10" r:id="rId8"/>
    <sheet name="Ayrıntı8" sheetId="11" r:id="rId9"/>
    <sheet name="Ayrıntı9" sheetId="12" r:id="rId10"/>
    <sheet name="Ayrıntı10" sheetId="13" r:id="rId11"/>
    <sheet name="Ayrıntı11" sheetId="14" r:id="rId12"/>
    <sheet name="Ayrıntı12" sheetId="15" r:id="rId13"/>
    <sheet name="Ayrıntı13" sheetId="16" r:id="rId14"/>
    <sheet name="Ayrıntı14" sheetId="17" r:id="rId15"/>
    <sheet name="Ayrıntı15" sheetId="18" r:id="rId16"/>
    <sheet name="Ayrıntı16" sheetId="19" r:id="rId17"/>
    <sheet name="Ayrıntı17" sheetId="20" r:id="rId18"/>
    <sheet name="Ayrıntı18" sheetId="21" r:id="rId19"/>
    <sheet name="Ayrıntı19" sheetId="22" r:id="rId20"/>
    <sheet name="Ayrıntı20" sheetId="23" r:id="rId21"/>
    <sheet name="Ayrıntı21" sheetId="24" r:id="rId22"/>
    <sheet name="Sayfa1" sheetId="2" r:id="rId23"/>
    <sheet name="Sayfa2" sheetId="3" r:id="rId24"/>
  </sheets>
  <calcPr calcId="191029"/>
  <pivotCaches>
    <pivotCache cacheId="0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2" l="1"/>
  <c r="D36" i="2"/>
  <c r="A22" i="3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72" i="1"/>
  <c r="E4" i="2"/>
  <c r="E11" i="2"/>
  <c r="E3" i="2"/>
  <c r="E29" i="2"/>
  <c r="E21" i="2"/>
  <c r="E5" i="2"/>
  <c r="E31" i="2"/>
  <c r="E23" i="2"/>
  <c r="E15" i="2"/>
  <c r="E12" i="2"/>
  <c r="E10" i="2"/>
  <c r="E2" i="2"/>
  <c r="E28" i="2"/>
  <c r="E20" i="2"/>
  <c r="E34" i="2"/>
  <c r="E7" i="2"/>
  <c r="E33" i="2"/>
  <c r="E25" i="2"/>
  <c r="E17" i="2"/>
  <c r="E9" i="2"/>
  <c r="E35" i="2"/>
  <c r="E27" i="2"/>
  <c r="E19" i="2"/>
  <c r="E8" i="2"/>
  <c r="E26" i="2"/>
  <c r="E18" i="2"/>
  <c r="E30" i="2"/>
  <c r="E22" i="2"/>
  <c r="E36" i="2"/>
  <c r="E6" i="2"/>
  <c r="E32" i="2"/>
  <c r="E24" i="2"/>
  <c r="E16" i="2"/>
</calcChain>
</file>

<file path=xl/sharedStrings.xml><?xml version="1.0" encoding="utf-8"?>
<sst xmlns="http://schemas.openxmlformats.org/spreadsheetml/2006/main" count="826" uniqueCount="85">
  <si>
    <t>FATURA</t>
  </si>
  <si>
    <t>AB12026000005043</t>
  </si>
  <si>
    <t>AB12026000005069</t>
  </si>
  <si>
    <t>AB12026000005070</t>
  </si>
  <si>
    <t>AB12026000005075</t>
  </si>
  <si>
    <t>AB12026000005078</t>
  </si>
  <si>
    <t>AB12026000005086</t>
  </si>
  <si>
    <t>AB12026000005088</t>
  </si>
  <si>
    <t>AB12026000005090</t>
  </si>
  <si>
    <t>AB12026000005091</t>
  </si>
  <si>
    <t>AB12026000005092</t>
  </si>
  <si>
    <t>AB12026000005115</t>
  </si>
  <si>
    <t>AB12026000005117</t>
  </si>
  <si>
    <t>AB12026000005122</t>
  </si>
  <si>
    <t>AB12026000005124</t>
  </si>
  <si>
    <t>AB12026000005132</t>
  </si>
  <si>
    <t>AB12026000005133</t>
  </si>
  <si>
    <t>AB12026000005135</t>
  </si>
  <si>
    <t>AB12026000005168</t>
  </si>
  <si>
    <t>AB12026000005172</t>
  </si>
  <si>
    <t>AB12026000005173</t>
  </si>
  <si>
    <t>AB12026000005186</t>
  </si>
  <si>
    <r>
      <rPr>
        <b/>
        <sz val="10"/>
        <rFont val="Arial"/>
        <family val="2"/>
        <charset val="162"/>
      </rPr>
      <t>#</t>
    </r>
  </si>
  <si>
    <r>
      <rPr>
        <b/>
        <sz val="10"/>
        <rFont val="Arial"/>
        <family val="2"/>
        <charset val="162"/>
      </rPr>
      <t>Mal Ve Hizmet Tanimi</t>
    </r>
  </si>
  <si>
    <r>
      <rPr>
        <b/>
        <sz val="10"/>
        <rFont val="Arial"/>
        <family val="2"/>
        <charset val="162"/>
      </rPr>
      <t>Miktar</t>
    </r>
  </si>
  <si>
    <r>
      <rPr>
        <b/>
        <sz val="10"/>
        <rFont val="Arial"/>
        <family val="2"/>
        <charset val="162"/>
      </rPr>
      <t>Birim Fiyat</t>
    </r>
  </si>
  <si>
    <r>
      <rPr>
        <b/>
        <sz val="10"/>
        <rFont val="Arial"/>
        <family val="2"/>
        <charset val="162"/>
      </rPr>
      <t>1</t>
    </r>
  </si>
  <si>
    <r>
      <rPr>
        <b/>
        <sz val="10"/>
        <rFont val="Arial"/>
        <family val="2"/>
        <charset val="162"/>
      </rPr>
      <t>SAC 12*1500*8000</t>
    </r>
  </si>
  <si>
    <r>
      <rPr>
        <b/>
        <sz val="10"/>
        <rFont val="Arial"/>
        <family val="2"/>
        <charset val="162"/>
      </rPr>
      <t>2</t>
    </r>
  </si>
  <si>
    <r>
      <rPr>
        <b/>
        <sz val="10"/>
        <rFont val="Arial"/>
        <family val="2"/>
        <charset val="162"/>
      </rPr>
      <t>SAC 12*1500*6900</t>
    </r>
  </si>
  <si>
    <r>
      <rPr>
        <b/>
        <sz val="10"/>
        <rFont val="Arial"/>
        <family val="2"/>
        <charset val="162"/>
      </rPr>
      <t>3</t>
    </r>
  </si>
  <si>
    <r>
      <rPr>
        <b/>
        <sz val="10"/>
        <rFont val="Arial"/>
        <family val="2"/>
        <charset val="162"/>
      </rPr>
      <t>SAC 6*1500*6900</t>
    </r>
  </si>
  <si>
    <r>
      <rPr>
        <b/>
        <sz val="10"/>
        <rFont val="Arial"/>
        <family val="2"/>
        <charset val="162"/>
      </rPr>
      <t>SAC 10*1500*6900</t>
    </r>
  </si>
  <si>
    <r>
      <rPr>
        <b/>
        <sz val="10"/>
        <rFont val="Arial"/>
        <family val="2"/>
        <charset val="162"/>
      </rPr>
      <t>SAC 4*1500*8000</t>
    </r>
  </si>
  <si>
    <r>
      <rPr>
        <b/>
        <sz val="10"/>
        <rFont val="Arial"/>
        <family val="2"/>
        <charset val="162"/>
      </rPr>
      <t>SAC 8*1500*6900</t>
    </r>
  </si>
  <si>
    <r>
      <rPr>
        <b/>
        <sz val="10"/>
        <rFont val="Arial"/>
        <family val="2"/>
        <charset val="162"/>
      </rPr>
      <t>6*1500*6000 SiYAH SAC</t>
    </r>
  </si>
  <si>
    <r>
      <rPr>
        <b/>
        <sz val="10"/>
        <rFont val="Arial"/>
        <family val="2"/>
        <charset val="162"/>
      </rPr>
      <t>4</t>
    </r>
  </si>
  <si>
    <r>
      <rPr>
        <b/>
        <sz val="10"/>
        <rFont val="Arial"/>
        <family val="2"/>
        <charset val="162"/>
      </rPr>
      <t>SAC 3*1500*8000</t>
    </r>
  </si>
  <si>
    <r>
      <rPr>
        <b/>
        <sz val="10"/>
        <rFont val="Arial"/>
        <family val="2"/>
        <charset val="162"/>
      </rPr>
      <t>8*1500*6000 SiYAH SAC</t>
    </r>
  </si>
  <si>
    <r>
      <rPr>
        <b/>
        <sz val="10"/>
        <rFont val="Arial"/>
        <family val="2"/>
        <charset val="162"/>
      </rPr>
      <t>SAC</t>
    </r>
    <r>
      <rPr>
        <sz val="10"/>
        <rFont val="Arial"/>
        <family val="2"/>
        <charset val="162"/>
      </rPr>
      <t xml:space="preserve"> 12*1500*6900</t>
    </r>
  </si>
  <si>
    <t>TOPLAM</t>
  </si>
  <si>
    <t>4*1500*6000 SiYAH SAC</t>
  </si>
  <si>
    <t>Satır Etiketleri</t>
  </si>
  <si>
    <t>6*1500*6000 SiYAH SAC</t>
  </si>
  <si>
    <t>8*1500*6000 SiYAH SAC</t>
  </si>
  <si>
    <t>SAC 10*1500*6900</t>
  </si>
  <si>
    <t>SAC 12*1500*6900</t>
  </si>
  <si>
    <t>SAC 12*1500*8000</t>
  </si>
  <si>
    <t>SAC 3*1500*8000</t>
  </si>
  <si>
    <t>SAC 4*1500*8000</t>
  </si>
  <si>
    <t>SAC 6*1500*6900</t>
  </si>
  <si>
    <t>SAC 8*1500*6900</t>
  </si>
  <si>
    <t>Genel Toplam</t>
  </si>
  <si>
    <t>Toplam Miktar</t>
  </si>
  <si>
    <t>Toplam TOPLAM</t>
  </si>
  <si>
    <t>SAĞLAMA</t>
  </si>
  <si>
    <t>FARK</t>
  </si>
  <si>
    <t>#</t>
  </si>
  <si>
    <t>Mal Ve Hizmet Tanimi</t>
  </si>
  <si>
    <t>Miktar</t>
  </si>
  <si>
    <t>Birim Fiyat</t>
  </si>
  <si>
    <t>1</t>
  </si>
  <si>
    <t>Toplam Miktar - Mal Ve Hizmet Tanimi: 4*1500*6000 SiYAH SAC için ayrıntılar</t>
  </si>
  <si>
    <t>Toplam Miktar - Mal Ve Hizmet Tanimi: 6*1500*6000 SiYAH SAC için ayrıntılar</t>
  </si>
  <si>
    <t>Toplam Miktar - Mal Ve Hizmet Tanimi: 8*1500*6000 SiYAH SAC için ayrıntılar</t>
  </si>
  <si>
    <t>3</t>
  </si>
  <si>
    <t>2</t>
  </si>
  <si>
    <t>4</t>
  </si>
  <si>
    <t>Toplam Miktar - Mal Ve Hizmet Tanimi: SAC 10*1500*6900 için ayrıntılar</t>
  </si>
  <si>
    <t>Toplam Miktar - Mal Ve Hizmet Tanimi: SAC 12*1500*6900 için ayrıntılar</t>
  </si>
  <si>
    <t>Toplam Miktar - Mal Ve Hizmet Tanimi: SAC 12*1500*8000 için ayrıntılar</t>
  </si>
  <si>
    <t>Toplam Miktar - Mal Ve Hizmet Tanimi: SAC 3*1500*8000 için ayrıntılar</t>
  </si>
  <si>
    <t>Toplam Miktar - Mal Ve Hizmet Tanimi: SAC 4*1500*8000 için ayrıntılar</t>
  </si>
  <si>
    <t>Toplam Miktar - Mal Ve Hizmet Tanimi: SAC 6*1500*6900 için ayrıntılar</t>
  </si>
  <si>
    <t>Toplam Miktar - Mal Ve Hizmet Tanimi: SAC 8*1500*6900 için ayrıntılar</t>
  </si>
  <si>
    <t>Toplam TOPLAM - Mal Ve Hizmet Tanimi: 4*1500*6000 SiYAH SAC için ayrıntılar</t>
  </si>
  <si>
    <t>Toplam TOPLAM - Mal Ve Hizmet Tanimi: 6*1500*6000 SiYAH SAC için ayrıntılar</t>
  </si>
  <si>
    <t>Toplam TOPLAM - Mal Ve Hizmet Tanimi: 8*1500*6000 SiYAH SAC için ayrıntılar</t>
  </si>
  <si>
    <t>Toplam TOPLAM - Mal Ve Hizmet Tanimi: SAC 10*1500*6900 için ayrıntılar</t>
  </si>
  <si>
    <t>Toplam TOPLAM - Mal Ve Hizmet Tanimi: SAC 12*1500*6900 için ayrıntılar</t>
  </si>
  <si>
    <t>Toplam TOPLAM - Mal Ve Hizmet Tanimi: SAC 12*1500*8000 için ayrıntılar</t>
  </si>
  <si>
    <t>Toplam TOPLAM - Mal Ve Hizmet Tanimi: SAC 3*1500*8000 için ayrıntılar</t>
  </si>
  <si>
    <t>Toplam TOPLAM - Mal Ve Hizmet Tanimi: SAC 4*1500*8000 için ayrıntılar</t>
  </si>
  <si>
    <t>Toplam TOPLAM - Mal Ve Hizmet Tanimi: SAC 6*1500*6900 için ayrıntılar</t>
  </si>
  <si>
    <t>Toplam TOPLAM - Mal Ve Hizmet Tanimi: SAC 8*1500*6900 için ayrıntılar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</si>
</sst>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theme="1"/>
      <name val="Arial"/>
      <family val="2"/>
      <charset val="162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2" fillId="0" borderId="0" xfId="0" applyFont="1"/>
    <xf numFmtId="43" fontId="0" fillId="0" borderId="0" xfId="1" applyFont="1"/>
    <xf numFmtId="0" fontId="0" fillId="0" borderId="2" xfId="0" pivotButton="1" applyBorder="1"/>
    <xf numFmtId="0" fontId="0" fillId="0" borderId="2" xfId="0" applyBorder="1"/>
    <xf numFmtId="0" fontId="4" fillId="2" borderId="2" xfId="0" applyFont="1" applyFill="1" applyBorder="1"/>
    <xf numFmtId="0" fontId="0" fillId="0" borderId="2" xfId="0" applyBorder="1" applyAlignment="1">
      <alignment horizontal="left"/>
    </xf>
    <xf numFmtId="3" fontId="0" fillId="0" borderId="2" xfId="0" applyNumberFormat="1" applyBorder="1"/>
    <xf numFmtId="43" fontId="0" fillId="0" borderId="2" xfId="0" applyNumberFormat="1" applyBorder="1"/>
    <xf numFmtId="43" fontId="0" fillId="0" borderId="2" xfId="1" applyFont="1" applyBorder="1"/>
    <xf numFmtId="0" fontId="5" fillId="0" borderId="0" xfId="0" applyFont="1"/>
  </cellXfs>
  <cellStyles count="2">
    <cellStyle name="Normal" xfId="0" builtinId="0"/>
    <cellStyle name="Virgül" xfId="1" builtinId="3"/>
  </cellStyles>
  <dxfs count="17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</dxf>
    <dxf>
      <numFmt numFmtId="35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ker altan" refreshedDate="46120.607131828707" createdVersion="8" refreshedVersion="8" minRefreshableVersion="3" recordCount="70" xr:uid="{D4CADE62-E997-4BE1-BD93-DEBC34EF831E}">
  <cacheSource type="worksheet">
    <worksheetSource ref="A1:F71" sheet="Sheet1"/>
  </cacheSource>
  <cacheFields count="6">
    <cacheField name="#" numFmtId="0">
      <sharedItems containsMixedTypes="1" containsNumber="1" containsInteger="1" minValue="1" maxValue="1"/>
    </cacheField>
    <cacheField name="Mal Ve Hizmet Tanimi" numFmtId="0">
      <sharedItems count="10">
        <s v="SAC 12*1500*8000"/>
        <s v="SAC 12*1500*6900"/>
        <s v="SAC 6*1500*6900"/>
        <s v="SAC 10*1500*6900"/>
        <s v="SAC 4*1500*8000"/>
        <s v="SAC 8*1500*6900"/>
        <s v="6*1500*6000 SiYAH SAC"/>
        <s v="SAC 3*1500*8000"/>
        <s v="8*1500*6000 SiYAH SAC"/>
        <s v="4*1500*6000 SiYAH SAC"/>
      </sharedItems>
    </cacheField>
    <cacheField name="Miktar" numFmtId="3">
      <sharedItems containsSemiMixedTypes="0" containsString="0" containsNumber="1" containsInteger="1" minValue="1646" maxValue="20690"/>
    </cacheField>
    <cacheField name="Birim Fiyat" numFmtId="0">
      <sharedItems containsSemiMixedTypes="0" containsString="0" containsNumber="1" minValue="30.2" maxValue="30.7"/>
    </cacheField>
    <cacheField name="TOPLAM" numFmtId="0">
      <sharedItems containsSemiMixedTypes="0" containsString="0" containsNumber="1" minValue="49709.2" maxValue="635183"/>
    </cacheField>
    <cacheField name="FATURA" numFmtId="0">
      <sharedItems count="21">
        <s v="AB12026000005043"/>
        <s v="AB12026000005069"/>
        <s v="AB12026000005070"/>
        <s v="AB12026000005075"/>
        <s v="AB12026000005078"/>
        <s v="AB12026000005086"/>
        <s v="AB12026000005088"/>
        <s v="AB12026000005090"/>
        <s v="AB12026000005091"/>
        <s v="AB12026000005092"/>
        <s v="AB12026000005115"/>
        <s v="AB12026000005117"/>
        <s v="AB12026000005122"/>
        <s v="AB12026000005124"/>
        <s v="AB12026000005132"/>
        <s v="AB12026000005133"/>
        <s v="AB12026000005135"/>
        <s v="AB12026000005168"/>
        <s v="AB12026000005172"/>
        <s v="AB12026000005173"/>
        <s v="AB120260000051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1"/>
    <x v="0"/>
    <n v="14860"/>
    <n v="30.7"/>
    <n v="456202"/>
    <x v="0"/>
  </r>
  <r>
    <s v="2"/>
    <x v="1"/>
    <n v="4940"/>
    <n v="30.7"/>
    <n v="151658"/>
    <x v="0"/>
  </r>
  <r>
    <s v="3"/>
    <x v="2"/>
    <n v="5430"/>
    <n v="30.2"/>
    <n v="163986"/>
    <x v="0"/>
  </r>
  <r>
    <s v="1"/>
    <x v="0"/>
    <n v="18240"/>
    <n v="30.7"/>
    <n v="559968"/>
    <x v="1"/>
  </r>
  <r>
    <s v="2"/>
    <x v="3"/>
    <n v="1646"/>
    <n v="30.2"/>
    <n v="49709.2"/>
    <x v="1"/>
  </r>
  <r>
    <s v="3"/>
    <x v="4"/>
    <n v="5294"/>
    <n v="30.2"/>
    <n v="159878.79999999999"/>
    <x v="1"/>
  </r>
  <r>
    <s v="1"/>
    <x v="3"/>
    <n v="14660"/>
    <n v="30.2"/>
    <n v="442732"/>
    <x v="2"/>
  </r>
  <r>
    <s v="2"/>
    <x v="5"/>
    <n v="10420"/>
    <n v="30.2"/>
    <n v="314684"/>
    <x v="2"/>
  </r>
  <r>
    <s v="1"/>
    <x v="1"/>
    <n v="4920"/>
    <n v="30.7"/>
    <n v="151044"/>
    <x v="3"/>
  </r>
  <r>
    <s v="2"/>
    <x v="5"/>
    <n v="10470"/>
    <n v="30.2"/>
    <n v="316194"/>
    <x v="3"/>
  </r>
  <r>
    <s v="3"/>
    <x v="4"/>
    <n v="9840"/>
    <n v="30.2"/>
    <n v="297168"/>
    <x v="3"/>
  </r>
  <r>
    <s v="1"/>
    <x v="6"/>
    <n v="5145"/>
    <n v="30.2"/>
    <n v="155379"/>
    <x v="4"/>
  </r>
  <r>
    <s v="2"/>
    <x v="0"/>
    <n v="10231"/>
    <n v="30.7"/>
    <n v="314091.7"/>
    <x v="4"/>
  </r>
  <r>
    <s v="3"/>
    <x v="1"/>
    <n v="4886"/>
    <n v="30.7"/>
    <n v="150000.19999999998"/>
    <x v="4"/>
  </r>
  <r>
    <s v="4"/>
    <x v="3"/>
    <n v="4898"/>
    <n v="30.2"/>
    <n v="147919.6"/>
    <x v="4"/>
  </r>
  <r>
    <s v="1"/>
    <x v="0"/>
    <n v="11352"/>
    <n v="30.7"/>
    <n v="348506.39999999997"/>
    <x v="5"/>
  </r>
  <r>
    <s v="2"/>
    <x v="1"/>
    <n v="4900"/>
    <n v="30.7"/>
    <n v="150430"/>
    <x v="5"/>
  </r>
  <r>
    <s v="3"/>
    <x v="3"/>
    <n v="4075"/>
    <n v="30.2"/>
    <n v="123065"/>
    <x v="5"/>
  </r>
  <r>
    <s v="4"/>
    <x v="7"/>
    <n v="4753"/>
    <n v="30.2"/>
    <n v="143540.6"/>
    <x v="5"/>
  </r>
  <r>
    <s v="1"/>
    <x v="0"/>
    <n v="10238"/>
    <n v="30.7"/>
    <n v="314306.59999999998"/>
    <x v="6"/>
  </r>
  <r>
    <s v="2"/>
    <x v="1"/>
    <n v="4910"/>
    <n v="30.7"/>
    <n v="150737"/>
    <x v="6"/>
  </r>
  <r>
    <s v="3"/>
    <x v="5"/>
    <n v="5209"/>
    <n v="30.2"/>
    <n v="157311.79999999999"/>
    <x v="6"/>
  </r>
  <r>
    <s v="4"/>
    <x v="7"/>
    <n v="4773"/>
    <n v="30.2"/>
    <n v="144144.6"/>
    <x v="6"/>
  </r>
  <r>
    <s v="1"/>
    <x v="0"/>
    <n v="5687"/>
    <n v="30.7"/>
    <n v="174590.9"/>
    <x v="7"/>
  </r>
  <r>
    <s v="2"/>
    <x v="3"/>
    <n v="14680"/>
    <n v="30.2"/>
    <n v="443336"/>
    <x v="7"/>
  </r>
  <r>
    <s v="3"/>
    <x v="7"/>
    <n v="4763"/>
    <n v="30.2"/>
    <n v="143842.6"/>
    <x v="7"/>
  </r>
  <r>
    <s v="1"/>
    <x v="0"/>
    <n v="5677"/>
    <n v="30.7"/>
    <n v="174283.9"/>
    <x v="8"/>
  </r>
  <r>
    <s v="2"/>
    <x v="3"/>
    <n v="8963"/>
    <n v="30.2"/>
    <n v="270682.59999999998"/>
    <x v="8"/>
  </r>
  <r>
    <s v="3"/>
    <x v="5"/>
    <n v="5209"/>
    <n v="30.2"/>
    <n v="157311.79999999999"/>
    <x v="8"/>
  </r>
  <r>
    <s v="4"/>
    <x v="4"/>
    <n v="5281"/>
    <n v="30.2"/>
    <n v="159486.19999999998"/>
    <x v="8"/>
  </r>
  <r>
    <s v="1"/>
    <x v="1"/>
    <n v="9759"/>
    <n v="30.7"/>
    <n v="299601.3"/>
    <x v="9"/>
  </r>
  <r>
    <s v="2"/>
    <x v="3"/>
    <n v="4884"/>
    <n v="30.2"/>
    <n v="147496.79999999999"/>
    <x v="9"/>
  </r>
  <r>
    <s v="3"/>
    <x v="5"/>
    <n v="10407"/>
    <n v="30.2"/>
    <n v="314291.39999999997"/>
    <x v="9"/>
  </r>
  <r>
    <s v="1"/>
    <x v="0"/>
    <n v="4545"/>
    <n v="30.7"/>
    <n v="139531.5"/>
    <x v="10"/>
  </r>
  <r>
    <s v="2"/>
    <x v="5"/>
    <n v="10438"/>
    <n v="30.2"/>
    <n v="315227.59999999998"/>
    <x v="10"/>
  </r>
  <r>
    <s v="3"/>
    <x v="2"/>
    <n v="5419"/>
    <n v="30.2"/>
    <n v="163653.79999999999"/>
    <x v="10"/>
  </r>
  <r>
    <s v="4"/>
    <x v="7"/>
    <n v="4773"/>
    <n v="30.2"/>
    <n v="144144.6"/>
    <x v="10"/>
  </r>
  <r>
    <s v="1"/>
    <x v="8"/>
    <n v="5079"/>
    <n v="30.2"/>
    <n v="153385.79999999999"/>
    <x v="11"/>
  </r>
  <r>
    <s v="2"/>
    <x v="0"/>
    <n v="10187"/>
    <n v="30.7"/>
    <n v="312740.89999999997"/>
    <x v="11"/>
  </r>
  <r>
    <s v="3"/>
    <x v="1"/>
    <n v="9754"/>
    <n v="30.7"/>
    <n v="299447.8"/>
    <x v="11"/>
  </r>
  <r>
    <s v="1"/>
    <x v="8"/>
    <n v="5105"/>
    <n v="30.2"/>
    <n v="154171"/>
    <x v="12"/>
  </r>
  <r>
    <s v="2"/>
    <x v="0"/>
    <n v="10240"/>
    <n v="30.7"/>
    <n v="314368"/>
    <x v="12"/>
  </r>
  <r>
    <s v="3"/>
    <x v="5"/>
    <n v="5215"/>
    <n v="30.2"/>
    <n v="157493"/>
    <x v="12"/>
  </r>
  <r>
    <s v="4"/>
    <x v="4"/>
    <n v="4540"/>
    <n v="30.2"/>
    <n v="137108"/>
    <x v="12"/>
  </r>
  <r>
    <s v="1"/>
    <x v="0"/>
    <n v="10203"/>
    <n v="30.7"/>
    <n v="313232.09999999998"/>
    <x v="13"/>
  </r>
  <r>
    <s v="2"/>
    <x v="1"/>
    <n v="4900"/>
    <n v="30.7"/>
    <n v="150430"/>
    <x v="13"/>
  </r>
  <r>
    <s v="3"/>
    <x v="5"/>
    <n v="5208"/>
    <n v="30.2"/>
    <n v="157281.60000000001"/>
    <x v="13"/>
  </r>
  <r>
    <s v="4"/>
    <x v="7"/>
    <n v="4764"/>
    <n v="30.2"/>
    <n v="143872.79999999999"/>
    <x v="13"/>
  </r>
  <r>
    <s v="1"/>
    <x v="0"/>
    <n v="6870"/>
    <n v="30.7"/>
    <n v="210909"/>
    <x v="14"/>
  </r>
  <r>
    <s v="2"/>
    <x v="2"/>
    <n v="3460"/>
    <n v="30.2"/>
    <n v="104492"/>
    <x v="14"/>
  </r>
  <r>
    <s v="3"/>
    <x v="4"/>
    <n v="5320"/>
    <n v="30.2"/>
    <n v="160664"/>
    <x v="14"/>
  </r>
  <r>
    <s v="4"/>
    <x v="7"/>
    <n v="9570"/>
    <n v="30.2"/>
    <n v="289014"/>
    <x v="14"/>
  </r>
  <r>
    <s v="1"/>
    <x v="0"/>
    <n v="4545"/>
    <n v="30.7"/>
    <n v="139531.5"/>
    <x v="15"/>
  </r>
  <r>
    <s v="2"/>
    <x v="1"/>
    <n v="4890"/>
    <n v="30.7"/>
    <n v="150123"/>
    <x v="15"/>
  </r>
  <r>
    <s v="3"/>
    <x v="5"/>
    <n v="10448"/>
    <n v="30.2"/>
    <n v="315529.59999999998"/>
    <x v="15"/>
  </r>
  <r>
    <s v="4"/>
    <x v="4"/>
    <n v="5292"/>
    <n v="30.2"/>
    <n v="159818.4"/>
    <x v="15"/>
  </r>
  <r>
    <s v="1"/>
    <x v="0"/>
    <n v="15941"/>
    <n v="30.7"/>
    <n v="489388.7"/>
    <x v="16"/>
  </r>
  <r>
    <s v="2"/>
    <x v="1"/>
    <n v="3922"/>
    <n v="30.7"/>
    <n v="120405.4"/>
    <x v="16"/>
  </r>
  <r>
    <s v="3"/>
    <x v="4"/>
    <n v="5312"/>
    <n v="30.2"/>
    <n v="160422.39999999999"/>
    <x v="16"/>
  </r>
  <r>
    <s v="1"/>
    <x v="0"/>
    <n v="4580"/>
    <n v="30.7"/>
    <n v="140606"/>
    <x v="17"/>
  </r>
  <r>
    <s v="2"/>
    <x v="2"/>
    <n v="15310"/>
    <n v="30.2"/>
    <n v="462362"/>
    <x v="17"/>
  </r>
  <r>
    <s v="3"/>
    <x v="4"/>
    <n v="5330"/>
    <n v="30.2"/>
    <n v="160966"/>
    <x v="17"/>
  </r>
  <r>
    <s v="1"/>
    <x v="9"/>
    <n v="2261"/>
    <n v="30.2"/>
    <n v="68282.2"/>
    <x v="18"/>
  </r>
  <r>
    <s v="2"/>
    <x v="0"/>
    <n v="11368"/>
    <n v="30.7"/>
    <n v="348997.6"/>
    <x v="18"/>
  </r>
  <r>
    <s v="3"/>
    <x v="3"/>
    <n v="11371"/>
    <n v="30.2"/>
    <n v="343404.2"/>
    <x v="18"/>
  </r>
  <r>
    <s v="1"/>
    <x v="5"/>
    <n v="5240"/>
    <n v="30.2"/>
    <n v="158248"/>
    <x v="19"/>
  </r>
  <r>
    <s v="2"/>
    <x v="2"/>
    <n v="9870"/>
    <n v="30.2"/>
    <n v="298074"/>
    <x v="19"/>
  </r>
  <r>
    <s v="3"/>
    <x v="4"/>
    <n v="5320"/>
    <n v="30.2"/>
    <n v="160664"/>
    <x v="19"/>
  </r>
  <r>
    <s v="4"/>
    <x v="7"/>
    <n v="4790"/>
    <n v="30.2"/>
    <n v="144658"/>
    <x v="19"/>
  </r>
  <r>
    <n v="1"/>
    <x v="1"/>
    <n v="20690"/>
    <n v="30.7"/>
    <n v="635183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BD910-7A43-49C9-9788-FDCEFD0AAC0C}" name="PivotTable3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4:C36" firstHeaderRow="0" firstDataRow="1" firstDataCol="1"/>
  <pivotFields count="6">
    <pivotField showAll="0"/>
    <pivotField showAll="0"/>
    <pivotField dataField="1" numFmtId="3" showAll="0"/>
    <pivotField showAll="0"/>
    <pivotField dataField="1"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" fld="4" baseField="0" baseItem="0"/>
    <dataField name="Toplam Miktar" fld="2" baseField="0" baseItem="0" numFmtId="3"/>
  </dataFields>
  <formats count="8">
    <format dxfId="10">
      <pivotArea collapsedLevelsAreSubtotals="1" fieldPosition="0">
        <references count="2">
          <reference field="4294967294" count="1" selected="0">
            <x v="0"/>
          </reference>
          <reference field="5" count="0"/>
        </references>
      </pivotArea>
    </format>
    <format dxfId="9">
      <pivotArea field="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5" type="button" dataOnly="0" labelOnly="1" outline="0" axis="axisRow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92F01-7567-4627-BD07-993DCC9C9F6E}" name="PivotTable2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1:C12" firstHeaderRow="0" firstDataRow="1" firstDataCol="1"/>
  <pivotFields count="6">
    <pivotField showAll="0"/>
    <pivotField axis="axisRow" showAll="0">
      <items count="11">
        <item x="9"/>
        <item x="6"/>
        <item x="8"/>
        <item x="3"/>
        <item x="1"/>
        <item x="0"/>
        <item x="7"/>
        <item x="4"/>
        <item x="2"/>
        <item x="5"/>
        <item t="default"/>
      </items>
    </pivotField>
    <pivotField dataField="1" numFmtId="3"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Miktar" fld="2" baseField="0" baseItem="0" numFmtId="3"/>
    <dataField name="Toplam TOPLAM" fld="4" baseField="0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1E513-C09E-45BE-8784-8DC01B687133}" name="Tablo1" displayName="Tablo1" ref="A3:F4" totalsRowShown="0">
  <autoFilter ref="A3:F4" xr:uid="{E6E1E513-C09E-45BE-8784-8DC01B687133}"/>
  <tableColumns count="6">
    <tableColumn id="1" xr3:uid="{572690EE-E624-4105-A85C-FBC2B1E97BBD}" name="#"/>
    <tableColumn id="2" xr3:uid="{1AD04578-F778-4086-B699-E70D2493BC0C}" name="Mal Ve Hizmet Tanimi"/>
    <tableColumn id="3" xr3:uid="{6B322E1B-1190-4B9A-98A9-0333DB4EA6EC}" name="Miktar"/>
    <tableColumn id="4" xr3:uid="{DB630EE5-82D6-42A1-BD99-F7510C6007DA}" name="Birim Fiyat"/>
    <tableColumn id="5" xr3:uid="{4677605B-F4DF-45C8-B16E-0FDE9766197E}" name="TOPLAM"/>
    <tableColumn id="6" xr3:uid="{480336F0-C8C3-4789-B8C6-29EBAAC44401}" name="FATU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B57B5-BAA3-40B6-9135-0EA16041C75E}" name="Tablo2" displayName="Tablo2" ref="A3:F4" totalsRowShown="0">
  <autoFilter ref="A3:F4" xr:uid="{645B57B5-BAA3-40B6-9135-0EA16041C75E}"/>
  <tableColumns count="6">
    <tableColumn id="1" xr3:uid="{278CDD14-A75B-41FA-8E8E-31D7FC734A23}" name="#"/>
    <tableColumn id="2" xr3:uid="{66935332-F780-47DF-A872-0684B22F5BAF}" name="Mal Ve Hizmet Tanimi"/>
    <tableColumn id="3" xr3:uid="{6E5D4077-E9E2-4856-BD94-EC1D293076C5}" name="Miktar"/>
    <tableColumn id="4" xr3:uid="{E46A84A9-5CD9-475D-9F45-6D34C0D0E043}" name="Birim Fiyat"/>
    <tableColumn id="5" xr3:uid="{F68649B2-63E2-4C6C-BFF5-0E8EDDDFB3FB}" name="TOPLAM"/>
    <tableColumn id="6" xr3:uid="{2CB7565D-F8D4-403F-8D90-0EC8816351AA}" name="FATUR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9351D-C245-408A-AD4A-2A3BDE8DF480}" name="Tablo3" displayName="Tablo3" ref="A3:F5" totalsRowShown="0">
  <autoFilter ref="A3:F5" xr:uid="{9EF9351D-C245-408A-AD4A-2A3BDE8DF480}"/>
  <tableColumns count="6">
    <tableColumn id="1" xr3:uid="{9AEF451B-CB4B-4E6D-BBA7-52E78A5FD36B}" name="#"/>
    <tableColumn id="2" xr3:uid="{3C0774B6-7CB9-489F-B177-06C5ED3DD3C2}" name="Mal Ve Hizmet Tanimi"/>
    <tableColumn id="3" xr3:uid="{986725A4-9816-4B9D-8D14-8312437463C2}" name="Miktar"/>
    <tableColumn id="4" xr3:uid="{3A4BBCD1-D65D-48F8-B898-BDDAF22881E0}" name="Birim Fiyat"/>
    <tableColumn id="5" xr3:uid="{A5071744-B043-4A0D-BCB8-0D21957B27B3}" name="TOPLAM"/>
    <tableColumn id="6" xr3:uid="{27A3BEA8-AE0E-4D6E-BE66-752DFFA62041}" name="FATUR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5EB0E-D35B-45A7-A1CD-D3A5766261E6}" name="Tablo4" displayName="Tablo4" ref="A3:F11" totalsRowShown="0">
  <autoFilter ref="A3:F11" xr:uid="{0CD5EB0E-D35B-45A7-A1CD-D3A5766261E6}"/>
  <tableColumns count="6">
    <tableColumn id="1" xr3:uid="{338328C1-9C50-4408-8F31-9A58B29633D5}" name="#"/>
    <tableColumn id="2" xr3:uid="{2E1D000B-1387-4229-AD09-BCE2303E6D9A}" name="Mal Ve Hizmet Tanimi"/>
    <tableColumn id="3" xr3:uid="{F6740E75-6785-4194-B781-490BEA81DCE7}" name="Miktar"/>
    <tableColumn id="4" xr3:uid="{B3226999-B093-4F0D-9FF6-3186135D5A38}" name="Birim Fiyat"/>
    <tableColumn id="5" xr3:uid="{EFEE8700-1CBE-40DF-9824-F0728C46703B}" name="TOPLAM"/>
    <tableColumn id="6" xr3:uid="{1D0971FA-F816-4A25-9402-521DFE532640}" name="FATUR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2C2D62-5203-4B50-85B4-45688542C61F}" name="Tablo5" displayName="Tablo5" ref="A3:F14" totalsRowShown="0">
  <autoFilter ref="A3:F14" xr:uid="{8E2C2D62-5203-4B50-85B4-45688542C61F}"/>
  <tableColumns count="6">
    <tableColumn id="1" xr3:uid="{CA0323FE-68CF-4700-B3CB-7BB94BC0D4DC}" name="#"/>
    <tableColumn id="2" xr3:uid="{2DDF7939-D315-4EE6-83E7-2D4FE5070207}" name="Mal Ve Hizmet Tanimi"/>
    <tableColumn id="3" xr3:uid="{B5BBF7E6-091B-436D-81F9-ED11A1D77851}" name="Miktar"/>
    <tableColumn id="4" xr3:uid="{94F99C09-BF52-4BD1-9D7C-1E2BDA12D20E}" name="Birim Fiyat"/>
    <tableColumn id="5" xr3:uid="{38EAD8C8-ED43-46D9-801C-93962CB40263}" name="TOPLAM"/>
    <tableColumn id="6" xr3:uid="{53A96F73-80C2-4913-A22F-ADF7A3C46AD7}" name="FATUR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2C0478-A02C-44AD-8325-F1512B6EB2D9}" name="Tablo6" displayName="Tablo6" ref="A3:F19" totalsRowShown="0">
  <autoFilter ref="A3:F19" xr:uid="{8D2C0478-A02C-44AD-8325-F1512B6EB2D9}"/>
  <tableColumns count="6">
    <tableColumn id="1" xr3:uid="{EF405CB5-26BB-477F-B560-BDF4088A5D09}" name="#"/>
    <tableColumn id="2" xr3:uid="{6CF74AB1-2873-4ED8-9369-DB8E292A6094}" name="Mal Ve Hizmet Tanimi"/>
    <tableColumn id="3" xr3:uid="{3B7D2E7E-6454-4488-9952-FFFB9328E3E3}" name="Miktar"/>
    <tableColumn id="4" xr3:uid="{7F795836-97AB-45F3-95B3-F18EE74A4070}" name="Birim Fiyat"/>
    <tableColumn id="5" xr3:uid="{B47E57BA-C7BD-4918-A872-50C58BE56B15}" name="TOPLAM"/>
    <tableColumn id="6" xr3:uid="{92CBB898-5FE4-464D-9926-E54FCF9A7928}" name="FATUR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94F963-6CAB-44ED-995A-DE28AD1E7522}" name="Tablo7" displayName="Tablo7" ref="A3:F10" totalsRowShown="0">
  <autoFilter ref="A3:F10" xr:uid="{6F94F963-6CAB-44ED-995A-DE28AD1E7522}"/>
  <tableColumns count="6">
    <tableColumn id="1" xr3:uid="{C4DBADA3-34C0-47E8-A8C9-4894165CDBD0}" name="#"/>
    <tableColumn id="2" xr3:uid="{4925F89D-D5EA-49D8-A2ED-5FB21C19AD6B}" name="Mal Ve Hizmet Tanimi"/>
    <tableColumn id="3" xr3:uid="{57955880-8E2E-4F62-99F1-18F6E249EDB8}" name="Miktar"/>
    <tableColumn id="4" xr3:uid="{1468B806-C3C1-45FD-8D0F-5BFFE4E83AC9}" name="Birim Fiyat"/>
    <tableColumn id="5" xr3:uid="{2A4554EB-9C4D-4504-BEA9-98B5E5F45CD4}" name="TOPLAM"/>
    <tableColumn id="6" xr3:uid="{E97EBB3A-99F4-4530-94E4-D69D2EEF9E31}" name="FATU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6343745-4AB1-4B31-9135-47EFE4E2E5D3}" name="Tablo8" displayName="Tablo8" ref="A3:F12" totalsRowShown="0">
  <autoFilter ref="A3:F12" xr:uid="{36343745-4AB1-4B31-9135-47EFE4E2E5D3}"/>
  <tableColumns count="6">
    <tableColumn id="1" xr3:uid="{538B3098-CD4F-43B8-937B-B2E3799BE6C8}" name="#"/>
    <tableColumn id="2" xr3:uid="{B2A34008-5075-4906-AA32-A70584FE8573}" name="Mal Ve Hizmet Tanimi"/>
    <tableColumn id="3" xr3:uid="{7F0884B0-68E3-4BC9-8EC3-00426FA19F19}" name="Miktar"/>
    <tableColumn id="4" xr3:uid="{4AE8D214-3367-4AF0-AE33-A9387E2D261A}" name="Birim Fiyat"/>
    <tableColumn id="5" xr3:uid="{CFE4E4AB-21B9-4A4E-AD81-240C078E8D74}" name="TOPLAM"/>
    <tableColumn id="6" xr3:uid="{DF18DA16-C7CD-4C44-A9BE-E111D13B9557}" name="FATUR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080AF20-77CE-402F-A005-D3B54A9DA2A0}" name="Tablo9" displayName="Tablo9" ref="A3:F8" totalsRowShown="0">
  <autoFilter ref="A3:F8" xr:uid="{A080AF20-77CE-402F-A005-D3B54A9DA2A0}"/>
  <tableColumns count="6">
    <tableColumn id="1" xr3:uid="{EE512311-C0C5-4FD2-9DB9-EA31418FE0D6}" name="#"/>
    <tableColumn id="2" xr3:uid="{5DF4E920-8846-40A2-8B41-96F1C6337E41}" name="Mal Ve Hizmet Tanimi"/>
    <tableColumn id="3" xr3:uid="{E7527B43-6DE0-46BD-9D0C-9A46AA122C84}" name="Miktar"/>
    <tableColumn id="4" xr3:uid="{AB6DB3BC-085F-4CD6-968B-A8D422A69EB4}" name="Birim Fiyat"/>
    <tableColumn id="5" xr3:uid="{E3FADD0E-98FD-47D4-8561-A3C26E37B427}" name="TOPLAM"/>
    <tableColumn id="6" xr3:uid="{98FC0295-0234-4FE5-BE7D-CFDD83A4C77A}" name="FATUR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F4694B-173C-49C4-B48B-68F5BBB881E5}" name="Tablo10" displayName="Tablo10" ref="A3:F13" totalsRowShown="0">
  <autoFilter ref="A3:F13" xr:uid="{6FF4694B-173C-49C4-B48B-68F5BBB881E5}"/>
  <tableColumns count="6">
    <tableColumn id="1" xr3:uid="{37CD1288-369B-46C3-B3B0-5484278FED64}" name="#"/>
    <tableColumn id="2" xr3:uid="{296B0868-0047-4FE8-BA39-F29C6933EE52}" name="Mal Ve Hizmet Tanimi"/>
    <tableColumn id="3" xr3:uid="{D7F372A6-D674-437F-97CA-08E0395BD0F2}" name="Miktar"/>
    <tableColumn id="4" xr3:uid="{7B42C66D-71D9-4562-B451-E7E4181B0042}" name="Birim Fiyat"/>
    <tableColumn id="5" xr3:uid="{A1D322D8-815E-43F1-8B03-CEFC2BDAC38B}" name="TOPLAM"/>
    <tableColumn id="6" xr3:uid="{A0FC3C60-C38C-4683-933C-D5E2B3A3B1F5}" name="FATUR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9B2905-E08B-40B5-A87F-153B3E43578E}" name="Tablo11" displayName="Tablo11" ref="A3:F4" totalsRowShown="0">
  <autoFilter ref="A3:F4" xr:uid="{9B9B2905-E08B-40B5-A87F-153B3E43578E}"/>
  <tableColumns count="6">
    <tableColumn id="1" xr3:uid="{2866DF75-DEEB-4FFF-9DF0-D1A3F2A76C33}" name="#"/>
    <tableColumn id="2" xr3:uid="{A641F144-CE97-4426-9433-81822825B647}" name="Mal Ve Hizmet Tanimi"/>
    <tableColumn id="3" xr3:uid="{BA3CC9BF-A812-4C8E-A3CB-8FA69C210E09}" name="Miktar"/>
    <tableColumn id="4" xr3:uid="{7BCC0818-41F2-4411-B61E-4C6C735238D8}" name="Birim Fiyat"/>
    <tableColumn id="5" xr3:uid="{96ACB937-34B5-4502-9257-A0C45021FA9F}" name="TOPLAM"/>
    <tableColumn id="6" xr3:uid="{69A81190-58BC-4490-A5E5-663ED4B97C80}" name="FATUR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625B52-F16B-41D8-A7D9-4C748DE062F2}" name="Tablo12" displayName="Tablo12" ref="A3:F4" totalsRowShown="0">
  <autoFilter ref="A3:F4" xr:uid="{30625B52-F16B-41D8-A7D9-4C748DE062F2}"/>
  <tableColumns count="6">
    <tableColumn id="1" xr3:uid="{1E62A4D7-4F55-4C80-A6FB-F255562D3F01}" name="#"/>
    <tableColumn id="2" xr3:uid="{2021485E-6177-4C17-A079-8BA1CE47B7E9}" name="Mal Ve Hizmet Tanimi"/>
    <tableColumn id="3" xr3:uid="{2DE68146-FAC2-41CD-85EB-0BE20FD5DDA4}" name="Miktar"/>
    <tableColumn id="4" xr3:uid="{E5318381-9A0C-4C48-9B4D-35A0CDB54E96}" name="Birim Fiyat"/>
    <tableColumn id="5" xr3:uid="{FDBA8D0E-FC67-4396-93C9-ED6B3BCDCBC7}" name="TOPLAM"/>
    <tableColumn id="6" xr3:uid="{3FABF622-C46D-4D2C-AB78-30B032F195CE}" name="FATUR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1FB2030-27EE-4A30-9DF4-E7E5DC45DF3D}" name="Tablo13" displayName="Tablo13" ref="A3:F5" totalsRowShown="0">
  <autoFilter ref="A3:F5" xr:uid="{51FB2030-27EE-4A30-9DF4-E7E5DC45DF3D}"/>
  <tableColumns count="6">
    <tableColumn id="1" xr3:uid="{11CD4C2B-BEEB-4989-8AC1-97A5DFC8212F}" name="#"/>
    <tableColumn id="2" xr3:uid="{26DE8968-CC7F-4EBB-AE04-505E97ACA0D3}" name="Mal Ve Hizmet Tanimi"/>
    <tableColumn id="3" xr3:uid="{4A9D9613-0191-4F14-B898-6390A4874BBE}" name="Miktar"/>
    <tableColumn id="4" xr3:uid="{5BE045D1-FD32-4AB7-81F4-63196D11DC34}" name="Birim Fiyat"/>
    <tableColumn id="5" xr3:uid="{AC9FA35F-118D-4202-93F4-672704865F08}" name="TOPLAM"/>
    <tableColumn id="6" xr3:uid="{8844EAC7-03C7-4503-9824-B6B790CD87E7}" name="FATUR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928AD1A-AB20-41D2-9865-B695717C9418}" name="Tablo14" displayName="Tablo14" ref="A3:F11" totalsRowShown="0">
  <autoFilter ref="A3:F11" xr:uid="{7928AD1A-AB20-41D2-9865-B695717C9418}"/>
  <tableColumns count="6">
    <tableColumn id="1" xr3:uid="{48527E9F-FEF1-40E4-A609-223B2CA55C4E}" name="#"/>
    <tableColumn id="2" xr3:uid="{825A3D01-DDB4-4C7B-ACE4-B8D15A683140}" name="Mal Ve Hizmet Tanimi"/>
    <tableColumn id="3" xr3:uid="{C0CDA367-2289-400D-B4A6-C6545063C248}" name="Miktar"/>
    <tableColumn id="4" xr3:uid="{B7F653C4-2128-435F-BFAA-C323FA4FA2A0}" name="Birim Fiyat"/>
    <tableColumn id="5" xr3:uid="{F26B3C85-F945-4485-8DA5-C1206B744839}" name="TOPLAM"/>
    <tableColumn id="6" xr3:uid="{89B2196F-8A04-4809-BF17-FBDD99304A14}" name="FATUR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2326DCC-3FA9-4376-9229-C3AC335A4CC7}" name="Tablo15" displayName="Tablo15" ref="A3:F14" totalsRowShown="0">
  <autoFilter ref="A3:F14" xr:uid="{92326DCC-3FA9-4376-9229-C3AC335A4CC7}"/>
  <tableColumns count="6">
    <tableColumn id="1" xr3:uid="{1B28D436-9318-46CA-9406-5E3C7A1D4FE4}" name="#"/>
    <tableColumn id="2" xr3:uid="{39A94ABA-7FDB-44EA-903C-E2B132A040A5}" name="Mal Ve Hizmet Tanimi"/>
    <tableColumn id="3" xr3:uid="{2EFD83FA-2E51-4460-88FE-02156F54EC63}" name="Miktar"/>
    <tableColumn id="4" xr3:uid="{FECB446D-4738-41AA-9D23-DDD1879C60A0}" name="Birim Fiyat"/>
    <tableColumn id="5" xr3:uid="{48792CDE-074A-4D86-A860-C695B4F433A6}" name="TOPLAM"/>
    <tableColumn id="6" xr3:uid="{1FEA58DD-E669-4086-86D4-226014B0C498}" name="FATUR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B8C247-12C7-4104-B7A7-C64C838B114C}" name="Tablo16" displayName="Tablo16" ref="A3:F19" totalsRowShown="0">
  <autoFilter ref="A3:F19" xr:uid="{E0B8C247-12C7-4104-B7A7-C64C838B114C}"/>
  <tableColumns count="6">
    <tableColumn id="1" xr3:uid="{4B390E50-90DB-43BE-9EB3-8F36858E3AB9}" name="#"/>
    <tableColumn id="2" xr3:uid="{66185E37-7E2C-4E90-B0AC-3F37F5E02C30}" name="Mal Ve Hizmet Tanimi"/>
    <tableColumn id="3" xr3:uid="{25A7B9C6-6228-4418-B9CF-C10812728214}" name="Miktar"/>
    <tableColumn id="4" xr3:uid="{E58806BC-49C5-43EF-9F0B-28F3BD03B8DC}" name="Birim Fiyat"/>
    <tableColumn id="5" xr3:uid="{C2897B27-E582-44C7-A5E0-25800B99080D}" name="TOPLAM"/>
    <tableColumn id="6" xr3:uid="{9BA614F2-491C-4C40-837C-7BCABED573C1}" name="FATUR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23220A2-AA83-40D3-BAA1-E258996ECC1F}" name="Tablo17" displayName="Tablo17" ref="A3:F10" totalsRowShown="0">
  <autoFilter ref="A3:F10" xr:uid="{923220A2-AA83-40D3-BAA1-E258996ECC1F}"/>
  <tableColumns count="6">
    <tableColumn id="1" xr3:uid="{FBC1A702-D094-494A-94B8-4AFC36652E81}" name="#"/>
    <tableColumn id="2" xr3:uid="{EC565235-E5BD-4360-97C8-46782E32D4FB}" name="Mal Ve Hizmet Tanimi"/>
    <tableColumn id="3" xr3:uid="{7E8C2215-E6CA-4675-85A4-0F2C03820B93}" name="Miktar"/>
    <tableColumn id="4" xr3:uid="{7EED5B41-F002-4D79-86AC-F9DEE0AE61CB}" name="Birim Fiyat"/>
    <tableColumn id="5" xr3:uid="{0624A3B5-AC40-4B87-9DE9-BF23062CE951}" name="TOPLAM"/>
    <tableColumn id="6" xr3:uid="{48008836-6763-4C15-862A-5B6207BDF69D}" name="FATUR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CBCDC7E-1296-42E6-93E7-12C5019AC642}" name="Tablo18" displayName="Tablo18" ref="A3:F12" totalsRowShown="0">
  <autoFilter ref="A3:F12" xr:uid="{BCBCDC7E-1296-42E6-93E7-12C5019AC642}"/>
  <tableColumns count="6">
    <tableColumn id="1" xr3:uid="{DE04C640-FF44-4849-800C-0074D7AB65E1}" name="#"/>
    <tableColumn id="2" xr3:uid="{0640BCAE-4411-4AB1-80A9-40C560AF079D}" name="Mal Ve Hizmet Tanimi"/>
    <tableColumn id="3" xr3:uid="{836FE45E-BCCD-44D6-B5D0-6D1D922DBCFE}" name="Miktar"/>
    <tableColumn id="4" xr3:uid="{47CBE16C-9A02-48E1-B8C5-26ECEB1C3A56}" name="Birim Fiyat"/>
    <tableColumn id="5" xr3:uid="{A34DCB51-201A-4737-94F9-A8E13D168516}" name="TOPLAM"/>
    <tableColumn id="6" xr3:uid="{5E1D7FBA-CF6D-42FC-BDDF-03AF93B6DB4E}" name="FATUR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6BFBB5B-DCED-4D39-A6BB-DAC705F76410}" name="Tablo19" displayName="Tablo19" ref="A3:F8" totalsRowShown="0">
  <autoFilter ref="A3:F8" xr:uid="{36BFBB5B-DCED-4D39-A6BB-DAC705F76410}"/>
  <tableColumns count="6">
    <tableColumn id="1" xr3:uid="{DF80C745-B109-4F20-A838-F9D197C7A74E}" name="#"/>
    <tableColumn id="2" xr3:uid="{E51EBC26-4021-4033-8981-87AA4F7EF740}" name="Mal Ve Hizmet Tanimi"/>
    <tableColumn id="3" xr3:uid="{2476BE7D-BCB1-4139-9060-B1A5C4240E5E}" name="Miktar"/>
    <tableColumn id="4" xr3:uid="{645AF583-00AA-42DC-8FC9-E8D2D92CD8C7}" name="Birim Fiyat"/>
    <tableColumn id="5" xr3:uid="{BC468B5E-E7B1-4B6D-B119-D1104858B857}" name="TOPLAM"/>
    <tableColumn id="6" xr3:uid="{51DADC8F-3C2A-4C9F-BF5C-87418A71DF71}" name="FATUR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1867EE7-CCCF-4971-AF9A-46906ADE65E7}" name="Tablo20" displayName="Tablo20" ref="A3:F13" totalsRowShown="0">
  <autoFilter ref="A3:F13" xr:uid="{C1867EE7-CCCF-4971-AF9A-46906ADE65E7}"/>
  <tableColumns count="6">
    <tableColumn id="1" xr3:uid="{D907F95B-CA0D-4B01-9BEB-3F3F911D6599}" name="#"/>
    <tableColumn id="2" xr3:uid="{F3692064-CB3E-4C4D-A547-8269CE0AF462}" name="Mal Ve Hizmet Tanimi"/>
    <tableColumn id="3" xr3:uid="{C68A2500-4C21-4029-BB97-B71020FD5DFD}" name="Miktar"/>
    <tableColumn id="4" xr3:uid="{BE075D97-A5A3-46F9-876F-10EC4EE0891F}" name="Birim Fiyat"/>
    <tableColumn id="5" xr3:uid="{2045BC53-7D3C-4AAB-8BCB-AFF03919EBDA}" name="TOPLAM"/>
    <tableColumn id="6" xr3:uid="{2B7623B6-3869-4A8E-B68A-8F8AAEFB9DFE}" name="FATUR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A741B4-3C20-490F-A380-25E8E6CD2A44}" name="Tablo21" displayName="Tablo21" ref="A3:F4" totalsRowShown="0">
  <autoFilter ref="A3:F4" xr:uid="{24A741B4-3C20-490F-A380-25E8E6CD2A44}"/>
  <tableColumns count="6">
    <tableColumn id="1" xr3:uid="{3074E082-65FE-408A-BE73-2CE6BBF4D34E}" name="#"/>
    <tableColumn id="2" xr3:uid="{7AEF7297-A33A-4B4C-9FB5-201350213701}" name="Mal Ve Hizmet Tanimi"/>
    <tableColumn id="3" xr3:uid="{BFF4156B-505F-435E-A0F8-77C27DB1E127}" name="Miktar"/>
    <tableColumn id="4" xr3:uid="{C0FB31CB-9E62-46D8-8BE7-F6EE9FBC4A25}" name="Birim Fiyat"/>
    <tableColumn id="5" xr3:uid="{85BFEC8B-B2A8-4F76-9592-EAA533A97C45}" name="TOPLAM"/>
    <tableColumn id="6" xr3:uid="{1D0D710F-8DA6-4054-BCAF-A90276E8A3A4}" name="FA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opLeftCell="A52" workbookViewId="0">
      <selection activeCell="H8" sqref="H8"/>
    </sheetView>
  </sheetViews>
  <sheetFormatPr defaultColWidth="9.1796875" defaultRowHeight="12.5" x14ac:dyDescent="0.25"/>
  <cols>
    <col min="1" max="1" width="2" style="4" bestFit="1" customWidth="1"/>
    <col min="2" max="2" width="24" style="4"/>
    <col min="3" max="3" width="8.1796875" style="4" bestFit="1" customWidth="1"/>
    <col min="4" max="4" width="9.54296875" style="4" bestFit="1" customWidth="1"/>
    <col min="5" max="5" width="10.1796875" style="4" bestFit="1" customWidth="1"/>
    <col min="6" max="6" width="20.7265625" style="3" bestFit="1" customWidth="1"/>
    <col min="7" max="16384" width="9.1796875" style="4"/>
  </cols>
  <sheetData>
    <row r="1" spans="1:6" ht="13" x14ac:dyDescent="0.25">
      <c r="A1" s="1" t="s">
        <v>22</v>
      </c>
      <c r="B1" s="1" t="s">
        <v>23</v>
      </c>
      <c r="C1" s="2" t="s">
        <v>24</v>
      </c>
      <c r="D1" s="13" t="s">
        <v>25</v>
      </c>
      <c r="E1" s="2" t="s">
        <v>40</v>
      </c>
      <c r="F1" s="3" t="s">
        <v>0</v>
      </c>
    </row>
    <row r="2" spans="1:6" ht="13" x14ac:dyDescent="0.25">
      <c r="A2" s="1" t="s">
        <v>26</v>
      </c>
      <c r="B2" s="5" t="s">
        <v>27</v>
      </c>
      <c r="C2" s="10">
        <v>14860</v>
      </c>
      <c r="D2" s="13">
        <v>30.7</v>
      </c>
      <c r="E2" s="2">
        <f>D2*C2</f>
        <v>456202</v>
      </c>
      <c r="F2" s="3" t="s">
        <v>1</v>
      </c>
    </row>
    <row r="3" spans="1:6" ht="13" x14ac:dyDescent="0.25">
      <c r="A3" s="1" t="s">
        <v>28</v>
      </c>
      <c r="B3" s="5" t="s">
        <v>29</v>
      </c>
      <c r="C3" s="10">
        <v>4940</v>
      </c>
      <c r="D3" s="13">
        <v>30.7</v>
      </c>
      <c r="E3" s="2">
        <f t="shared" ref="E3:E66" si="0">D3*C3</f>
        <v>151658</v>
      </c>
      <c r="F3" s="3" t="s">
        <v>1</v>
      </c>
    </row>
    <row r="4" spans="1:6" ht="13" x14ac:dyDescent="0.25">
      <c r="A4" s="1" t="s">
        <v>30</v>
      </c>
      <c r="B4" s="5" t="s">
        <v>31</v>
      </c>
      <c r="C4" s="10">
        <v>5430</v>
      </c>
      <c r="D4" s="13">
        <v>30.2</v>
      </c>
      <c r="E4" s="2">
        <f t="shared" si="0"/>
        <v>163986</v>
      </c>
      <c r="F4" s="3" t="s">
        <v>1</v>
      </c>
    </row>
    <row r="5" spans="1:6" ht="13" x14ac:dyDescent="0.25">
      <c r="A5" s="1" t="s">
        <v>26</v>
      </c>
      <c r="B5" s="5" t="s">
        <v>27</v>
      </c>
      <c r="C5" s="10">
        <v>18240</v>
      </c>
      <c r="D5" s="13">
        <v>30.7</v>
      </c>
      <c r="E5" s="2">
        <f t="shared" si="0"/>
        <v>559968</v>
      </c>
      <c r="F5" s="3" t="s">
        <v>2</v>
      </c>
    </row>
    <row r="6" spans="1:6" ht="13" x14ac:dyDescent="0.25">
      <c r="A6" s="1" t="s">
        <v>28</v>
      </c>
      <c r="B6" s="5" t="s">
        <v>32</v>
      </c>
      <c r="C6" s="10">
        <v>1646</v>
      </c>
      <c r="D6" s="13">
        <v>30.2</v>
      </c>
      <c r="E6" s="2">
        <f t="shared" si="0"/>
        <v>49709.2</v>
      </c>
      <c r="F6" s="3" t="s">
        <v>2</v>
      </c>
    </row>
    <row r="7" spans="1:6" ht="13" x14ac:dyDescent="0.25">
      <c r="A7" s="1" t="s">
        <v>30</v>
      </c>
      <c r="B7" s="5" t="s">
        <v>33</v>
      </c>
      <c r="C7" s="10">
        <v>5294</v>
      </c>
      <c r="D7" s="13">
        <v>30.2</v>
      </c>
      <c r="E7" s="2">
        <f t="shared" si="0"/>
        <v>159878.79999999999</v>
      </c>
      <c r="F7" s="3" t="s">
        <v>2</v>
      </c>
    </row>
    <row r="8" spans="1:6" ht="13" x14ac:dyDescent="0.25">
      <c r="A8" s="1" t="s">
        <v>26</v>
      </c>
      <c r="B8" s="5" t="s">
        <v>32</v>
      </c>
      <c r="C8" s="10">
        <v>14660</v>
      </c>
      <c r="D8" s="13">
        <v>30.2</v>
      </c>
      <c r="E8" s="2">
        <f t="shared" si="0"/>
        <v>442732</v>
      </c>
      <c r="F8" s="3" t="s">
        <v>3</v>
      </c>
    </row>
    <row r="9" spans="1:6" ht="13" x14ac:dyDescent="0.25">
      <c r="A9" s="1" t="s">
        <v>28</v>
      </c>
      <c r="B9" s="5" t="s">
        <v>34</v>
      </c>
      <c r="C9" s="10">
        <v>10420</v>
      </c>
      <c r="D9" s="13">
        <v>30.2</v>
      </c>
      <c r="E9" s="2">
        <f t="shared" si="0"/>
        <v>314684</v>
      </c>
      <c r="F9" s="3" t="s">
        <v>3</v>
      </c>
    </row>
    <row r="10" spans="1:6" ht="13" x14ac:dyDescent="0.25">
      <c r="A10" s="1" t="s">
        <v>26</v>
      </c>
      <c r="B10" s="5" t="s">
        <v>29</v>
      </c>
      <c r="C10" s="10">
        <v>4920</v>
      </c>
      <c r="D10" s="13">
        <v>30.7</v>
      </c>
      <c r="E10" s="2">
        <f t="shared" si="0"/>
        <v>151044</v>
      </c>
      <c r="F10" s="3" t="s">
        <v>4</v>
      </c>
    </row>
    <row r="11" spans="1:6" ht="13" x14ac:dyDescent="0.25">
      <c r="A11" s="1" t="s">
        <v>28</v>
      </c>
      <c r="B11" s="5" t="s">
        <v>34</v>
      </c>
      <c r="C11" s="10">
        <v>10470</v>
      </c>
      <c r="D11" s="13">
        <v>30.2</v>
      </c>
      <c r="E11" s="2">
        <f t="shared" si="0"/>
        <v>316194</v>
      </c>
      <c r="F11" s="3" t="s">
        <v>4</v>
      </c>
    </row>
    <row r="12" spans="1:6" ht="13" x14ac:dyDescent="0.25">
      <c r="A12" s="1" t="s">
        <v>30</v>
      </c>
      <c r="B12" s="5" t="s">
        <v>33</v>
      </c>
      <c r="C12" s="10">
        <v>9840</v>
      </c>
      <c r="D12" s="13">
        <v>30.2</v>
      </c>
      <c r="E12" s="2">
        <f t="shared" si="0"/>
        <v>297168</v>
      </c>
      <c r="F12" s="3" t="s">
        <v>4</v>
      </c>
    </row>
    <row r="13" spans="1:6" ht="13" x14ac:dyDescent="0.25">
      <c r="A13" s="1" t="s">
        <v>26</v>
      </c>
      <c r="B13" s="1" t="s">
        <v>35</v>
      </c>
      <c r="C13" s="10">
        <v>5145</v>
      </c>
      <c r="D13" s="13">
        <v>30.2</v>
      </c>
      <c r="E13" s="2">
        <f t="shared" si="0"/>
        <v>155379</v>
      </c>
      <c r="F13" s="3" t="s">
        <v>5</v>
      </c>
    </row>
    <row r="14" spans="1:6" ht="13" x14ac:dyDescent="0.25">
      <c r="A14" s="1" t="s">
        <v>28</v>
      </c>
      <c r="B14" s="5" t="s">
        <v>27</v>
      </c>
      <c r="C14" s="10">
        <v>10231</v>
      </c>
      <c r="D14" s="13">
        <v>30.7</v>
      </c>
      <c r="E14" s="2">
        <f t="shared" si="0"/>
        <v>314091.7</v>
      </c>
      <c r="F14" s="3" t="s">
        <v>5</v>
      </c>
    </row>
    <row r="15" spans="1:6" ht="13" x14ac:dyDescent="0.25">
      <c r="A15" s="1" t="s">
        <v>30</v>
      </c>
      <c r="B15" s="5" t="s">
        <v>29</v>
      </c>
      <c r="C15" s="10">
        <v>4886</v>
      </c>
      <c r="D15" s="13">
        <v>30.7</v>
      </c>
      <c r="E15" s="2">
        <f t="shared" si="0"/>
        <v>150000.19999999998</v>
      </c>
      <c r="F15" s="3" t="s">
        <v>5</v>
      </c>
    </row>
    <row r="16" spans="1:6" ht="13" x14ac:dyDescent="0.25">
      <c r="A16" s="1" t="s">
        <v>36</v>
      </c>
      <c r="B16" s="5" t="s">
        <v>32</v>
      </c>
      <c r="C16" s="10">
        <v>4898</v>
      </c>
      <c r="D16" s="13">
        <v>30.2</v>
      </c>
      <c r="E16" s="2">
        <f t="shared" si="0"/>
        <v>147919.6</v>
      </c>
      <c r="F16" s="3" t="s">
        <v>5</v>
      </c>
    </row>
    <row r="17" spans="1:6" ht="13" x14ac:dyDescent="0.25">
      <c r="A17" s="1" t="s">
        <v>26</v>
      </c>
      <c r="B17" s="5" t="s">
        <v>27</v>
      </c>
      <c r="C17" s="10">
        <v>11352</v>
      </c>
      <c r="D17" s="13">
        <v>30.7</v>
      </c>
      <c r="E17" s="2">
        <f t="shared" si="0"/>
        <v>348506.39999999997</v>
      </c>
      <c r="F17" s="3" t="s">
        <v>6</v>
      </c>
    </row>
    <row r="18" spans="1:6" ht="13" x14ac:dyDescent="0.25">
      <c r="A18" s="1" t="s">
        <v>28</v>
      </c>
      <c r="B18" s="5" t="s">
        <v>29</v>
      </c>
      <c r="C18" s="10">
        <v>4900</v>
      </c>
      <c r="D18" s="13">
        <v>30.7</v>
      </c>
      <c r="E18" s="2">
        <f t="shared" si="0"/>
        <v>150430</v>
      </c>
      <c r="F18" s="3" t="s">
        <v>6</v>
      </c>
    </row>
    <row r="19" spans="1:6" ht="13" x14ac:dyDescent="0.25">
      <c r="A19" s="1" t="s">
        <v>30</v>
      </c>
      <c r="B19" s="5" t="s">
        <v>32</v>
      </c>
      <c r="C19" s="10">
        <v>4075</v>
      </c>
      <c r="D19" s="13">
        <v>30.2</v>
      </c>
      <c r="E19" s="2">
        <f t="shared" si="0"/>
        <v>123065</v>
      </c>
      <c r="F19" s="3" t="s">
        <v>6</v>
      </c>
    </row>
    <row r="20" spans="1:6" ht="13" x14ac:dyDescent="0.25">
      <c r="A20" s="1" t="s">
        <v>36</v>
      </c>
      <c r="B20" s="5" t="s">
        <v>37</v>
      </c>
      <c r="C20" s="10">
        <v>4753</v>
      </c>
      <c r="D20" s="13">
        <v>30.2</v>
      </c>
      <c r="E20" s="2">
        <f t="shared" si="0"/>
        <v>143540.6</v>
      </c>
      <c r="F20" s="3" t="s">
        <v>6</v>
      </c>
    </row>
    <row r="21" spans="1:6" ht="13" x14ac:dyDescent="0.25">
      <c r="A21" s="6" t="s">
        <v>26</v>
      </c>
      <c r="B21" s="7" t="s">
        <v>27</v>
      </c>
      <c r="C21" s="9">
        <v>10238</v>
      </c>
      <c r="D21" s="14">
        <v>30.7</v>
      </c>
      <c r="E21" s="2">
        <f t="shared" si="0"/>
        <v>314306.59999999998</v>
      </c>
      <c r="F21" s="3" t="s">
        <v>7</v>
      </c>
    </row>
    <row r="22" spans="1:6" ht="13" x14ac:dyDescent="0.25">
      <c r="A22" s="6" t="s">
        <v>28</v>
      </c>
      <c r="B22" s="7" t="s">
        <v>29</v>
      </c>
      <c r="C22" s="9">
        <v>4910</v>
      </c>
      <c r="D22" s="14">
        <v>30.7</v>
      </c>
      <c r="E22" s="2">
        <f t="shared" si="0"/>
        <v>150737</v>
      </c>
      <c r="F22" s="3" t="s">
        <v>7</v>
      </c>
    </row>
    <row r="23" spans="1:6" ht="13" x14ac:dyDescent="0.25">
      <c r="A23" s="1" t="s">
        <v>30</v>
      </c>
      <c r="B23" s="5" t="s">
        <v>34</v>
      </c>
      <c r="C23" s="10">
        <v>5209</v>
      </c>
      <c r="D23" s="13">
        <v>30.2</v>
      </c>
      <c r="E23" s="2">
        <f t="shared" si="0"/>
        <v>157311.79999999999</v>
      </c>
      <c r="F23" s="3" t="s">
        <v>7</v>
      </c>
    </row>
    <row r="24" spans="1:6" ht="13" x14ac:dyDescent="0.3">
      <c r="A24" s="1" t="s">
        <v>36</v>
      </c>
      <c r="B24" s="8" t="s">
        <v>37</v>
      </c>
      <c r="C24" s="10">
        <v>4773</v>
      </c>
      <c r="D24" s="13">
        <v>30.2</v>
      </c>
      <c r="E24" s="2">
        <f t="shared" si="0"/>
        <v>144144.6</v>
      </c>
      <c r="F24" s="3" t="s">
        <v>7</v>
      </c>
    </row>
    <row r="25" spans="1:6" ht="13" x14ac:dyDescent="0.25">
      <c r="A25" s="6" t="s">
        <v>26</v>
      </c>
      <c r="B25" s="7" t="s">
        <v>27</v>
      </c>
      <c r="C25" s="9">
        <v>5687</v>
      </c>
      <c r="D25" s="14">
        <v>30.7</v>
      </c>
      <c r="E25" s="2">
        <f t="shared" si="0"/>
        <v>174590.9</v>
      </c>
      <c r="F25" s="3" t="s">
        <v>8</v>
      </c>
    </row>
    <row r="26" spans="1:6" ht="13" x14ac:dyDescent="0.25">
      <c r="A26" s="6" t="s">
        <v>28</v>
      </c>
      <c r="B26" s="7" t="s">
        <v>32</v>
      </c>
      <c r="C26" s="9">
        <v>14680</v>
      </c>
      <c r="D26" s="14">
        <v>30.2</v>
      </c>
      <c r="E26" s="2">
        <f t="shared" si="0"/>
        <v>443336</v>
      </c>
      <c r="F26" s="3" t="s">
        <v>8</v>
      </c>
    </row>
    <row r="27" spans="1:6" ht="13" x14ac:dyDescent="0.25">
      <c r="A27" s="1" t="s">
        <v>30</v>
      </c>
      <c r="B27" s="5" t="s">
        <v>37</v>
      </c>
      <c r="C27" s="10">
        <v>4763</v>
      </c>
      <c r="D27" s="13">
        <v>30.2</v>
      </c>
      <c r="E27" s="2">
        <f t="shared" si="0"/>
        <v>143842.6</v>
      </c>
      <c r="F27" s="3" t="s">
        <v>8</v>
      </c>
    </row>
    <row r="28" spans="1:6" ht="13" x14ac:dyDescent="0.25">
      <c r="A28" s="6" t="s">
        <v>26</v>
      </c>
      <c r="B28" s="7" t="s">
        <v>27</v>
      </c>
      <c r="C28" s="9">
        <v>5677</v>
      </c>
      <c r="D28" s="14">
        <v>30.7</v>
      </c>
      <c r="E28" s="2">
        <f t="shared" si="0"/>
        <v>174283.9</v>
      </c>
      <c r="F28" s="3" t="s">
        <v>9</v>
      </c>
    </row>
    <row r="29" spans="1:6" ht="13" x14ac:dyDescent="0.25">
      <c r="A29" s="6" t="s">
        <v>28</v>
      </c>
      <c r="B29" s="7" t="s">
        <v>32</v>
      </c>
      <c r="C29" s="9">
        <v>8963</v>
      </c>
      <c r="D29" s="14">
        <v>30.2</v>
      </c>
      <c r="E29" s="2">
        <f t="shared" si="0"/>
        <v>270682.59999999998</v>
      </c>
      <c r="F29" s="3" t="s">
        <v>9</v>
      </c>
    </row>
    <row r="30" spans="1:6" ht="13" x14ac:dyDescent="0.25">
      <c r="A30" s="1" t="s">
        <v>30</v>
      </c>
      <c r="B30" s="5" t="s">
        <v>34</v>
      </c>
      <c r="C30" s="10">
        <v>5209</v>
      </c>
      <c r="D30" s="13">
        <v>30.2</v>
      </c>
      <c r="E30" s="2">
        <f t="shared" si="0"/>
        <v>157311.79999999999</v>
      </c>
      <c r="F30" s="3" t="s">
        <v>9</v>
      </c>
    </row>
    <row r="31" spans="1:6" ht="13" x14ac:dyDescent="0.25">
      <c r="A31" s="1" t="s">
        <v>36</v>
      </c>
      <c r="B31" s="5" t="s">
        <v>33</v>
      </c>
      <c r="C31" s="10">
        <v>5281</v>
      </c>
      <c r="D31" s="13">
        <v>30.2</v>
      </c>
      <c r="E31" s="2">
        <f t="shared" si="0"/>
        <v>159486.19999999998</v>
      </c>
      <c r="F31" s="3" t="s">
        <v>9</v>
      </c>
    </row>
    <row r="32" spans="1:6" ht="13" x14ac:dyDescent="0.25">
      <c r="A32" s="1" t="s">
        <v>26</v>
      </c>
      <c r="B32" s="5" t="s">
        <v>29</v>
      </c>
      <c r="C32" s="10">
        <v>9759</v>
      </c>
      <c r="D32" s="13">
        <v>30.7</v>
      </c>
      <c r="E32" s="2">
        <f t="shared" si="0"/>
        <v>299601.3</v>
      </c>
      <c r="F32" s="3" t="s">
        <v>10</v>
      </c>
    </row>
    <row r="33" spans="1:6" ht="13" x14ac:dyDescent="0.25">
      <c r="A33" s="1" t="s">
        <v>28</v>
      </c>
      <c r="B33" s="5" t="s">
        <v>32</v>
      </c>
      <c r="C33" s="10">
        <v>4884</v>
      </c>
      <c r="D33" s="13">
        <v>30.2</v>
      </c>
      <c r="E33" s="2">
        <f t="shared" si="0"/>
        <v>147496.79999999999</v>
      </c>
      <c r="F33" s="3" t="s">
        <v>10</v>
      </c>
    </row>
    <row r="34" spans="1:6" ht="13" x14ac:dyDescent="0.25">
      <c r="A34" s="1" t="s">
        <v>30</v>
      </c>
      <c r="B34" s="5" t="s">
        <v>34</v>
      </c>
      <c r="C34" s="10">
        <v>10407</v>
      </c>
      <c r="D34" s="13">
        <v>30.2</v>
      </c>
      <c r="E34" s="2">
        <f t="shared" si="0"/>
        <v>314291.39999999997</v>
      </c>
      <c r="F34" s="3" t="s">
        <v>10</v>
      </c>
    </row>
    <row r="35" spans="1:6" ht="13" x14ac:dyDescent="0.25">
      <c r="A35" s="1" t="s">
        <v>26</v>
      </c>
      <c r="B35" s="5" t="s">
        <v>27</v>
      </c>
      <c r="C35" s="10">
        <v>4545</v>
      </c>
      <c r="D35" s="13">
        <v>30.7</v>
      </c>
      <c r="E35" s="2">
        <f t="shared" si="0"/>
        <v>139531.5</v>
      </c>
      <c r="F35" s="3" t="s">
        <v>11</v>
      </c>
    </row>
    <row r="36" spans="1:6" ht="13" x14ac:dyDescent="0.25">
      <c r="A36" s="1" t="s">
        <v>28</v>
      </c>
      <c r="B36" s="5" t="s">
        <v>34</v>
      </c>
      <c r="C36" s="10">
        <v>10438</v>
      </c>
      <c r="D36" s="13">
        <v>30.2</v>
      </c>
      <c r="E36" s="2">
        <f t="shared" si="0"/>
        <v>315227.59999999998</v>
      </c>
      <c r="F36" s="3" t="s">
        <v>11</v>
      </c>
    </row>
    <row r="37" spans="1:6" ht="13" x14ac:dyDescent="0.25">
      <c r="A37" s="1" t="s">
        <v>30</v>
      </c>
      <c r="B37" s="5" t="s">
        <v>31</v>
      </c>
      <c r="C37" s="10">
        <v>5419</v>
      </c>
      <c r="D37" s="13">
        <v>30.2</v>
      </c>
      <c r="E37" s="2">
        <f t="shared" si="0"/>
        <v>163653.79999999999</v>
      </c>
      <c r="F37" s="3" t="s">
        <v>11</v>
      </c>
    </row>
    <row r="38" spans="1:6" ht="13" x14ac:dyDescent="0.25">
      <c r="A38" s="1" t="s">
        <v>36</v>
      </c>
      <c r="B38" s="5" t="s">
        <v>37</v>
      </c>
      <c r="C38" s="10">
        <v>4773</v>
      </c>
      <c r="D38" s="13">
        <v>30.2</v>
      </c>
      <c r="E38" s="2">
        <f t="shared" si="0"/>
        <v>144144.6</v>
      </c>
      <c r="F38" s="3" t="s">
        <v>11</v>
      </c>
    </row>
    <row r="39" spans="1:6" ht="13" x14ac:dyDescent="0.25">
      <c r="A39" s="1" t="s">
        <v>26</v>
      </c>
      <c r="B39" s="1" t="s">
        <v>38</v>
      </c>
      <c r="C39" s="10">
        <v>5079</v>
      </c>
      <c r="D39" s="13">
        <v>30.2</v>
      </c>
      <c r="E39" s="2">
        <f t="shared" si="0"/>
        <v>153385.79999999999</v>
      </c>
      <c r="F39" s="3" t="s">
        <v>12</v>
      </c>
    </row>
    <row r="40" spans="1:6" ht="13" x14ac:dyDescent="0.25">
      <c r="A40" s="1" t="s">
        <v>28</v>
      </c>
      <c r="B40" s="5" t="s">
        <v>27</v>
      </c>
      <c r="C40" s="10">
        <v>10187</v>
      </c>
      <c r="D40" s="13">
        <v>30.7</v>
      </c>
      <c r="E40" s="2">
        <f t="shared" si="0"/>
        <v>312740.89999999997</v>
      </c>
      <c r="F40" s="3" t="s">
        <v>12</v>
      </c>
    </row>
    <row r="41" spans="1:6" ht="13" x14ac:dyDescent="0.25">
      <c r="A41" s="1" t="s">
        <v>30</v>
      </c>
      <c r="B41" s="5" t="s">
        <v>29</v>
      </c>
      <c r="C41" s="10">
        <v>9754</v>
      </c>
      <c r="D41" s="13">
        <v>30.7</v>
      </c>
      <c r="E41" s="2">
        <f t="shared" si="0"/>
        <v>299447.8</v>
      </c>
      <c r="F41" s="3" t="s">
        <v>12</v>
      </c>
    </row>
    <row r="42" spans="1:6" ht="13" x14ac:dyDescent="0.25">
      <c r="A42" s="1" t="s">
        <v>26</v>
      </c>
      <c r="B42" s="1" t="s">
        <v>38</v>
      </c>
      <c r="C42" s="10">
        <v>5105</v>
      </c>
      <c r="D42" s="13">
        <v>30.2</v>
      </c>
      <c r="E42" s="2">
        <f t="shared" si="0"/>
        <v>154171</v>
      </c>
      <c r="F42" s="3" t="s">
        <v>13</v>
      </c>
    </row>
    <row r="43" spans="1:6" ht="13" x14ac:dyDescent="0.25">
      <c r="A43" s="1" t="s">
        <v>28</v>
      </c>
      <c r="B43" s="5" t="s">
        <v>27</v>
      </c>
      <c r="C43" s="10">
        <v>10240</v>
      </c>
      <c r="D43" s="13">
        <v>30.7</v>
      </c>
      <c r="E43" s="2">
        <f t="shared" si="0"/>
        <v>314368</v>
      </c>
      <c r="F43" s="3" t="s">
        <v>13</v>
      </c>
    </row>
    <row r="44" spans="1:6" ht="13" x14ac:dyDescent="0.25">
      <c r="A44" s="1" t="s">
        <v>30</v>
      </c>
      <c r="B44" s="5" t="s">
        <v>34</v>
      </c>
      <c r="C44" s="10">
        <v>5215</v>
      </c>
      <c r="D44" s="13">
        <v>30.2</v>
      </c>
      <c r="E44" s="2">
        <f t="shared" si="0"/>
        <v>157493</v>
      </c>
      <c r="F44" s="3" t="s">
        <v>13</v>
      </c>
    </row>
    <row r="45" spans="1:6" ht="13" x14ac:dyDescent="0.25">
      <c r="A45" s="1" t="s">
        <v>36</v>
      </c>
      <c r="B45" s="5" t="s">
        <v>33</v>
      </c>
      <c r="C45" s="10">
        <v>4540</v>
      </c>
      <c r="D45" s="13">
        <v>30.2</v>
      </c>
      <c r="E45" s="2">
        <f t="shared" si="0"/>
        <v>137108</v>
      </c>
      <c r="F45" s="3" t="s">
        <v>13</v>
      </c>
    </row>
    <row r="46" spans="1:6" ht="13" x14ac:dyDescent="0.25">
      <c r="A46" s="1" t="s">
        <v>26</v>
      </c>
      <c r="B46" s="5" t="s">
        <v>27</v>
      </c>
      <c r="C46" s="10">
        <v>10203</v>
      </c>
      <c r="D46" s="13">
        <v>30.7</v>
      </c>
      <c r="E46" s="2">
        <f t="shared" si="0"/>
        <v>313232.09999999998</v>
      </c>
      <c r="F46" s="3" t="s">
        <v>14</v>
      </c>
    </row>
    <row r="47" spans="1:6" ht="13" x14ac:dyDescent="0.25">
      <c r="A47" s="1" t="s">
        <v>28</v>
      </c>
      <c r="B47" s="5" t="s">
        <v>29</v>
      </c>
      <c r="C47" s="10">
        <v>4900</v>
      </c>
      <c r="D47" s="13">
        <v>30.7</v>
      </c>
      <c r="E47" s="2">
        <f t="shared" si="0"/>
        <v>150430</v>
      </c>
      <c r="F47" s="3" t="s">
        <v>14</v>
      </c>
    </row>
    <row r="48" spans="1:6" ht="13" x14ac:dyDescent="0.25">
      <c r="A48" s="1" t="s">
        <v>30</v>
      </c>
      <c r="B48" s="5" t="s">
        <v>34</v>
      </c>
      <c r="C48" s="10">
        <v>5208</v>
      </c>
      <c r="D48" s="13">
        <v>30.2</v>
      </c>
      <c r="E48" s="2">
        <f t="shared" si="0"/>
        <v>157281.60000000001</v>
      </c>
      <c r="F48" s="3" t="s">
        <v>14</v>
      </c>
    </row>
    <row r="49" spans="1:6" ht="13" x14ac:dyDescent="0.25">
      <c r="A49" s="1" t="s">
        <v>36</v>
      </c>
      <c r="B49" s="5" t="s">
        <v>37</v>
      </c>
      <c r="C49" s="10">
        <v>4764</v>
      </c>
      <c r="D49" s="13">
        <v>30.2</v>
      </c>
      <c r="E49" s="2">
        <f t="shared" si="0"/>
        <v>143872.79999999999</v>
      </c>
      <c r="F49" s="3" t="s">
        <v>14</v>
      </c>
    </row>
    <row r="50" spans="1:6" ht="13" x14ac:dyDescent="0.25">
      <c r="A50" s="1" t="s">
        <v>26</v>
      </c>
      <c r="B50" s="5" t="s">
        <v>27</v>
      </c>
      <c r="C50" s="10">
        <v>6870</v>
      </c>
      <c r="D50" s="13">
        <v>30.7</v>
      </c>
      <c r="E50" s="2">
        <f t="shared" si="0"/>
        <v>210909</v>
      </c>
      <c r="F50" s="3" t="s">
        <v>15</v>
      </c>
    </row>
    <row r="51" spans="1:6" ht="13" x14ac:dyDescent="0.25">
      <c r="A51" s="1" t="s">
        <v>28</v>
      </c>
      <c r="B51" s="5" t="s">
        <v>31</v>
      </c>
      <c r="C51" s="10">
        <v>3460</v>
      </c>
      <c r="D51" s="13">
        <v>30.2</v>
      </c>
      <c r="E51" s="2">
        <f t="shared" si="0"/>
        <v>104492</v>
      </c>
      <c r="F51" s="3" t="s">
        <v>15</v>
      </c>
    </row>
    <row r="52" spans="1:6" ht="13" x14ac:dyDescent="0.25">
      <c r="A52" s="1" t="s">
        <v>30</v>
      </c>
      <c r="B52" s="5" t="s">
        <v>33</v>
      </c>
      <c r="C52" s="10">
        <v>5320</v>
      </c>
      <c r="D52" s="13">
        <v>30.2</v>
      </c>
      <c r="E52" s="2">
        <f t="shared" si="0"/>
        <v>160664</v>
      </c>
      <c r="F52" s="3" t="s">
        <v>15</v>
      </c>
    </row>
    <row r="53" spans="1:6" ht="13" x14ac:dyDescent="0.25">
      <c r="A53" s="1" t="s">
        <v>36</v>
      </c>
      <c r="B53" s="5" t="s">
        <v>37</v>
      </c>
      <c r="C53" s="10">
        <v>9570</v>
      </c>
      <c r="D53" s="13">
        <v>30.2</v>
      </c>
      <c r="E53" s="2">
        <f t="shared" si="0"/>
        <v>289014</v>
      </c>
      <c r="F53" s="3" t="s">
        <v>15</v>
      </c>
    </row>
    <row r="54" spans="1:6" ht="13" x14ac:dyDescent="0.25">
      <c r="A54" s="1" t="s">
        <v>26</v>
      </c>
      <c r="B54" s="5" t="s">
        <v>27</v>
      </c>
      <c r="C54" s="10">
        <v>4545</v>
      </c>
      <c r="D54" s="13">
        <v>30.7</v>
      </c>
      <c r="E54" s="2">
        <f t="shared" si="0"/>
        <v>139531.5</v>
      </c>
      <c r="F54" s="3" t="s">
        <v>16</v>
      </c>
    </row>
    <row r="55" spans="1:6" ht="13" x14ac:dyDescent="0.25">
      <c r="A55" s="1" t="s">
        <v>28</v>
      </c>
      <c r="B55" s="5" t="s">
        <v>29</v>
      </c>
      <c r="C55" s="10">
        <v>4890</v>
      </c>
      <c r="D55" s="13">
        <v>30.7</v>
      </c>
      <c r="E55" s="2">
        <f t="shared" si="0"/>
        <v>150123</v>
      </c>
      <c r="F55" s="3" t="s">
        <v>16</v>
      </c>
    </row>
    <row r="56" spans="1:6" ht="13" x14ac:dyDescent="0.25">
      <c r="A56" s="1" t="s">
        <v>30</v>
      </c>
      <c r="B56" s="5" t="s">
        <v>34</v>
      </c>
      <c r="C56" s="10">
        <v>10448</v>
      </c>
      <c r="D56" s="13">
        <v>30.2</v>
      </c>
      <c r="E56" s="2">
        <f t="shared" si="0"/>
        <v>315529.59999999998</v>
      </c>
      <c r="F56" s="3" t="s">
        <v>16</v>
      </c>
    </row>
    <row r="57" spans="1:6" ht="13" x14ac:dyDescent="0.25">
      <c r="A57" s="1" t="s">
        <v>36</v>
      </c>
      <c r="B57" s="5" t="s">
        <v>33</v>
      </c>
      <c r="C57" s="10">
        <v>5292</v>
      </c>
      <c r="D57" s="13">
        <v>30.2</v>
      </c>
      <c r="E57" s="2">
        <f t="shared" si="0"/>
        <v>159818.4</v>
      </c>
      <c r="F57" s="3" t="s">
        <v>16</v>
      </c>
    </row>
    <row r="58" spans="1:6" ht="13" x14ac:dyDescent="0.25">
      <c r="A58" s="1" t="s">
        <v>26</v>
      </c>
      <c r="B58" s="5" t="s">
        <v>27</v>
      </c>
      <c r="C58" s="10">
        <v>15941</v>
      </c>
      <c r="D58" s="13">
        <v>30.7</v>
      </c>
      <c r="E58" s="2">
        <f t="shared" si="0"/>
        <v>489388.7</v>
      </c>
      <c r="F58" s="3" t="s">
        <v>17</v>
      </c>
    </row>
    <row r="59" spans="1:6" ht="13" x14ac:dyDescent="0.25">
      <c r="A59" s="1" t="s">
        <v>28</v>
      </c>
      <c r="B59" s="5" t="s">
        <v>29</v>
      </c>
      <c r="C59" s="10">
        <v>3922</v>
      </c>
      <c r="D59" s="13">
        <v>30.7</v>
      </c>
      <c r="E59" s="2">
        <f t="shared" si="0"/>
        <v>120405.4</v>
      </c>
      <c r="F59" s="3" t="s">
        <v>17</v>
      </c>
    </row>
    <row r="60" spans="1:6" ht="13" x14ac:dyDescent="0.25">
      <c r="A60" s="1" t="s">
        <v>30</v>
      </c>
      <c r="B60" s="5" t="s">
        <v>33</v>
      </c>
      <c r="C60" s="10">
        <v>5312</v>
      </c>
      <c r="D60" s="13">
        <v>30.2</v>
      </c>
      <c r="E60" s="2">
        <f t="shared" si="0"/>
        <v>160422.39999999999</v>
      </c>
      <c r="F60" s="3" t="s">
        <v>17</v>
      </c>
    </row>
    <row r="61" spans="1:6" ht="13" x14ac:dyDescent="0.25">
      <c r="A61" s="6" t="s">
        <v>26</v>
      </c>
      <c r="B61" s="7" t="s">
        <v>27</v>
      </c>
      <c r="C61" s="9">
        <v>4580</v>
      </c>
      <c r="D61" s="14">
        <v>30.7</v>
      </c>
      <c r="E61" s="2">
        <f t="shared" si="0"/>
        <v>140606</v>
      </c>
      <c r="F61" s="3" t="s">
        <v>18</v>
      </c>
    </row>
    <row r="62" spans="1:6" ht="13" x14ac:dyDescent="0.25">
      <c r="A62" s="6" t="s">
        <v>28</v>
      </c>
      <c r="B62" s="7" t="s">
        <v>31</v>
      </c>
      <c r="C62" s="9">
        <v>15310</v>
      </c>
      <c r="D62" s="14">
        <v>30.2</v>
      </c>
      <c r="E62" s="2">
        <f t="shared" si="0"/>
        <v>462362</v>
      </c>
      <c r="F62" s="3" t="s">
        <v>18</v>
      </c>
    </row>
    <row r="63" spans="1:6" ht="13" x14ac:dyDescent="0.3">
      <c r="A63" s="1" t="s">
        <v>30</v>
      </c>
      <c r="B63" s="8" t="s">
        <v>33</v>
      </c>
      <c r="C63" s="10">
        <v>5330</v>
      </c>
      <c r="D63" s="13">
        <v>30.2</v>
      </c>
      <c r="E63" s="2">
        <f t="shared" si="0"/>
        <v>160966</v>
      </c>
      <c r="F63" s="3" t="s">
        <v>18</v>
      </c>
    </row>
    <row r="64" spans="1:6" ht="13" x14ac:dyDescent="0.25">
      <c r="A64" s="1" t="s">
        <v>26</v>
      </c>
      <c r="B64" s="15" t="s">
        <v>41</v>
      </c>
      <c r="C64" s="10">
        <v>2261</v>
      </c>
      <c r="D64" s="13">
        <v>30.2</v>
      </c>
      <c r="E64" s="2">
        <f t="shared" si="0"/>
        <v>68282.2</v>
      </c>
      <c r="F64" s="3" t="s">
        <v>19</v>
      </c>
    </row>
    <row r="65" spans="1:6" ht="13" x14ac:dyDescent="0.25">
      <c r="A65" s="1" t="s">
        <v>28</v>
      </c>
      <c r="B65" s="5" t="s">
        <v>27</v>
      </c>
      <c r="C65" s="10">
        <v>11368</v>
      </c>
      <c r="D65" s="13">
        <v>30.7</v>
      </c>
      <c r="E65" s="2">
        <f t="shared" si="0"/>
        <v>348997.6</v>
      </c>
      <c r="F65" s="3" t="s">
        <v>19</v>
      </c>
    </row>
    <row r="66" spans="1:6" ht="13" x14ac:dyDescent="0.25">
      <c r="A66" s="1" t="s">
        <v>30</v>
      </c>
      <c r="B66" s="5" t="s">
        <v>32</v>
      </c>
      <c r="C66" s="10">
        <v>11371</v>
      </c>
      <c r="D66" s="13">
        <v>30.2</v>
      </c>
      <c r="E66" s="2">
        <f t="shared" si="0"/>
        <v>343404.2</v>
      </c>
      <c r="F66" s="3" t="s">
        <v>19</v>
      </c>
    </row>
    <row r="67" spans="1:6" ht="13" x14ac:dyDescent="0.25">
      <c r="A67" s="1" t="s">
        <v>26</v>
      </c>
      <c r="B67" s="5" t="s">
        <v>34</v>
      </c>
      <c r="C67" s="10">
        <v>5240</v>
      </c>
      <c r="D67" s="13">
        <v>30.2</v>
      </c>
      <c r="E67" s="2">
        <f t="shared" ref="E67:E71" si="1">D67*C67</f>
        <v>158248</v>
      </c>
      <c r="F67" s="3" t="s">
        <v>20</v>
      </c>
    </row>
    <row r="68" spans="1:6" ht="13" x14ac:dyDescent="0.25">
      <c r="A68" s="1" t="s">
        <v>28</v>
      </c>
      <c r="B68" s="5" t="s">
        <v>31</v>
      </c>
      <c r="C68" s="10">
        <v>9870</v>
      </c>
      <c r="D68" s="13">
        <v>30.2</v>
      </c>
      <c r="E68" s="2">
        <f t="shared" si="1"/>
        <v>298074</v>
      </c>
      <c r="F68" s="3" t="s">
        <v>20</v>
      </c>
    </row>
    <row r="69" spans="1:6" ht="13" x14ac:dyDescent="0.25">
      <c r="A69" s="1" t="s">
        <v>30</v>
      </c>
      <c r="B69" s="5" t="s">
        <v>33</v>
      </c>
      <c r="C69" s="10">
        <v>5320</v>
      </c>
      <c r="D69" s="13">
        <v>30.2</v>
      </c>
      <c r="E69" s="2">
        <f t="shared" si="1"/>
        <v>160664</v>
      </c>
      <c r="F69" s="3" t="s">
        <v>20</v>
      </c>
    </row>
    <row r="70" spans="1:6" ht="13" x14ac:dyDescent="0.25">
      <c r="A70" s="1" t="s">
        <v>36</v>
      </c>
      <c r="B70" s="5" t="s">
        <v>37</v>
      </c>
      <c r="C70" s="10">
        <v>4790</v>
      </c>
      <c r="D70" s="13">
        <v>30.2</v>
      </c>
      <c r="E70" s="2">
        <f t="shared" si="1"/>
        <v>144658</v>
      </c>
      <c r="F70" s="3" t="s">
        <v>20</v>
      </c>
    </row>
    <row r="71" spans="1:6" ht="13" x14ac:dyDescent="0.3">
      <c r="A71" s="4">
        <v>1</v>
      </c>
      <c r="B71" s="3" t="s">
        <v>39</v>
      </c>
      <c r="C71" s="11">
        <v>20690</v>
      </c>
      <c r="D71" s="13">
        <v>30.7</v>
      </c>
      <c r="E71" s="2">
        <f t="shared" si="1"/>
        <v>635183</v>
      </c>
      <c r="F71" s="3" t="s">
        <v>21</v>
      </c>
    </row>
    <row r="72" spans="1:6" x14ac:dyDescent="0.25">
      <c r="C72" s="12">
        <f>SUM(C2:C71)</f>
        <v>523470</v>
      </c>
      <c r="E72" s="12">
        <f>SUM(E2:E71)</f>
        <v>15925411.499999998</v>
      </c>
    </row>
  </sheetData>
  <sortState xmlns:xlrd2="http://schemas.microsoft.com/office/spreadsheetml/2017/richdata2" ref="A2:F71">
    <sortCondition ref="F2:F71"/>
    <sortCondition ref="A2:A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CDCE-64C9-49EA-AAD0-B3A381CD364A}">
  <dimension ref="A1:F4"/>
  <sheetViews>
    <sheetView workbookViewId="0">
      <selection activeCell="A3" sqref="A3:F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62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41</v>
      </c>
      <c r="C4">
        <v>2261</v>
      </c>
      <c r="D4">
        <v>30.2</v>
      </c>
      <c r="E4">
        <v>68282.2</v>
      </c>
      <c r="F4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D920-2456-4A73-B1D2-F913B2A5E960}">
  <dimension ref="A1:F4"/>
  <sheetViews>
    <sheetView workbookViewId="0">
      <selection activeCell="A3" sqref="A3:F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63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43</v>
      </c>
      <c r="C4">
        <v>5145</v>
      </c>
      <c r="D4">
        <v>30.2</v>
      </c>
      <c r="E4">
        <v>155379</v>
      </c>
      <c r="F4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95FB-01A3-4FFC-A785-5E266EC23D83}">
  <dimension ref="A1:F5"/>
  <sheetViews>
    <sheetView workbookViewId="0">
      <selection activeCell="A3" sqref="A3:F5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64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44</v>
      </c>
      <c r="C4">
        <v>5105</v>
      </c>
      <c r="D4">
        <v>30.2</v>
      </c>
      <c r="E4">
        <v>154171</v>
      </c>
      <c r="F4" t="s">
        <v>13</v>
      </c>
    </row>
    <row r="5" spans="1:6" x14ac:dyDescent="0.25">
      <c r="A5" t="s">
        <v>61</v>
      </c>
      <c r="B5" t="s">
        <v>44</v>
      </c>
      <c r="C5">
        <v>5079</v>
      </c>
      <c r="D5">
        <v>30.2</v>
      </c>
      <c r="E5">
        <v>153385.79999999999</v>
      </c>
      <c r="F5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DBC3-0B0D-406A-92D3-A3395C6D4B16}">
  <dimension ref="A1:F11"/>
  <sheetViews>
    <sheetView workbookViewId="0">
      <selection activeCell="A3" sqref="A3:F11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68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65</v>
      </c>
      <c r="B4" t="s">
        <v>45</v>
      </c>
      <c r="C4">
        <v>11371</v>
      </c>
      <c r="D4">
        <v>30.2</v>
      </c>
      <c r="E4">
        <v>343404.2</v>
      </c>
      <c r="F4" t="s">
        <v>19</v>
      </c>
    </row>
    <row r="5" spans="1:6" x14ac:dyDescent="0.25">
      <c r="A5" t="s">
        <v>66</v>
      </c>
      <c r="B5" t="s">
        <v>45</v>
      </c>
      <c r="C5">
        <v>4884</v>
      </c>
      <c r="D5">
        <v>30.2</v>
      </c>
      <c r="E5">
        <v>147496.79999999999</v>
      </c>
      <c r="F5" t="s">
        <v>10</v>
      </c>
    </row>
    <row r="6" spans="1:6" x14ac:dyDescent="0.25">
      <c r="A6" t="s">
        <v>66</v>
      </c>
      <c r="B6" t="s">
        <v>45</v>
      </c>
      <c r="C6">
        <v>8963</v>
      </c>
      <c r="D6">
        <v>30.2</v>
      </c>
      <c r="E6">
        <v>270682.59999999998</v>
      </c>
      <c r="F6" t="s">
        <v>9</v>
      </c>
    </row>
    <row r="7" spans="1:6" x14ac:dyDescent="0.25">
      <c r="A7" t="s">
        <v>66</v>
      </c>
      <c r="B7" t="s">
        <v>45</v>
      </c>
      <c r="C7">
        <v>14680</v>
      </c>
      <c r="D7">
        <v>30.2</v>
      </c>
      <c r="E7">
        <v>443336</v>
      </c>
      <c r="F7" t="s">
        <v>8</v>
      </c>
    </row>
    <row r="8" spans="1:6" x14ac:dyDescent="0.25">
      <c r="A8" t="s">
        <v>66</v>
      </c>
      <c r="B8" t="s">
        <v>45</v>
      </c>
      <c r="C8">
        <v>1646</v>
      </c>
      <c r="D8">
        <v>30.2</v>
      </c>
      <c r="E8">
        <v>49709.2</v>
      </c>
      <c r="F8" t="s">
        <v>2</v>
      </c>
    </row>
    <row r="9" spans="1:6" x14ac:dyDescent="0.25">
      <c r="A9" t="s">
        <v>65</v>
      </c>
      <c r="B9" t="s">
        <v>45</v>
      </c>
      <c r="C9">
        <v>4075</v>
      </c>
      <c r="D9">
        <v>30.2</v>
      </c>
      <c r="E9">
        <v>123065</v>
      </c>
      <c r="F9" t="s">
        <v>6</v>
      </c>
    </row>
    <row r="10" spans="1:6" x14ac:dyDescent="0.25">
      <c r="A10" t="s">
        <v>61</v>
      </c>
      <c r="B10" t="s">
        <v>45</v>
      </c>
      <c r="C10">
        <v>14660</v>
      </c>
      <c r="D10">
        <v>30.2</v>
      </c>
      <c r="E10">
        <v>442732</v>
      </c>
      <c r="F10" t="s">
        <v>3</v>
      </c>
    </row>
    <row r="11" spans="1:6" x14ac:dyDescent="0.25">
      <c r="A11" t="s">
        <v>67</v>
      </c>
      <c r="B11" t="s">
        <v>45</v>
      </c>
      <c r="C11">
        <v>4898</v>
      </c>
      <c r="D11">
        <v>30.2</v>
      </c>
      <c r="E11">
        <v>147919.6</v>
      </c>
      <c r="F11" t="s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BAC6-97A5-42FC-9DD3-BEA9A3A0EBC4}">
  <dimension ref="A1:F14"/>
  <sheetViews>
    <sheetView workbookViewId="0">
      <selection activeCell="A3" sqref="A3:F1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69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>
        <v>1</v>
      </c>
      <c r="B4" t="s">
        <v>46</v>
      </c>
      <c r="C4">
        <v>20690</v>
      </c>
      <c r="D4">
        <v>30.7</v>
      </c>
      <c r="E4">
        <v>635183</v>
      </c>
      <c r="F4" t="s">
        <v>21</v>
      </c>
    </row>
    <row r="5" spans="1:6" x14ac:dyDescent="0.25">
      <c r="A5" t="s">
        <v>66</v>
      </c>
      <c r="B5" t="s">
        <v>46</v>
      </c>
      <c r="C5">
        <v>4940</v>
      </c>
      <c r="D5">
        <v>30.7</v>
      </c>
      <c r="E5">
        <v>151658</v>
      </c>
      <c r="F5" t="s">
        <v>1</v>
      </c>
    </row>
    <row r="6" spans="1:6" x14ac:dyDescent="0.25">
      <c r="A6" t="s">
        <v>66</v>
      </c>
      <c r="B6" t="s">
        <v>46</v>
      </c>
      <c r="C6">
        <v>3922</v>
      </c>
      <c r="D6">
        <v>30.7</v>
      </c>
      <c r="E6">
        <v>120405.4</v>
      </c>
      <c r="F6" t="s">
        <v>17</v>
      </c>
    </row>
    <row r="7" spans="1:6" x14ac:dyDescent="0.25">
      <c r="A7" t="s">
        <v>66</v>
      </c>
      <c r="B7" t="s">
        <v>46</v>
      </c>
      <c r="C7">
        <v>4890</v>
      </c>
      <c r="D7">
        <v>30.7</v>
      </c>
      <c r="E7">
        <v>150123</v>
      </c>
      <c r="F7" t="s">
        <v>16</v>
      </c>
    </row>
    <row r="8" spans="1:6" x14ac:dyDescent="0.25">
      <c r="A8" t="s">
        <v>66</v>
      </c>
      <c r="B8" t="s">
        <v>46</v>
      </c>
      <c r="C8">
        <v>4900</v>
      </c>
      <c r="D8">
        <v>30.7</v>
      </c>
      <c r="E8">
        <v>150430</v>
      </c>
      <c r="F8" t="s">
        <v>14</v>
      </c>
    </row>
    <row r="9" spans="1:6" x14ac:dyDescent="0.25">
      <c r="A9" t="s">
        <v>65</v>
      </c>
      <c r="B9" t="s">
        <v>46</v>
      </c>
      <c r="C9">
        <v>9754</v>
      </c>
      <c r="D9">
        <v>30.7</v>
      </c>
      <c r="E9">
        <v>299447.8</v>
      </c>
      <c r="F9" t="s">
        <v>12</v>
      </c>
    </row>
    <row r="10" spans="1:6" x14ac:dyDescent="0.25">
      <c r="A10" t="s">
        <v>61</v>
      </c>
      <c r="B10" t="s">
        <v>46</v>
      </c>
      <c r="C10">
        <v>9759</v>
      </c>
      <c r="D10">
        <v>30.7</v>
      </c>
      <c r="E10">
        <v>299601.3</v>
      </c>
      <c r="F10" t="s">
        <v>10</v>
      </c>
    </row>
    <row r="11" spans="1:6" x14ac:dyDescent="0.25">
      <c r="A11" t="s">
        <v>66</v>
      </c>
      <c r="B11" t="s">
        <v>46</v>
      </c>
      <c r="C11">
        <v>4910</v>
      </c>
      <c r="D11">
        <v>30.7</v>
      </c>
      <c r="E11">
        <v>150737</v>
      </c>
      <c r="F11" t="s">
        <v>7</v>
      </c>
    </row>
    <row r="12" spans="1:6" x14ac:dyDescent="0.25">
      <c r="A12" t="s">
        <v>61</v>
      </c>
      <c r="B12" t="s">
        <v>46</v>
      </c>
      <c r="C12">
        <v>4920</v>
      </c>
      <c r="D12">
        <v>30.7</v>
      </c>
      <c r="E12">
        <v>151044</v>
      </c>
      <c r="F12" t="s">
        <v>4</v>
      </c>
    </row>
    <row r="13" spans="1:6" x14ac:dyDescent="0.25">
      <c r="A13" t="s">
        <v>66</v>
      </c>
      <c r="B13" t="s">
        <v>46</v>
      </c>
      <c r="C13">
        <v>4900</v>
      </c>
      <c r="D13">
        <v>30.7</v>
      </c>
      <c r="E13">
        <v>150430</v>
      </c>
      <c r="F13" t="s">
        <v>6</v>
      </c>
    </row>
    <row r="14" spans="1:6" x14ac:dyDescent="0.25">
      <c r="A14" t="s">
        <v>65</v>
      </c>
      <c r="B14" t="s">
        <v>46</v>
      </c>
      <c r="C14">
        <v>4886</v>
      </c>
      <c r="D14">
        <v>30.7</v>
      </c>
      <c r="E14">
        <v>150000.19999999998</v>
      </c>
      <c r="F14" t="s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6BF0-7F7E-43F1-9AC5-73A4F95B7485}">
  <dimension ref="A1:F19"/>
  <sheetViews>
    <sheetView workbookViewId="0">
      <selection activeCell="A3" sqref="A3:F19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70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47</v>
      </c>
      <c r="C4">
        <v>14860</v>
      </c>
      <c r="D4">
        <v>30.7</v>
      </c>
      <c r="E4">
        <v>456202</v>
      </c>
      <c r="F4" t="s">
        <v>1</v>
      </c>
    </row>
    <row r="5" spans="1:6" x14ac:dyDescent="0.25">
      <c r="A5" t="s">
        <v>66</v>
      </c>
      <c r="B5" t="s">
        <v>47</v>
      </c>
      <c r="C5">
        <v>11368</v>
      </c>
      <c r="D5">
        <v>30.7</v>
      </c>
      <c r="E5">
        <v>348997.6</v>
      </c>
      <c r="F5" t="s">
        <v>19</v>
      </c>
    </row>
    <row r="6" spans="1:6" x14ac:dyDescent="0.25">
      <c r="A6" t="s">
        <v>61</v>
      </c>
      <c r="B6" t="s">
        <v>47</v>
      </c>
      <c r="C6">
        <v>4580</v>
      </c>
      <c r="D6">
        <v>30.7</v>
      </c>
      <c r="E6">
        <v>140606</v>
      </c>
      <c r="F6" t="s">
        <v>18</v>
      </c>
    </row>
    <row r="7" spans="1:6" x14ac:dyDescent="0.25">
      <c r="A7" t="s">
        <v>61</v>
      </c>
      <c r="B7" t="s">
        <v>47</v>
      </c>
      <c r="C7">
        <v>18240</v>
      </c>
      <c r="D7">
        <v>30.7</v>
      </c>
      <c r="E7">
        <v>559968</v>
      </c>
      <c r="F7" t="s">
        <v>2</v>
      </c>
    </row>
    <row r="8" spans="1:6" x14ac:dyDescent="0.25">
      <c r="A8" t="s">
        <v>61</v>
      </c>
      <c r="B8" t="s">
        <v>47</v>
      </c>
      <c r="C8">
        <v>15941</v>
      </c>
      <c r="D8">
        <v>30.7</v>
      </c>
      <c r="E8">
        <v>489388.7</v>
      </c>
      <c r="F8" t="s">
        <v>17</v>
      </c>
    </row>
    <row r="9" spans="1:6" x14ac:dyDescent="0.25">
      <c r="A9" t="s">
        <v>61</v>
      </c>
      <c r="B9" t="s">
        <v>47</v>
      </c>
      <c r="C9">
        <v>4545</v>
      </c>
      <c r="D9">
        <v>30.7</v>
      </c>
      <c r="E9">
        <v>139531.5</v>
      </c>
      <c r="F9" t="s">
        <v>16</v>
      </c>
    </row>
    <row r="10" spans="1:6" x14ac:dyDescent="0.25">
      <c r="A10" t="s">
        <v>61</v>
      </c>
      <c r="B10" t="s">
        <v>47</v>
      </c>
      <c r="C10">
        <v>6870</v>
      </c>
      <c r="D10">
        <v>30.7</v>
      </c>
      <c r="E10">
        <v>210909</v>
      </c>
      <c r="F10" t="s">
        <v>15</v>
      </c>
    </row>
    <row r="11" spans="1:6" x14ac:dyDescent="0.25">
      <c r="A11" t="s">
        <v>61</v>
      </c>
      <c r="B11" t="s">
        <v>47</v>
      </c>
      <c r="C11">
        <v>10203</v>
      </c>
      <c r="D11">
        <v>30.7</v>
      </c>
      <c r="E11">
        <v>313232.09999999998</v>
      </c>
      <c r="F11" t="s">
        <v>14</v>
      </c>
    </row>
    <row r="12" spans="1:6" x14ac:dyDescent="0.25">
      <c r="A12" t="s">
        <v>66</v>
      </c>
      <c r="B12" t="s">
        <v>47</v>
      </c>
      <c r="C12">
        <v>10240</v>
      </c>
      <c r="D12">
        <v>30.7</v>
      </c>
      <c r="E12">
        <v>314368</v>
      </c>
      <c r="F12" t="s">
        <v>13</v>
      </c>
    </row>
    <row r="13" spans="1:6" x14ac:dyDescent="0.25">
      <c r="A13" t="s">
        <v>66</v>
      </c>
      <c r="B13" t="s">
        <v>47</v>
      </c>
      <c r="C13">
        <v>10187</v>
      </c>
      <c r="D13">
        <v>30.7</v>
      </c>
      <c r="E13">
        <v>312740.89999999997</v>
      </c>
      <c r="F13" t="s">
        <v>12</v>
      </c>
    </row>
    <row r="14" spans="1:6" x14ac:dyDescent="0.25">
      <c r="A14" t="s">
        <v>61</v>
      </c>
      <c r="B14" t="s">
        <v>47</v>
      </c>
      <c r="C14">
        <v>4545</v>
      </c>
      <c r="D14">
        <v>30.7</v>
      </c>
      <c r="E14">
        <v>139531.5</v>
      </c>
      <c r="F14" t="s">
        <v>11</v>
      </c>
    </row>
    <row r="15" spans="1:6" x14ac:dyDescent="0.25">
      <c r="A15" t="s">
        <v>61</v>
      </c>
      <c r="B15" t="s">
        <v>47</v>
      </c>
      <c r="C15">
        <v>5677</v>
      </c>
      <c r="D15">
        <v>30.7</v>
      </c>
      <c r="E15">
        <v>174283.9</v>
      </c>
      <c r="F15" t="s">
        <v>9</v>
      </c>
    </row>
    <row r="16" spans="1:6" x14ac:dyDescent="0.25">
      <c r="A16" t="s">
        <v>66</v>
      </c>
      <c r="B16" t="s">
        <v>47</v>
      </c>
      <c r="C16">
        <v>10231</v>
      </c>
      <c r="D16">
        <v>30.7</v>
      </c>
      <c r="E16">
        <v>314091.7</v>
      </c>
      <c r="F16" t="s">
        <v>5</v>
      </c>
    </row>
    <row r="17" spans="1:6" x14ac:dyDescent="0.25">
      <c r="A17" t="s">
        <v>61</v>
      </c>
      <c r="B17" t="s">
        <v>47</v>
      </c>
      <c r="C17">
        <v>5687</v>
      </c>
      <c r="D17">
        <v>30.7</v>
      </c>
      <c r="E17">
        <v>174590.9</v>
      </c>
      <c r="F17" t="s">
        <v>8</v>
      </c>
    </row>
    <row r="18" spans="1:6" x14ac:dyDescent="0.25">
      <c r="A18" t="s">
        <v>61</v>
      </c>
      <c r="B18" t="s">
        <v>47</v>
      </c>
      <c r="C18">
        <v>10238</v>
      </c>
      <c r="D18">
        <v>30.7</v>
      </c>
      <c r="E18">
        <v>314306.59999999998</v>
      </c>
      <c r="F18" t="s">
        <v>7</v>
      </c>
    </row>
    <row r="19" spans="1:6" x14ac:dyDescent="0.25">
      <c r="A19" t="s">
        <v>61</v>
      </c>
      <c r="B19" t="s">
        <v>47</v>
      </c>
      <c r="C19">
        <v>11352</v>
      </c>
      <c r="D19">
        <v>30.7</v>
      </c>
      <c r="E19">
        <v>348506.39999999997</v>
      </c>
      <c r="F19" t="s">
        <v>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EC1C-BB51-4F83-8FF5-70EEDDC4AF14}">
  <dimension ref="A1:F10"/>
  <sheetViews>
    <sheetView workbookViewId="0">
      <selection activeCell="A3" sqref="A3:F10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71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67</v>
      </c>
      <c r="B4" t="s">
        <v>48</v>
      </c>
      <c r="C4">
        <v>4790</v>
      </c>
      <c r="D4">
        <v>30.2</v>
      </c>
      <c r="E4">
        <v>144658</v>
      </c>
      <c r="F4" t="s">
        <v>20</v>
      </c>
    </row>
    <row r="5" spans="1:6" x14ac:dyDescent="0.25">
      <c r="A5" t="s">
        <v>67</v>
      </c>
      <c r="B5" t="s">
        <v>48</v>
      </c>
      <c r="C5">
        <v>9570</v>
      </c>
      <c r="D5">
        <v>30.2</v>
      </c>
      <c r="E5">
        <v>289014</v>
      </c>
      <c r="F5" t="s">
        <v>15</v>
      </c>
    </row>
    <row r="6" spans="1:6" x14ac:dyDescent="0.25">
      <c r="A6" t="s">
        <v>67</v>
      </c>
      <c r="B6" t="s">
        <v>48</v>
      </c>
      <c r="C6">
        <v>4764</v>
      </c>
      <c r="D6">
        <v>30.2</v>
      </c>
      <c r="E6">
        <v>143872.79999999999</v>
      </c>
      <c r="F6" t="s">
        <v>14</v>
      </c>
    </row>
    <row r="7" spans="1:6" x14ac:dyDescent="0.25">
      <c r="A7" t="s">
        <v>67</v>
      </c>
      <c r="B7" t="s">
        <v>48</v>
      </c>
      <c r="C7">
        <v>4773</v>
      </c>
      <c r="D7">
        <v>30.2</v>
      </c>
      <c r="E7">
        <v>144144.6</v>
      </c>
      <c r="F7" t="s">
        <v>11</v>
      </c>
    </row>
    <row r="8" spans="1:6" x14ac:dyDescent="0.25">
      <c r="A8" t="s">
        <v>65</v>
      </c>
      <c r="B8" t="s">
        <v>48</v>
      </c>
      <c r="C8">
        <v>4763</v>
      </c>
      <c r="D8">
        <v>30.2</v>
      </c>
      <c r="E8">
        <v>143842.6</v>
      </c>
      <c r="F8" t="s">
        <v>8</v>
      </c>
    </row>
    <row r="9" spans="1:6" x14ac:dyDescent="0.25">
      <c r="A9" t="s">
        <v>67</v>
      </c>
      <c r="B9" t="s">
        <v>48</v>
      </c>
      <c r="C9">
        <v>4773</v>
      </c>
      <c r="D9">
        <v>30.2</v>
      </c>
      <c r="E9">
        <v>144144.6</v>
      </c>
      <c r="F9" t="s">
        <v>7</v>
      </c>
    </row>
    <row r="10" spans="1:6" x14ac:dyDescent="0.25">
      <c r="A10" t="s">
        <v>67</v>
      </c>
      <c r="B10" t="s">
        <v>48</v>
      </c>
      <c r="C10">
        <v>4753</v>
      </c>
      <c r="D10">
        <v>30.2</v>
      </c>
      <c r="E10">
        <v>143540.6</v>
      </c>
      <c r="F10" t="s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E337-EB60-4152-ADD6-8954ABECF735}">
  <dimension ref="A1:F12"/>
  <sheetViews>
    <sheetView workbookViewId="0">
      <selection activeCell="A3" sqref="A3:F12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72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65</v>
      </c>
      <c r="B4" t="s">
        <v>49</v>
      </c>
      <c r="C4">
        <v>5320</v>
      </c>
      <c r="D4">
        <v>30.2</v>
      </c>
      <c r="E4">
        <v>160664</v>
      </c>
      <c r="F4" t="s">
        <v>20</v>
      </c>
    </row>
    <row r="5" spans="1:6" x14ac:dyDescent="0.25">
      <c r="A5" t="s">
        <v>65</v>
      </c>
      <c r="B5" t="s">
        <v>49</v>
      </c>
      <c r="C5">
        <v>5330</v>
      </c>
      <c r="D5">
        <v>30.2</v>
      </c>
      <c r="E5">
        <v>160966</v>
      </c>
      <c r="F5" t="s">
        <v>18</v>
      </c>
    </row>
    <row r="6" spans="1:6" x14ac:dyDescent="0.25">
      <c r="A6" t="s">
        <v>65</v>
      </c>
      <c r="B6" t="s">
        <v>49</v>
      </c>
      <c r="C6">
        <v>5312</v>
      </c>
      <c r="D6">
        <v>30.2</v>
      </c>
      <c r="E6">
        <v>160422.39999999999</v>
      </c>
      <c r="F6" t="s">
        <v>17</v>
      </c>
    </row>
    <row r="7" spans="1:6" x14ac:dyDescent="0.25">
      <c r="A7" t="s">
        <v>67</v>
      </c>
      <c r="B7" t="s">
        <v>49</v>
      </c>
      <c r="C7">
        <v>5292</v>
      </c>
      <c r="D7">
        <v>30.2</v>
      </c>
      <c r="E7">
        <v>159818.4</v>
      </c>
      <c r="F7" t="s">
        <v>16</v>
      </c>
    </row>
    <row r="8" spans="1:6" x14ac:dyDescent="0.25">
      <c r="A8" t="s">
        <v>65</v>
      </c>
      <c r="B8" t="s">
        <v>49</v>
      </c>
      <c r="C8">
        <v>5320</v>
      </c>
      <c r="D8">
        <v>30.2</v>
      </c>
      <c r="E8">
        <v>160664</v>
      </c>
      <c r="F8" t="s">
        <v>15</v>
      </c>
    </row>
    <row r="9" spans="1:6" x14ac:dyDescent="0.25">
      <c r="A9" t="s">
        <v>65</v>
      </c>
      <c r="B9" t="s">
        <v>49</v>
      </c>
      <c r="C9">
        <v>5294</v>
      </c>
      <c r="D9">
        <v>30.2</v>
      </c>
      <c r="E9">
        <v>159878.79999999999</v>
      </c>
      <c r="F9" t="s">
        <v>2</v>
      </c>
    </row>
    <row r="10" spans="1:6" x14ac:dyDescent="0.25">
      <c r="A10" t="s">
        <v>67</v>
      </c>
      <c r="B10" t="s">
        <v>49</v>
      </c>
      <c r="C10">
        <v>4540</v>
      </c>
      <c r="D10">
        <v>30.2</v>
      </c>
      <c r="E10">
        <v>137108</v>
      </c>
      <c r="F10" t="s">
        <v>13</v>
      </c>
    </row>
    <row r="11" spans="1:6" x14ac:dyDescent="0.25">
      <c r="A11" t="s">
        <v>67</v>
      </c>
      <c r="B11" t="s">
        <v>49</v>
      </c>
      <c r="C11">
        <v>5281</v>
      </c>
      <c r="D11">
        <v>30.2</v>
      </c>
      <c r="E11">
        <v>159486.19999999998</v>
      </c>
      <c r="F11" t="s">
        <v>9</v>
      </c>
    </row>
    <row r="12" spans="1:6" x14ac:dyDescent="0.25">
      <c r="A12" t="s">
        <v>65</v>
      </c>
      <c r="B12" t="s">
        <v>49</v>
      </c>
      <c r="C12">
        <v>9840</v>
      </c>
      <c r="D12">
        <v>30.2</v>
      </c>
      <c r="E12">
        <v>297168</v>
      </c>
      <c r="F12" t="s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9864-78B1-41F2-9DAE-B8EC8C82B510}">
  <dimension ref="A1:F8"/>
  <sheetViews>
    <sheetView workbookViewId="0">
      <selection activeCell="A3" sqref="A3:F8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73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66</v>
      </c>
      <c r="B4" t="s">
        <v>50</v>
      </c>
      <c r="C4">
        <v>9870</v>
      </c>
      <c r="D4">
        <v>30.2</v>
      </c>
      <c r="E4">
        <v>298074</v>
      </c>
      <c r="F4" t="s">
        <v>20</v>
      </c>
    </row>
    <row r="5" spans="1:6" x14ac:dyDescent="0.25">
      <c r="A5" t="s">
        <v>66</v>
      </c>
      <c r="B5" t="s">
        <v>50</v>
      </c>
      <c r="C5">
        <v>15310</v>
      </c>
      <c r="D5">
        <v>30.2</v>
      </c>
      <c r="E5">
        <v>462362</v>
      </c>
      <c r="F5" t="s">
        <v>18</v>
      </c>
    </row>
    <row r="6" spans="1:6" x14ac:dyDescent="0.25">
      <c r="A6" t="s">
        <v>65</v>
      </c>
      <c r="B6" t="s">
        <v>50</v>
      </c>
      <c r="C6">
        <v>5430</v>
      </c>
      <c r="D6">
        <v>30.2</v>
      </c>
      <c r="E6">
        <v>163986</v>
      </c>
      <c r="F6" t="s">
        <v>1</v>
      </c>
    </row>
    <row r="7" spans="1:6" x14ac:dyDescent="0.25">
      <c r="A7" t="s">
        <v>66</v>
      </c>
      <c r="B7" t="s">
        <v>50</v>
      </c>
      <c r="C7">
        <v>3460</v>
      </c>
      <c r="D7">
        <v>30.2</v>
      </c>
      <c r="E7">
        <v>104492</v>
      </c>
      <c r="F7" t="s">
        <v>15</v>
      </c>
    </row>
    <row r="8" spans="1:6" x14ac:dyDescent="0.25">
      <c r="A8" t="s">
        <v>65</v>
      </c>
      <c r="B8" t="s">
        <v>50</v>
      </c>
      <c r="C8">
        <v>5419</v>
      </c>
      <c r="D8">
        <v>30.2</v>
      </c>
      <c r="E8">
        <v>163653.79999999999</v>
      </c>
      <c r="F8" t="s">
        <v>11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59F64-3B53-4C47-8A4C-BE627F035B5C}">
  <dimension ref="A1:F13"/>
  <sheetViews>
    <sheetView workbookViewId="0">
      <selection activeCell="A3" sqref="A3:F13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74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51</v>
      </c>
      <c r="C4">
        <v>5240</v>
      </c>
      <c r="D4">
        <v>30.2</v>
      </c>
      <c r="E4">
        <v>158248</v>
      </c>
      <c r="F4" t="s">
        <v>20</v>
      </c>
    </row>
    <row r="5" spans="1:6" x14ac:dyDescent="0.25">
      <c r="A5" t="s">
        <v>65</v>
      </c>
      <c r="B5" t="s">
        <v>51</v>
      </c>
      <c r="C5">
        <v>10448</v>
      </c>
      <c r="D5">
        <v>30.2</v>
      </c>
      <c r="E5">
        <v>315529.59999999998</v>
      </c>
      <c r="F5" t="s">
        <v>16</v>
      </c>
    </row>
    <row r="6" spans="1:6" x14ac:dyDescent="0.25">
      <c r="A6" t="s">
        <v>65</v>
      </c>
      <c r="B6" t="s">
        <v>51</v>
      </c>
      <c r="C6">
        <v>5208</v>
      </c>
      <c r="D6">
        <v>30.2</v>
      </c>
      <c r="E6">
        <v>157281.60000000001</v>
      </c>
      <c r="F6" t="s">
        <v>14</v>
      </c>
    </row>
    <row r="7" spans="1:6" x14ac:dyDescent="0.25">
      <c r="A7" t="s">
        <v>65</v>
      </c>
      <c r="B7" t="s">
        <v>51</v>
      </c>
      <c r="C7">
        <v>5215</v>
      </c>
      <c r="D7">
        <v>30.2</v>
      </c>
      <c r="E7">
        <v>157493</v>
      </c>
      <c r="F7" t="s">
        <v>13</v>
      </c>
    </row>
    <row r="8" spans="1:6" x14ac:dyDescent="0.25">
      <c r="A8" t="s">
        <v>66</v>
      </c>
      <c r="B8" t="s">
        <v>51</v>
      </c>
      <c r="C8">
        <v>10438</v>
      </c>
      <c r="D8">
        <v>30.2</v>
      </c>
      <c r="E8">
        <v>315227.59999999998</v>
      </c>
      <c r="F8" t="s">
        <v>11</v>
      </c>
    </row>
    <row r="9" spans="1:6" x14ac:dyDescent="0.25">
      <c r="A9" t="s">
        <v>65</v>
      </c>
      <c r="B9" t="s">
        <v>51</v>
      </c>
      <c r="C9">
        <v>10407</v>
      </c>
      <c r="D9">
        <v>30.2</v>
      </c>
      <c r="E9">
        <v>314291.39999999997</v>
      </c>
      <c r="F9" t="s">
        <v>10</v>
      </c>
    </row>
    <row r="10" spans="1:6" x14ac:dyDescent="0.25">
      <c r="A10" t="s">
        <v>65</v>
      </c>
      <c r="B10" t="s">
        <v>51</v>
      </c>
      <c r="C10">
        <v>5209</v>
      </c>
      <c r="D10">
        <v>30.2</v>
      </c>
      <c r="E10">
        <v>157311.79999999999</v>
      </c>
      <c r="F10" t="s">
        <v>9</v>
      </c>
    </row>
    <row r="11" spans="1:6" x14ac:dyDescent="0.25">
      <c r="A11" t="s">
        <v>66</v>
      </c>
      <c r="B11" t="s">
        <v>51</v>
      </c>
      <c r="C11">
        <v>10420</v>
      </c>
      <c r="D11">
        <v>30.2</v>
      </c>
      <c r="E11">
        <v>314684</v>
      </c>
      <c r="F11" t="s">
        <v>3</v>
      </c>
    </row>
    <row r="12" spans="1:6" x14ac:dyDescent="0.25">
      <c r="A12" t="s">
        <v>65</v>
      </c>
      <c r="B12" t="s">
        <v>51</v>
      </c>
      <c r="C12">
        <v>5209</v>
      </c>
      <c r="D12">
        <v>30.2</v>
      </c>
      <c r="E12">
        <v>157311.79999999999</v>
      </c>
      <c r="F12" t="s">
        <v>7</v>
      </c>
    </row>
    <row r="13" spans="1:6" x14ac:dyDescent="0.25">
      <c r="A13" t="s">
        <v>66</v>
      </c>
      <c r="B13" t="s">
        <v>51</v>
      </c>
      <c r="C13">
        <v>10470</v>
      </c>
      <c r="D13">
        <v>30.2</v>
      </c>
      <c r="E13">
        <v>316194</v>
      </c>
      <c r="F13" t="s">
        <v>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9CBB-28C1-48DD-8B8E-A3660C39609A}">
  <dimension ref="A1:F4"/>
  <sheetViews>
    <sheetView workbookViewId="0">
      <selection activeCell="A3" sqref="A3:F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75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41</v>
      </c>
      <c r="C4">
        <v>2261</v>
      </c>
      <c r="D4">
        <v>30.2</v>
      </c>
      <c r="E4">
        <v>68282.2</v>
      </c>
      <c r="F4" t="s">
        <v>19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F6D5-7284-4A48-8897-47C7485FA561}">
  <dimension ref="A1:F4"/>
  <sheetViews>
    <sheetView workbookViewId="0">
      <selection activeCell="A3" sqref="A3:F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76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43</v>
      </c>
      <c r="C4">
        <v>5145</v>
      </c>
      <c r="D4">
        <v>30.2</v>
      </c>
      <c r="E4">
        <v>155379</v>
      </c>
      <c r="F4" t="s">
        <v>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A1F3-FBEE-4289-9726-5FADBEA8599D}">
  <dimension ref="A1:F5"/>
  <sheetViews>
    <sheetView workbookViewId="0">
      <selection activeCell="A3" sqref="A3:F5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77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44</v>
      </c>
      <c r="C4">
        <v>5105</v>
      </c>
      <c r="D4">
        <v>30.2</v>
      </c>
      <c r="E4">
        <v>154171</v>
      </c>
      <c r="F4" t="s">
        <v>13</v>
      </c>
    </row>
    <row r="5" spans="1:6" x14ac:dyDescent="0.25">
      <c r="A5" t="s">
        <v>61</v>
      </c>
      <c r="B5" t="s">
        <v>44</v>
      </c>
      <c r="C5">
        <v>5079</v>
      </c>
      <c r="D5">
        <v>30.2</v>
      </c>
      <c r="E5">
        <v>153385.79999999999</v>
      </c>
      <c r="F5" t="s">
        <v>12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BEBE-3842-463A-9485-CF106B5D9805}">
  <dimension ref="A1:F11"/>
  <sheetViews>
    <sheetView workbookViewId="0">
      <selection activeCell="A3" sqref="A3:F11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78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65</v>
      </c>
      <c r="B4" t="s">
        <v>45</v>
      </c>
      <c r="C4">
        <v>11371</v>
      </c>
      <c r="D4">
        <v>30.2</v>
      </c>
      <c r="E4">
        <v>343404.2</v>
      </c>
      <c r="F4" t="s">
        <v>19</v>
      </c>
    </row>
    <row r="5" spans="1:6" x14ac:dyDescent="0.25">
      <c r="A5" t="s">
        <v>66</v>
      </c>
      <c r="B5" t="s">
        <v>45</v>
      </c>
      <c r="C5">
        <v>4884</v>
      </c>
      <c r="D5">
        <v>30.2</v>
      </c>
      <c r="E5">
        <v>147496.79999999999</v>
      </c>
      <c r="F5" t="s">
        <v>10</v>
      </c>
    </row>
    <row r="6" spans="1:6" x14ac:dyDescent="0.25">
      <c r="A6" t="s">
        <v>66</v>
      </c>
      <c r="B6" t="s">
        <v>45</v>
      </c>
      <c r="C6">
        <v>8963</v>
      </c>
      <c r="D6">
        <v>30.2</v>
      </c>
      <c r="E6">
        <v>270682.59999999998</v>
      </c>
      <c r="F6" t="s">
        <v>9</v>
      </c>
    </row>
    <row r="7" spans="1:6" x14ac:dyDescent="0.25">
      <c r="A7" t="s">
        <v>66</v>
      </c>
      <c r="B7" t="s">
        <v>45</v>
      </c>
      <c r="C7">
        <v>14680</v>
      </c>
      <c r="D7">
        <v>30.2</v>
      </c>
      <c r="E7">
        <v>443336</v>
      </c>
      <c r="F7" t="s">
        <v>8</v>
      </c>
    </row>
    <row r="8" spans="1:6" x14ac:dyDescent="0.25">
      <c r="A8" t="s">
        <v>66</v>
      </c>
      <c r="B8" t="s">
        <v>45</v>
      </c>
      <c r="C8">
        <v>1646</v>
      </c>
      <c r="D8">
        <v>30.2</v>
      </c>
      <c r="E8">
        <v>49709.2</v>
      </c>
      <c r="F8" t="s">
        <v>2</v>
      </c>
    </row>
    <row r="9" spans="1:6" x14ac:dyDescent="0.25">
      <c r="A9" t="s">
        <v>65</v>
      </c>
      <c r="B9" t="s">
        <v>45</v>
      </c>
      <c r="C9">
        <v>4075</v>
      </c>
      <c r="D9">
        <v>30.2</v>
      </c>
      <c r="E9">
        <v>123065</v>
      </c>
      <c r="F9" t="s">
        <v>6</v>
      </c>
    </row>
    <row r="10" spans="1:6" x14ac:dyDescent="0.25">
      <c r="A10" t="s">
        <v>61</v>
      </c>
      <c r="B10" t="s">
        <v>45</v>
      </c>
      <c r="C10">
        <v>14660</v>
      </c>
      <c r="D10">
        <v>30.2</v>
      </c>
      <c r="E10">
        <v>442732</v>
      </c>
      <c r="F10" t="s">
        <v>3</v>
      </c>
    </row>
    <row r="11" spans="1:6" x14ac:dyDescent="0.25">
      <c r="A11" t="s">
        <v>67</v>
      </c>
      <c r="B11" t="s">
        <v>45</v>
      </c>
      <c r="C11">
        <v>4898</v>
      </c>
      <c r="D11">
        <v>30.2</v>
      </c>
      <c r="E11">
        <v>147919.6</v>
      </c>
      <c r="F11" t="s">
        <v>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71B7-5D8E-4068-989C-60D998160D01}">
  <dimension ref="A1:F14"/>
  <sheetViews>
    <sheetView workbookViewId="0">
      <selection activeCell="A3" sqref="A3:F1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79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>
        <v>1</v>
      </c>
      <c r="B4" t="s">
        <v>46</v>
      </c>
      <c r="C4">
        <v>20690</v>
      </c>
      <c r="D4">
        <v>30.7</v>
      </c>
      <c r="E4">
        <v>635183</v>
      </c>
      <c r="F4" t="s">
        <v>21</v>
      </c>
    </row>
    <row r="5" spans="1:6" x14ac:dyDescent="0.25">
      <c r="A5" t="s">
        <v>66</v>
      </c>
      <c r="B5" t="s">
        <v>46</v>
      </c>
      <c r="C5">
        <v>4940</v>
      </c>
      <c r="D5">
        <v>30.7</v>
      </c>
      <c r="E5">
        <v>151658</v>
      </c>
      <c r="F5" t="s">
        <v>1</v>
      </c>
    </row>
    <row r="6" spans="1:6" x14ac:dyDescent="0.25">
      <c r="A6" t="s">
        <v>66</v>
      </c>
      <c r="B6" t="s">
        <v>46</v>
      </c>
      <c r="C6">
        <v>3922</v>
      </c>
      <c r="D6">
        <v>30.7</v>
      </c>
      <c r="E6">
        <v>120405.4</v>
      </c>
      <c r="F6" t="s">
        <v>17</v>
      </c>
    </row>
    <row r="7" spans="1:6" x14ac:dyDescent="0.25">
      <c r="A7" t="s">
        <v>66</v>
      </c>
      <c r="B7" t="s">
        <v>46</v>
      </c>
      <c r="C7">
        <v>4890</v>
      </c>
      <c r="D7">
        <v>30.7</v>
      </c>
      <c r="E7">
        <v>150123</v>
      </c>
      <c r="F7" t="s">
        <v>16</v>
      </c>
    </row>
    <row r="8" spans="1:6" x14ac:dyDescent="0.25">
      <c r="A8" t="s">
        <v>66</v>
      </c>
      <c r="B8" t="s">
        <v>46</v>
      </c>
      <c r="C8">
        <v>4900</v>
      </c>
      <c r="D8">
        <v>30.7</v>
      </c>
      <c r="E8">
        <v>150430</v>
      </c>
      <c r="F8" t="s">
        <v>14</v>
      </c>
    </row>
    <row r="9" spans="1:6" x14ac:dyDescent="0.25">
      <c r="A9" t="s">
        <v>65</v>
      </c>
      <c r="B9" t="s">
        <v>46</v>
      </c>
      <c r="C9">
        <v>9754</v>
      </c>
      <c r="D9">
        <v>30.7</v>
      </c>
      <c r="E9">
        <v>299447.8</v>
      </c>
      <c r="F9" t="s">
        <v>12</v>
      </c>
    </row>
    <row r="10" spans="1:6" x14ac:dyDescent="0.25">
      <c r="A10" t="s">
        <v>61</v>
      </c>
      <c r="B10" t="s">
        <v>46</v>
      </c>
      <c r="C10">
        <v>9759</v>
      </c>
      <c r="D10">
        <v>30.7</v>
      </c>
      <c r="E10">
        <v>299601.3</v>
      </c>
      <c r="F10" t="s">
        <v>10</v>
      </c>
    </row>
    <row r="11" spans="1:6" x14ac:dyDescent="0.25">
      <c r="A11" t="s">
        <v>66</v>
      </c>
      <c r="B11" t="s">
        <v>46</v>
      </c>
      <c r="C11">
        <v>4910</v>
      </c>
      <c r="D11">
        <v>30.7</v>
      </c>
      <c r="E11">
        <v>150737</v>
      </c>
      <c r="F11" t="s">
        <v>7</v>
      </c>
    </row>
    <row r="12" spans="1:6" x14ac:dyDescent="0.25">
      <c r="A12" t="s">
        <v>61</v>
      </c>
      <c r="B12" t="s">
        <v>46</v>
      </c>
      <c r="C12">
        <v>4920</v>
      </c>
      <c r="D12">
        <v>30.7</v>
      </c>
      <c r="E12">
        <v>151044</v>
      </c>
      <c r="F12" t="s">
        <v>4</v>
      </c>
    </row>
    <row r="13" spans="1:6" x14ac:dyDescent="0.25">
      <c r="A13" t="s">
        <v>66</v>
      </c>
      <c r="B13" t="s">
        <v>46</v>
      </c>
      <c r="C13">
        <v>4900</v>
      </c>
      <c r="D13">
        <v>30.7</v>
      </c>
      <c r="E13">
        <v>150430</v>
      </c>
      <c r="F13" t="s">
        <v>6</v>
      </c>
    </row>
    <row r="14" spans="1:6" x14ac:dyDescent="0.25">
      <c r="A14" t="s">
        <v>65</v>
      </c>
      <c r="B14" t="s">
        <v>46</v>
      </c>
      <c r="C14">
        <v>4886</v>
      </c>
      <c r="D14">
        <v>30.7</v>
      </c>
      <c r="E14">
        <v>150000.19999999998</v>
      </c>
      <c r="F14" t="s">
        <v>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BEE9-9BDF-4DFA-81DB-0F82A0AAC7E5}">
  <dimension ref="A1:F19"/>
  <sheetViews>
    <sheetView workbookViewId="0">
      <selection activeCell="A3" sqref="A3:F19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80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47</v>
      </c>
      <c r="C4">
        <v>14860</v>
      </c>
      <c r="D4">
        <v>30.7</v>
      </c>
      <c r="E4">
        <v>456202</v>
      </c>
      <c r="F4" t="s">
        <v>1</v>
      </c>
    </row>
    <row r="5" spans="1:6" x14ac:dyDescent="0.25">
      <c r="A5" t="s">
        <v>66</v>
      </c>
      <c r="B5" t="s">
        <v>47</v>
      </c>
      <c r="C5">
        <v>11368</v>
      </c>
      <c r="D5">
        <v>30.7</v>
      </c>
      <c r="E5">
        <v>348997.6</v>
      </c>
      <c r="F5" t="s">
        <v>19</v>
      </c>
    </row>
    <row r="6" spans="1:6" x14ac:dyDescent="0.25">
      <c r="A6" t="s">
        <v>61</v>
      </c>
      <c r="B6" t="s">
        <v>47</v>
      </c>
      <c r="C6">
        <v>4580</v>
      </c>
      <c r="D6">
        <v>30.7</v>
      </c>
      <c r="E6">
        <v>140606</v>
      </c>
      <c r="F6" t="s">
        <v>18</v>
      </c>
    </row>
    <row r="7" spans="1:6" x14ac:dyDescent="0.25">
      <c r="A7" t="s">
        <v>61</v>
      </c>
      <c r="B7" t="s">
        <v>47</v>
      </c>
      <c r="C7">
        <v>18240</v>
      </c>
      <c r="D7">
        <v>30.7</v>
      </c>
      <c r="E7">
        <v>559968</v>
      </c>
      <c r="F7" t="s">
        <v>2</v>
      </c>
    </row>
    <row r="8" spans="1:6" x14ac:dyDescent="0.25">
      <c r="A8" t="s">
        <v>61</v>
      </c>
      <c r="B8" t="s">
        <v>47</v>
      </c>
      <c r="C8">
        <v>15941</v>
      </c>
      <c r="D8">
        <v>30.7</v>
      </c>
      <c r="E8">
        <v>489388.7</v>
      </c>
      <c r="F8" t="s">
        <v>17</v>
      </c>
    </row>
    <row r="9" spans="1:6" x14ac:dyDescent="0.25">
      <c r="A9" t="s">
        <v>61</v>
      </c>
      <c r="B9" t="s">
        <v>47</v>
      </c>
      <c r="C9">
        <v>4545</v>
      </c>
      <c r="D9">
        <v>30.7</v>
      </c>
      <c r="E9">
        <v>139531.5</v>
      </c>
      <c r="F9" t="s">
        <v>16</v>
      </c>
    </row>
    <row r="10" spans="1:6" x14ac:dyDescent="0.25">
      <c r="A10" t="s">
        <v>61</v>
      </c>
      <c r="B10" t="s">
        <v>47</v>
      </c>
      <c r="C10">
        <v>6870</v>
      </c>
      <c r="D10">
        <v>30.7</v>
      </c>
      <c r="E10">
        <v>210909</v>
      </c>
      <c r="F10" t="s">
        <v>15</v>
      </c>
    </row>
    <row r="11" spans="1:6" x14ac:dyDescent="0.25">
      <c r="A11" t="s">
        <v>61</v>
      </c>
      <c r="B11" t="s">
        <v>47</v>
      </c>
      <c r="C11">
        <v>10203</v>
      </c>
      <c r="D11">
        <v>30.7</v>
      </c>
      <c r="E11">
        <v>313232.09999999998</v>
      </c>
      <c r="F11" t="s">
        <v>14</v>
      </c>
    </row>
    <row r="12" spans="1:6" x14ac:dyDescent="0.25">
      <c r="A12" t="s">
        <v>66</v>
      </c>
      <c r="B12" t="s">
        <v>47</v>
      </c>
      <c r="C12">
        <v>10240</v>
      </c>
      <c r="D12">
        <v>30.7</v>
      </c>
      <c r="E12">
        <v>314368</v>
      </c>
      <c r="F12" t="s">
        <v>13</v>
      </c>
    </row>
    <row r="13" spans="1:6" x14ac:dyDescent="0.25">
      <c r="A13" t="s">
        <v>66</v>
      </c>
      <c r="B13" t="s">
        <v>47</v>
      </c>
      <c r="C13">
        <v>10187</v>
      </c>
      <c r="D13">
        <v>30.7</v>
      </c>
      <c r="E13">
        <v>312740.89999999997</v>
      </c>
      <c r="F13" t="s">
        <v>12</v>
      </c>
    </row>
    <row r="14" spans="1:6" x14ac:dyDescent="0.25">
      <c r="A14" t="s">
        <v>61</v>
      </c>
      <c r="B14" t="s">
        <v>47</v>
      </c>
      <c r="C14">
        <v>4545</v>
      </c>
      <c r="D14">
        <v>30.7</v>
      </c>
      <c r="E14">
        <v>139531.5</v>
      </c>
      <c r="F14" t="s">
        <v>11</v>
      </c>
    </row>
    <row r="15" spans="1:6" x14ac:dyDescent="0.25">
      <c r="A15" t="s">
        <v>61</v>
      </c>
      <c r="B15" t="s">
        <v>47</v>
      </c>
      <c r="C15">
        <v>5677</v>
      </c>
      <c r="D15">
        <v>30.7</v>
      </c>
      <c r="E15">
        <v>174283.9</v>
      </c>
      <c r="F15" t="s">
        <v>9</v>
      </c>
    </row>
    <row r="16" spans="1:6" x14ac:dyDescent="0.25">
      <c r="A16" t="s">
        <v>66</v>
      </c>
      <c r="B16" t="s">
        <v>47</v>
      </c>
      <c r="C16">
        <v>10231</v>
      </c>
      <c r="D16">
        <v>30.7</v>
      </c>
      <c r="E16">
        <v>314091.7</v>
      </c>
      <c r="F16" t="s">
        <v>5</v>
      </c>
    </row>
    <row r="17" spans="1:6" x14ac:dyDescent="0.25">
      <c r="A17" t="s">
        <v>61</v>
      </c>
      <c r="B17" t="s">
        <v>47</v>
      </c>
      <c r="C17">
        <v>5687</v>
      </c>
      <c r="D17">
        <v>30.7</v>
      </c>
      <c r="E17">
        <v>174590.9</v>
      </c>
      <c r="F17" t="s">
        <v>8</v>
      </c>
    </row>
    <row r="18" spans="1:6" x14ac:dyDescent="0.25">
      <c r="A18" t="s">
        <v>61</v>
      </c>
      <c r="B18" t="s">
        <v>47</v>
      </c>
      <c r="C18">
        <v>10238</v>
      </c>
      <c r="D18">
        <v>30.7</v>
      </c>
      <c r="E18">
        <v>314306.59999999998</v>
      </c>
      <c r="F18" t="s">
        <v>7</v>
      </c>
    </row>
    <row r="19" spans="1:6" x14ac:dyDescent="0.25">
      <c r="A19" t="s">
        <v>61</v>
      </c>
      <c r="B19" t="s">
        <v>47</v>
      </c>
      <c r="C19">
        <v>11352</v>
      </c>
      <c r="D19">
        <v>30.7</v>
      </c>
      <c r="E19">
        <v>348506.39999999997</v>
      </c>
      <c r="F19" t="s">
        <v>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93E0-9922-44E0-8481-D5BA883A4BA7}">
  <dimension ref="A1:F10"/>
  <sheetViews>
    <sheetView workbookViewId="0">
      <selection activeCell="A3" sqref="A3:F10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81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67</v>
      </c>
      <c r="B4" t="s">
        <v>48</v>
      </c>
      <c r="C4">
        <v>4790</v>
      </c>
      <c r="D4">
        <v>30.2</v>
      </c>
      <c r="E4">
        <v>144658</v>
      </c>
      <c r="F4" t="s">
        <v>20</v>
      </c>
    </row>
    <row r="5" spans="1:6" x14ac:dyDescent="0.25">
      <c r="A5" t="s">
        <v>67</v>
      </c>
      <c r="B5" t="s">
        <v>48</v>
      </c>
      <c r="C5">
        <v>9570</v>
      </c>
      <c r="D5">
        <v>30.2</v>
      </c>
      <c r="E5">
        <v>289014</v>
      </c>
      <c r="F5" t="s">
        <v>15</v>
      </c>
    </row>
    <row r="6" spans="1:6" x14ac:dyDescent="0.25">
      <c r="A6" t="s">
        <v>67</v>
      </c>
      <c r="B6" t="s">
        <v>48</v>
      </c>
      <c r="C6">
        <v>4764</v>
      </c>
      <c r="D6">
        <v>30.2</v>
      </c>
      <c r="E6">
        <v>143872.79999999999</v>
      </c>
      <c r="F6" t="s">
        <v>14</v>
      </c>
    </row>
    <row r="7" spans="1:6" x14ac:dyDescent="0.25">
      <c r="A7" t="s">
        <v>67</v>
      </c>
      <c r="B7" t="s">
        <v>48</v>
      </c>
      <c r="C7">
        <v>4773</v>
      </c>
      <c r="D7">
        <v>30.2</v>
      </c>
      <c r="E7">
        <v>144144.6</v>
      </c>
      <c r="F7" t="s">
        <v>11</v>
      </c>
    </row>
    <row r="8" spans="1:6" x14ac:dyDescent="0.25">
      <c r="A8" t="s">
        <v>65</v>
      </c>
      <c r="B8" t="s">
        <v>48</v>
      </c>
      <c r="C8">
        <v>4763</v>
      </c>
      <c r="D8">
        <v>30.2</v>
      </c>
      <c r="E8">
        <v>143842.6</v>
      </c>
      <c r="F8" t="s">
        <v>8</v>
      </c>
    </row>
    <row r="9" spans="1:6" x14ac:dyDescent="0.25">
      <c r="A9" t="s">
        <v>67</v>
      </c>
      <c r="B9" t="s">
        <v>48</v>
      </c>
      <c r="C9">
        <v>4773</v>
      </c>
      <c r="D9">
        <v>30.2</v>
      </c>
      <c r="E9">
        <v>144144.6</v>
      </c>
      <c r="F9" t="s">
        <v>7</v>
      </c>
    </row>
    <row r="10" spans="1:6" x14ac:dyDescent="0.25">
      <c r="A10" t="s">
        <v>67</v>
      </c>
      <c r="B10" t="s">
        <v>48</v>
      </c>
      <c r="C10">
        <v>4753</v>
      </c>
      <c r="D10">
        <v>30.2</v>
      </c>
      <c r="E10">
        <v>143540.6</v>
      </c>
      <c r="F10" t="s">
        <v>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4D25-A9C6-4AA6-AB3D-28B53DEB7518}">
  <dimension ref="A1:F12"/>
  <sheetViews>
    <sheetView workbookViewId="0">
      <selection activeCell="A3" sqref="A3:F12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82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65</v>
      </c>
      <c r="B4" t="s">
        <v>49</v>
      </c>
      <c r="C4">
        <v>5320</v>
      </c>
      <c r="D4">
        <v>30.2</v>
      </c>
      <c r="E4">
        <v>160664</v>
      </c>
      <c r="F4" t="s">
        <v>20</v>
      </c>
    </row>
    <row r="5" spans="1:6" x14ac:dyDescent="0.25">
      <c r="A5" t="s">
        <v>65</v>
      </c>
      <c r="B5" t="s">
        <v>49</v>
      </c>
      <c r="C5">
        <v>5330</v>
      </c>
      <c r="D5">
        <v>30.2</v>
      </c>
      <c r="E5">
        <v>160966</v>
      </c>
      <c r="F5" t="s">
        <v>18</v>
      </c>
    </row>
    <row r="6" spans="1:6" x14ac:dyDescent="0.25">
      <c r="A6" t="s">
        <v>65</v>
      </c>
      <c r="B6" t="s">
        <v>49</v>
      </c>
      <c r="C6">
        <v>5312</v>
      </c>
      <c r="D6">
        <v>30.2</v>
      </c>
      <c r="E6">
        <v>160422.39999999999</v>
      </c>
      <c r="F6" t="s">
        <v>17</v>
      </c>
    </row>
    <row r="7" spans="1:6" x14ac:dyDescent="0.25">
      <c r="A7" t="s">
        <v>67</v>
      </c>
      <c r="B7" t="s">
        <v>49</v>
      </c>
      <c r="C7">
        <v>5292</v>
      </c>
      <c r="D7">
        <v>30.2</v>
      </c>
      <c r="E7">
        <v>159818.4</v>
      </c>
      <c r="F7" t="s">
        <v>16</v>
      </c>
    </row>
    <row r="8" spans="1:6" x14ac:dyDescent="0.25">
      <c r="A8" t="s">
        <v>65</v>
      </c>
      <c r="B8" t="s">
        <v>49</v>
      </c>
      <c r="C8">
        <v>5320</v>
      </c>
      <c r="D8">
        <v>30.2</v>
      </c>
      <c r="E8">
        <v>160664</v>
      </c>
      <c r="F8" t="s">
        <v>15</v>
      </c>
    </row>
    <row r="9" spans="1:6" x14ac:dyDescent="0.25">
      <c r="A9" t="s">
        <v>65</v>
      </c>
      <c r="B9" t="s">
        <v>49</v>
      </c>
      <c r="C9">
        <v>5294</v>
      </c>
      <c r="D9">
        <v>30.2</v>
      </c>
      <c r="E9">
        <v>159878.79999999999</v>
      </c>
      <c r="F9" t="s">
        <v>2</v>
      </c>
    </row>
    <row r="10" spans="1:6" x14ac:dyDescent="0.25">
      <c r="A10" t="s">
        <v>67</v>
      </c>
      <c r="B10" t="s">
        <v>49</v>
      </c>
      <c r="C10">
        <v>4540</v>
      </c>
      <c r="D10">
        <v>30.2</v>
      </c>
      <c r="E10">
        <v>137108</v>
      </c>
      <c r="F10" t="s">
        <v>13</v>
      </c>
    </row>
    <row r="11" spans="1:6" x14ac:dyDescent="0.25">
      <c r="A11" t="s">
        <v>67</v>
      </c>
      <c r="B11" t="s">
        <v>49</v>
      </c>
      <c r="C11">
        <v>5281</v>
      </c>
      <c r="D11">
        <v>30.2</v>
      </c>
      <c r="E11">
        <v>159486.19999999998</v>
      </c>
      <c r="F11" t="s">
        <v>9</v>
      </c>
    </row>
    <row r="12" spans="1:6" x14ac:dyDescent="0.25">
      <c r="A12" t="s">
        <v>65</v>
      </c>
      <c r="B12" t="s">
        <v>49</v>
      </c>
      <c r="C12">
        <v>9840</v>
      </c>
      <c r="D12">
        <v>30.2</v>
      </c>
      <c r="E12">
        <v>297168</v>
      </c>
      <c r="F12" t="s">
        <v>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8419E-29C8-47F8-8F62-D3426D0283DC}">
  <dimension ref="A1:F8"/>
  <sheetViews>
    <sheetView workbookViewId="0">
      <selection activeCell="A3" sqref="A3:F8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83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66</v>
      </c>
      <c r="B4" t="s">
        <v>50</v>
      </c>
      <c r="C4">
        <v>9870</v>
      </c>
      <c r="D4">
        <v>30.2</v>
      </c>
      <c r="E4">
        <v>298074</v>
      </c>
      <c r="F4" t="s">
        <v>20</v>
      </c>
    </row>
    <row r="5" spans="1:6" x14ac:dyDescent="0.25">
      <c r="A5" t="s">
        <v>66</v>
      </c>
      <c r="B5" t="s">
        <v>50</v>
      </c>
      <c r="C5">
        <v>15310</v>
      </c>
      <c r="D5">
        <v>30.2</v>
      </c>
      <c r="E5">
        <v>462362</v>
      </c>
      <c r="F5" t="s">
        <v>18</v>
      </c>
    </row>
    <row r="6" spans="1:6" x14ac:dyDescent="0.25">
      <c r="A6" t="s">
        <v>65</v>
      </c>
      <c r="B6" t="s">
        <v>50</v>
      </c>
      <c r="C6">
        <v>5430</v>
      </c>
      <c r="D6">
        <v>30.2</v>
      </c>
      <c r="E6">
        <v>163986</v>
      </c>
      <c r="F6" t="s">
        <v>1</v>
      </c>
    </row>
    <row r="7" spans="1:6" x14ac:dyDescent="0.25">
      <c r="A7" t="s">
        <v>66</v>
      </c>
      <c r="B7" t="s">
        <v>50</v>
      </c>
      <c r="C7">
        <v>3460</v>
      </c>
      <c r="D7">
        <v>30.2</v>
      </c>
      <c r="E7">
        <v>104492</v>
      </c>
      <c r="F7" t="s">
        <v>15</v>
      </c>
    </row>
    <row r="8" spans="1:6" x14ac:dyDescent="0.25">
      <c r="A8" t="s">
        <v>65</v>
      </c>
      <c r="B8" t="s">
        <v>50</v>
      </c>
      <c r="C8">
        <v>5419</v>
      </c>
      <c r="D8">
        <v>30.2</v>
      </c>
      <c r="E8">
        <v>163653.79999999999</v>
      </c>
      <c r="F8" t="s">
        <v>11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FE76-E52B-4D3B-BC06-A012AB5A6767}">
  <dimension ref="A1:F13"/>
  <sheetViews>
    <sheetView workbookViewId="0">
      <selection activeCell="C4" sqref="C4:C13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84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51</v>
      </c>
      <c r="C4">
        <v>5240</v>
      </c>
      <c r="D4">
        <v>30.2</v>
      </c>
      <c r="E4">
        <v>158248</v>
      </c>
      <c r="F4" t="s">
        <v>20</v>
      </c>
    </row>
    <row r="5" spans="1:6" x14ac:dyDescent="0.25">
      <c r="A5" t="s">
        <v>65</v>
      </c>
      <c r="B5" t="s">
        <v>51</v>
      </c>
      <c r="C5">
        <v>10448</v>
      </c>
      <c r="D5">
        <v>30.2</v>
      </c>
      <c r="E5">
        <v>315529.59999999998</v>
      </c>
      <c r="F5" t="s">
        <v>16</v>
      </c>
    </row>
    <row r="6" spans="1:6" x14ac:dyDescent="0.25">
      <c r="A6" t="s">
        <v>65</v>
      </c>
      <c r="B6" t="s">
        <v>51</v>
      </c>
      <c r="C6">
        <v>5208</v>
      </c>
      <c r="D6">
        <v>30.2</v>
      </c>
      <c r="E6">
        <v>157281.60000000001</v>
      </c>
      <c r="F6" t="s">
        <v>14</v>
      </c>
    </row>
    <row r="7" spans="1:6" x14ac:dyDescent="0.25">
      <c r="A7" t="s">
        <v>65</v>
      </c>
      <c r="B7" t="s">
        <v>51</v>
      </c>
      <c r="C7">
        <v>5215</v>
      </c>
      <c r="D7">
        <v>30.2</v>
      </c>
      <c r="E7">
        <v>157493</v>
      </c>
      <c r="F7" t="s">
        <v>13</v>
      </c>
    </row>
    <row r="8" spans="1:6" x14ac:dyDescent="0.25">
      <c r="A8" t="s">
        <v>66</v>
      </c>
      <c r="B8" t="s">
        <v>51</v>
      </c>
      <c r="C8">
        <v>10438</v>
      </c>
      <c r="D8">
        <v>30.2</v>
      </c>
      <c r="E8">
        <v>315227.59999999998</v>
      </c>
      <c r="F8" t="s">
        <v>11</v>
      </c>
    </row>
    <row r="9" spans="1:6" x14ac:dyDescent="0.25">
      <c r="A9" t="s">
        <v>65</v>
      </c>
      <c r="B9" t="s">
        <v>51</v>
      </c>
      <c r="C9">
        <v>10407</v>
      </c>
      <c r="D9">
        <v>30.2</v>
      </c>
      <c r="E9">
        <v>314291.39999999997</v>
      </c>
      <c r="F9" t="s">
        <v>10</v>
      </c>
    </row>
    <row r="10" spans="1:6" x14ac:dyDescent="0.25">
      <c r="A10" t="s">
        <v>65</v>
      </c>
      <c r="B10" t="s">
        <v>51</v>
      </c>
      <c r="C10">
        <v>5209</v>
      </c>
      <c r="D10">
        <v>30.2</v>
      </c>
      <c r="E10">
        <v>157311.79999999999</v>
      </c>
      <c r="F10" t="s">
        <v>9</v>
      </c>
    </row>
    <row r="11" spans="1:6" x14ac:dyDescent="0.25">
      <c r="A11" t="s">
        <v>66</v>
      </c>
      <c r="B11" t="s">
        <v>51</v>
      </c>
      <c r="C11">
        <v>10420</v>
      </c>
      <c r="D11">
        <v>30.2</v>
      </c>
      <c r="E11">
        <v>314684</v>
      </c>
      <c r="F11" t="s">
        <v>3</v>
      </c>
    </row>
    <row r="12" spans="1:6" x14ac:dyDescent="0.25">
      <c r="A12" t="s">
        <v>65</v>
      </c>
      <c r="B12" t="s">
        <v>51</v>
      </c>
      <c r="C12">
        <v>5209</v>
      </c>
      <c r="D12">
        <v>30.2</v>
      </c>
      <c r="E12">
        <v>157311.79999999999</v>
      </c>
      <c r="F12" t="s">
        <v>7</v>
      </c>
    </row>
    <row r="13" spans="1:6" x14ac:dyDescent="0.25">
      <c r="A13" t="s">
        <v>66</v>
      </c>
      <c r="B13" t="s">
        <v>51</v>
      </c>
      <c r="C13">
        <v>10470</v>
      </c>
      <c r="D13">
        <v>30.2</v>
      </c>
      <c r="E13">
        <v>316194</v>
      </c>
      <c r="F13" t="s">
        <v>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F58B-3738-433B-8E0D-118D199C4DE8}">
  <dimension ref="A1:F4"/>
  <sheetViews>
    <sheetView workbookViewId="0">
      <selection activeCell="B4" sqref="B4:F4"/>
    </sheetView>
  </sheetViews>
  <sheetFormatPr defaultRowHeight="12.5" x14ac:dyDescent="0.25"/>
  <cols>
    <col min="1" max="1" width="8.81640625" bestFit="1" customWidth="1"/>
    <col min="2" max="2" width="21.6328125" bestFit="1" customWidth="1"/>
    <col min="3" max="3" width="8.81640625" bestFit="1" customWidth="1"/>
    <col min="4" max="4" width="12.26953125" bestFit="1" customWidth="1"/>
    <col min="5" max="5" width="10.7265625" bestFit="1" customWidth="1"/>
    <col min="6" max="6" width="17.36328125" bestFit="1" customWidth="1"/>
  </cols>
  <sheetData>
    <row r="1" spans="1:6" ht="13" x14ac:dyDescent="0.3">
      <c r="A1" s="25" t="s">
        <v>75</v>
      </c>
    </row>
    <row r="3" spans="1:6" x14ac:dyDescent="0.25">
      <c r="A3" t="s">
        <v>57</v>
      </c>
      <c r="B3" t="s">
        <v>58</v>
      </c>
      <c r="C3" t="s">
        <v>59</v>
      </c>
      <c r="D3" t="s">
        <v>60</v>
      </c>
      <c r="E3" t="s">
        <v>40</v>
      </c>
      <c r="F3" t="s">
        <v>0</v>
      </c>
    </row>
    <row r="4" spans="1:6" x14ac:dyDescent="0.25">
      <c r="A4" t="s">
        <v>61</v>
      </c>
      <c r="B4" t="s">
        <v>41</v>
      </c>
      <c r="C4">
        <v>2261</v>
      </c>
      <c r="D4">
        <v>30.2</v>
      </c>
      <c r="E4">
        <v>68282.2</v>
      </c>
      <c r="F4" t="s">
        <v>19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3922-CF14-4C9B-84EE-760CB9B0C920}">
  <dimension ref="A1:E36"/>
  <sheetViews>
    <sheetView tabSelected="1" workbookViewId="0">
      <selection activeCell="G14" sqref="G14"/>
    </sheetView>
  </sheetViews>
  <sheetFormatPr defaultRowHeight="12.5" x14ac:dyDescent="0.25"/>
  <cols>
    <col min="1" max="1" width="22.453125" bestFit="1" customWidth="1"/>
    <col min="2" max="3" width="16.453125" bestFit="1" customWidth="1"/>
    <col min="4" max="4" width="14" style="17" bestFit="1" customWidth="1"/>
    <col min="5" max="5" width="7" bestFit="1" customWidth="1"/>
  </cols>
  <sheetData>
    <row r="1" spans="1:5" ht="13" x14ac:dyDescent="0.3">
      <c r="A1" s="18" t="s">
        <v>42</v>
      </c>
      <c r="B1" s="19" t="s">
        <v>53</v>
      </c>
      <c r="C1" s="19" t="s">
        <v>54</v>
      </c>
      <c r="D1" s="20" t="s">
        <v>0</v>
      </c>
      <c r="E1" s="20" t="s">
        <v>56</v>
      </c>
    </row>
    <row r="2" spans="1:5" x14ac:dyDescent="0.25">
      <c r="A2" s="21" t="s">
        <v>41</v>
      </c>
      <c r="B2" s="22">
        <v>2261</v>
      </c>
      <c r="C2" s="19">
        <v>68282.2</v>
      </c>
      <c r="D2" s="19">
        <v>2261</v>
      </c>
      <c r="E2" s="19">
        <f>GETPIVOTDATA("Toplam Miktar",$A$1,"Mal Ve Hizmet Tanimi","4*1500*6000 SiYAH SAC")-D2</f>
        <v>0</v>
      </c>
    </row>
    <row r="3" spans="1:5" x14ac:dyDescent="0.25">
      <c r="A3" s="21" t="s">
        <v>43</v>
      </c>
      <c r="B3" s="22">
        <v>5145</v>
      </c>
      <c r="C3" s="19">
        <v>155379</v>
      </c>
      <c r="D3" s="19">
        <v>5086</v>
      </c>
      <c r="E3" s="19">
        <f>GETPIVOTDATA("Toplam Miktar",$A$1,"Mal Ve Hizmet Tanimi","6*1500*6000 SiYAH SAC")-D3</f>
        <v>59</v>
      </c>
    </row>
    <row r="4" spans="1:5" x14ac:dyDescent="0.25">
      <c r="A4" s="21" t="s">
        <v>44</v>
      </c>
      <c r="B4" s="22">
        <v>10184</v>
      </c>
      <c r="C4" s="19">
        <v>307556.8</v>
      </c>
      <c r="D4" s="19">
        <v>10178</v>
      </c>
      <c r="E4" s="19">
        <f>GETPIVOTDATA("Toplam Miktar",$A$1,"Mal Ve Hizmet Tanimi","8*1500*6000 SiYAH SAC")-D4</f>
        <v>6</v>
      </c>
    </row>
    <row r="5" spans="1:5" x14ac:dyDescent="0.25">
      <c r="A5" s="21" t="s">
        <v>45</v>
      </c>
      <c r="B5" s="22">
        <v>65177</v>
      </c>
      <c r="C5" s="19">
        <v>1968345.4</v>
      </c>
      <c r="D5" s="19">
        <v>64998</v>
      </c>
      <c r="E5" s="19">
        <f>GETPIVOTDATA("Toplam Miktar",$A$1,"Mal Ve Hizmet Tanimi","SAC 10*1500*6900")-D5</f>
        <v>179</v>
      </c>
    </row>
    <row r="6" spans="1:5" x14ac:dyDescent="0.25">
      <c r="A6" s="21" t="s">
        <v>46</v>
      </c>
      <c r="B6" s="22">
        <v>78471</v>
      </c>
      <c r="C6" s="19">
        <v>2409059.7000000002</v>
      </c>
      <c r="D6" s="19">
        <v>77998</v>
      </c>
      <c r="E6" s="19">
        <f>GETPIVOTDATA("Toplam Miktar",$A$1,"Mal Ve Hizmet Tanimi","SAC 12*1500*6900")-D6</f>
        <v>473</v>
      </c>
    </row>
    <row r="7" spans="1:5" x14ac:dyDescent="0.25">
      <c r="A7" s="21" t="s">
        <v>47</v>
      </c>
      <c r="B7" s="22">
        <v>154764</v>
      </c>
      <c r="C7" s="19">
        <v>4751254.7999999989</v>
      </c>
      <c r="D7" s="19">
        <v>153735</v>
      </c>
      <c r="E7" s="19">
        <f>GETPIVOTDATA("Toplam Miktar",$A$1,"Mal Ve Hizmet Tanimi","SAC 12*1500*8000")-D7</f>
        <v>1029</v>
      </c>
    </row>
    <row r="8" spans="1:5" x14ac:dyDescent="0.25">
      <c r="A8" s="21" t="s">
        <v>48</v>
      </c>
      <c r="B8" s="22">
        <v>38186</v>
      </c>
      <c r="C8" s="19">
        <v>1153217.2</v>
      </c>
      <c r="D8" s="19">
        <v>38434</v>
      </c>
      <c r="E8" s="19">
        <f>GETPIVOTDATA("Toplam Miktar",$A$1,"Mal Ve Hizmet Tanimi","SAC 3*1500*8000")-D8</f>
        <v>-248</v>
      </c>
    </row>
    <row r="9" spans="1:5" x14ac:dyDescent="0.25">
      <c r="A9" s="21" t="s">
        <v>49</v>
      </c>
      <c r="B9" s="22">
        <v>51529</v>
      </c>
      <c r="C9" s="19">
        <v>1556175.7999999998</v>
      </c>
      <c r="D9" s="19">
        <v>51245</v>
      </c>
      <c r="E9" s="19">
        <f>GETPIVOTDATA("Toplam Miktar",$A$1,"Mal Ve Hizmet Tanimi","SAC 4*1500*8000")-D9</f>
        <v>284</v>
      </c>
    </row>
    <row r="10" spans="1:5" x14ac:dyDescent="0.25">
      <c r="A10" s="21" t="s">
        <v>50</v>
      </c>
      <c r="B10" s="22">
        <v>39489</v>
      </c>
      <c r="C10" s="19">
        <v>1192567.8</v>
      </c>
      <c r="D10" s="19">
        <v>38999</v>
      </c>
      <c r="E10" s="19">
        <f>GETPIVOTDATA("Toplam Miktar",$A$1,"Mal Ve Hizmet Tanimi","SAC 6*1500*6900")-D10</f>
        <v>490</v>
      </c>
    </row>
    <row r="11" spans="1:5" x14ac:dyDescent="0.25">
      <c r="A11" s="21" t="s">
        <v>51</v>
      </c>
      <c r="B11" s="22">
        <v>78264</v>
      </c>
      <c r="C11" s="19">
        <v>2363572.8000000003</v>
      </c>
      <c r="D11" s="19">
        <v>77998</v>
      </c>
      <c r="E11" s="19">
        <f>GETPIVOTDATA("Toplam Miktar",$A$1,"Mal Ve Hizmet Tanimi","SAC 8*1500*6900")-D11</f>
        <v>266</v>
      </c>
    </row>
    <row r="12" spans="1:5" ht="13" x14ac:dyDescent="0.3">
      <c r="A12" s="21" t="s">
        <v>52</v>
      </c>
      <c r="B12" s="22">
        <v>523470</v>
      </c>
      <c r="C12" s="19">
        <v>15925411.5</v>
      </c>
      <c r="D12" s="20">
        <f>SUM(D2:D11)</f>
        <v>520932</v>
      </c>
      <c r="E12" s="20">
        <f>GETPIVOTDATA("Toplam Miktar",$A$1)-D12</f>
        <v>2538</v>
      </c>
    </row>
    <row r="14" spans="1:5" ht="13" x14ac:dyDescent="0.3">
      <c r="A14" s="18" t="s">
        <v>42</v>
      </c>
      <c r="B14" s="19" t="s">
        <v>54</v>
      </c>
      <c r="C14" s="19" t="s">
        <v>53</v>
      </c>
      <c r="D14" s="20" t="s">
        <v>55</v>
      </c>
      <c r="E14" s="20" t="s">
        <v>56</v>
      </c>
    </row>
    <row r="15" spans="1:5" x14ac:dyDescent="0.25">
      <c r="A15" s="21" t="s">
        <v>1</v>
      </c>
      <c r="B15" s="23">
        <v>771846</v>
      </c>
      <c r="C15" s="22">
        <v>25230</v>
      </c>
      <c r="D15" s="24">
        <v>771846</v>
      </c>
      <c r="E15" s="23">
        <f>GETPIVOTDATA("Toplam TOPLAM",$A$14,"FATURA","AB12026000005043")-D15</f>
        <v>0</v>
      </c>
    </row>
    <row r="16" spans="1:5" x14ac:dyDescent="0.25">
      <c r="A16" s="21" t="s">
        <v>2</v>
      </c>
      <c r="B16" s="23">
        <v>769556</v>
      </c>
      <c r="C16" s="22">
        <v>25180</v>
      </c>
      <c r="D16" s="24">
        <v>769556</v>
      </c>
      <c r="E16" s="23">
        <f>GETPIVOTDATA("Toplam TOPLAM",$A$14,"FATURA","AB12026000005069")-D16</f>
        <v>0</v>
      </c>
    </row>
    <row r="17" spans="1:5" x14ac:dyDescent="0.25">
      <c r="A17" s="21" t="s">
        <v>3</v>
      </c>
      <c r="B17" s="23">
        <v>757416</v>
      </c>
      <c r="C17" s="22">
        <v>25080</v>
      </c>
      <c r="D17" s="24">
        <v>757416</v>
      </c>
      <c r="E17" s="23">
        <f>GETPIVOTDATA("Toplam TOPLAM",$A$14,"FATURA","AB12026000005070")-D17</f>
        <v>0</v>
      </c>
    </row>
    <row r="18" spans="1:5" x14ac:dyDescent="0.25">
      <c r="A18" s="21" t="s">
        <v>4</v>
      </c>
      <c r="B18" s="23">
        <v>764406</v>
      </c>
      <c r="C18" s="22">
        <v>25230</v>
      </c>
      <c r="D18" s="24">
        <v>764406</v>
      </c>
      <c r="E18" s="23">
        <f>GETPIVOTDATA("Toplam TOPLAM",$A$14,"FATURA","AB12026000005075")-D18</f>
        <v>0</v>
      </c>
    </row>
    <row r="19" spans="1:5" x14ac:dyDescent="0.25">
      <c r="A19" s="21" t="s">
        <v>5</v>
      </c>
      <c r="B19" s="23">
        <v>767390.5</v>
      </c>
      <c r="C19" s="22">
        <v>25160</v>
      </c>
      <c r="D19" s="24">
        <v>767390.5</v>
      </c>
      <c r="E19" s="23">
        <f>GETPIVOTDATA("Toplam TOPLAM",$A$14,"FATURA","AB12026000005078")-D19</f>
        <v>0</v>
      </c>
    </row>
    <row r="20" spans="1:5" x14ac:dyDescent="0.25">
      <c r="A20" s="21" t="s">
        <v>6</v>
      </c>
      <c r="B20" s="23">
        <v>765541.99999999988</v>
      </c>
      <c r="C20" s="22">
        <v>25080</v>
      </c>
      <c r="D20" s="24">
        <v>765542</v>
      </c>
      <c r="E20" s="23">
        <f>GETPIVOTDATA("Toplam TOPLAM",$A$14,"FATURA","AB12026000005086")-D20</f>
        <v>0</v>
      </c>
    </row>
    <row r="21" spans="1:5" x14ac:dyDescent="0.25">
      <c r="A21" s="21" t="s">
        <v>7</v>
      </c>
      <c r="B21" s="23">
        <v>766499.99999999988</v>
      </c>
      <c r="C21" s="22">
        <v>25130</v>
      </c>
      <c r="D21" s="24">
        <v>766500</v>
      </c>
      <c r="E21" s="23">
        <f>GETPIVOTDATA("Toplam TOPLAM",$A$14,"FATURA","AB12026000005088")-D21</f>
        <v>0</v>
      </c>
    </row>
    <row r="22" spans="1:5" x14ac:dyDescent="0.25">
      <c r="A22" s="21" t="s">
        <v>8</v>
      </c>
      <c r="B22" s="23">
        <v>761769.5</v>
      </c>
      <c r="C22" s="22">
        <v>25130</v>
      </c>
      <c r="D22" s="24">
        <v>761769.5</v>
      </c>
      <c r="E22" s="23">
        <f>GETPIVOTDATA("Toplam TOPLAM",$A$14,"FATURA","AB12026000005090")-D22</f>
        <v>0</v>
      </c>
    </row>
    <row r="23" spans="1:5" x14ac:dyDescent="0.25">
      <c r="A23" s="21" t="s">
        <v>9</v>
      </c>
      <c r="B23" s="23">
        <v>761764.5</v>
      </c>
      <c r="C23" s="22">
        <v>25130</v>
      </c>
      <c r="D23" s="24">
        <v>761764.5</v>
      </c>
      <c r="E23" s="23">
        <f>GETPIVOTDATA("Toplam TOPLAM",$A$14,"FATURA","AB12026000005091")-D23</f>
        <v>0</v>
      </c>
    </row>
    <row r="24" spans="1:5" x14ac:dyDescent="0.25">
      <c r="A24" s="21" t="s">
        <v>10</v>
      </c>
      <c r="B24" s="23">
        <v>761389.5</v>
      </c>
      <c r="C24" s="22">
        <v>25050</v>
      </c>
      <c r="D24" s="24">
        <v>761389.5</v>
      </c>
      <c r="E24" s="23">
        <f>GETPIVOTDATA("Toplam TOPLAM",$A$14,"FATURA","AB12026000005092")-D24</f>
        <v>0</v>
      </c>
    </row>
    <row r="25" spans="1:5" x14ac:dyDescent="0.25">
      <c r="A25" s="21" t="s">
        <v>11</v>
      </c>
      <c r="B25" s="23">
        <v>762557.49999999988</v>
      </c>
      <c r="C25" s="22">
        <v>25175</v>
      </c>
      <c r="D25" s="24">
        <v>762557.5</v>
      </c>
      <c r="E25" s="23">
        <f>GETPIVOTDATA("Toplam TOPLAM",$A$14,"FATURA","AB12026000005115")-D25</f>
        <v>0</v>
      </c>
    </row>
    <row r="26" spans="1:5" x14ac:dyDescent="0.25">
      <c r="A26" s="21" t="s">
        <v>12</v>
      </c>
      <c r="B26" s="23">
        <v>765574.5</v>
      </c>
      <c r="C26" s="22">
        <v>25020</v>
      </c>
      <c r="D26" s="24">
        <v>765574.5</v>
      </c>
      <c r="E26" s="23">
        <f>GETPIVOTDATA("Toplam TOPLAM",$A$14,"FATURA","AB12026000005117")-D26</f>
        <v>0</v>
      </c>
    </row>
    <row r="27" spans="1:5" x14ac:dyDescent="0.25">
      <c r="A27" s="21" t="s">
        <v>13</v>
      </c>
      <c r="B27" s="23">
        <v>763140</v>
      </c>
      <c r="C27" s="22">
        <v>25100</v>
      </c>
      <c r="D27" s="24">
        <v>763140</v>
      </c>
      <c r="E27" s="23">
        <f>GETPIVOTDATA("Toplam TOPLAM",$A$14,"FATURA","AB12026000005122")-D27</f>
        <v>0</v>
      </c>
    </row>
    <row r="28" spans="1:5" x14ac:dyDescent="0.25">
      <c r="A28" s="21" t="s">
        <v>14</v>
      </c>
      <c r="B28" s="23">
        <v>764816.5</v>
      </c>
      <c r="C28" s="22">
        <v>25075</v>
      </c>
      <c r="D28" s="24">
        <v>764816.5</v>
      </c>
      <c r="E28" s="23">
        <f>GETPIVOTDATA("Toplam TOPLAM",$A$14,"FATURA","AB12026000005124")-D28</f>
        <v>0</v>
      </c>
    </row>
    <row r="29" spans="1:5" x14ac:dyDescent="0.25">
      <c r="A29" s="21" t="s">
        <v>15</v>
      </c>
      <c r="B29" s="23">
        <v>765079</v>
      </c>
      <c r="C29" s="22">
        <v>25220</v>
      </c>
      <c r="D29" s="24">
        <v>765079</v>
      </c>
      <c r="E29" s="23">
        <f>GETPIVOTDATA("Toplam TOPLAM",$A$14,"FATURA","AB12026000005132")-D29</f>
        <v>0</v>
      </c>
    </row>
    <row r="30" spans="1:5" x14ac:dyDescent="0.25">
      <c r="A30" s="21" t="s">
        <v>16</v>
      </c>
      <c r="B30" s="23">
        <v>765002.5</v>
      </c>
      <c r="C30" s="22">
        <v>25175</v>
      </c>
      <c r="D30" s="24">
        <v>765002.5</v>
      </c>
      <c r="E30" s="23">
        <f>GETPIVOTDATA("Toplam TOPLAM",$A$14,"FATURA","AB12026000005133")-D30</f>
        <v>0</v>
      </c>
    </row>
    <row r="31" spans="1:5" x14ac:dyDescent="0.25">
      <c r="A31" s="21" t="s">
        <v>17</v>
      </c>
      <c r="B31" s="23">
        <v>770216.5</v>
      </c>
      <c r="C31" s="22">
        <v>25175</v>
      </c>
      <c r="D31" s="24">
        <v>770216.5</v>
      </c>
      <c r="E31" s="23">
        <f>GETPIVOTDATA("Toplam TOPLAM",$A$14,"FATURA","AB12026000005135")-D31</f>
        <v>0</v>
      </c>
    </row>
    <row r="32" spans="1:5" x14ac:dyDescent="0.25">
      <c r="A32" s="21" t="s">
        <v>18</v>
      </c>
      <c r="B32" s="23">
        <v>763934</v>
      </c>
      <c r="C32" s="22">
        <v>25220</v>
      </c>
      <c r="D32" s="24">
        <v>763934</v>
      </c>
      <c r="E32" s="23">
        <f>GETPIVOTDATA("Toplam TOPLAM",$A$14,"FATURA","AB12026000005168")-D32</f>
        <v>0</v>
      </c>
    </row>
    <row r="33" spans="1:5" x14ac:dyDescent="0.25">
      <c r="A33" s="21" t="s">
        <v>19</v>
      </c>
      <c r="B33" s="23">
        <v>760684</v>
      </c>
      <c r="C33" s="22">
        <v>25000</v>
      </c>
      <c r="D33" s="24">
        <v>760684</v>
      </c>
      <c r="E33" s="23">
        <f>GETPIVOTDATA("Toplam TOPLAM",$A$14,"FATURA","AB12026000005172")-D33</f>
        <v>0</v>
      </c>
    </row>
    <row r="34" spans="1:5" x14ac:dyDescent="0.25">
      <c r="A34" s="21" t="s">
        <v>20</v>
      </c>
      <c r="B34" s="23">
        <v>761644</v>
      </c>
      <c r="C34" s="22">
        <v>25220</v>
      </c>
      <c r="D34" s="24">
        <v>761644</v>
      </c>
      <c r="E34" s="23">
        <f>GETPIVOTDATA("Toplam TOPLAM",$A$14,"FATURA","AB12026000005173")-D34</f>
        <v>0</v>
      </c>
    </row>
    <row r="35" spans="1:5" x14ac:dyDescent="0.25">
      <c r="A35" s="21" t="s">
        <v>21</v>
      </c>
      <c r="B35" s="23">
        <v>635183</v>
      </c>
      <c r="C35" s="22">
        <v>20690</v>
      </c>
      <c r="D35" s="24">
        <v>635183</v>
      </c>
      <c r="E35" s="23">
        <f>GETPIVOTDATA("Toplam TOPLAM",$A$14,"FATURA","AB12026000005186")-D35</f>
        <v>0</v>
      </c>
    </row>
    <row r="36" spans="1:5" x14ac:dyDescent="0.25">
      <c r="A36" s="21" t="s">
        <v>52</v>
      </c>
      <c r="B36" s="23">
        <v>15925411.5</v>
      </c>
      <c r="C36" s="22">
        <v>523470</v>
      </c>
      <c r="D36" s="24">
        <f>SUM(D15:D35)</f>
        <v>15925411.5</v>
      </c>
      <c r="E36" s="23">
        <f>D36-GETPIVOTDATA("Toplam TOPLAM",$A$14)</f>
        <v>0</v>
      </c>
    </row>
  </sheetData>
  <pageMargins left="0.7" right="0.7" top="0.75" bottom="0.75" header="0.3" footer="0.3"/>
  <pageSetup paperSize="9" orientation="portrait"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0046-C8A5-450B-A35E-87EF174098C2}">
  <dimension ref="A1:A22"/>
  <sheetViews>
    <sheetView workbookViewId="0">
      <selection activeCell="A22" sqref="A22"/>
    </sheetView>
  </sheetViews>
  <sheetFormatPr defaultRowHeight="12.5" x14ac:dyDescent="0.25"/>
  <cols>
    <col min="1" max="1" width="14" bestFit="1" customWidth="1"/>
  </cols>
  <sheetData>
    <row r="1" spans="1:1" x14ac:dyDescent="0.25">
      <c r="A1">
        <v>765542</v>
      </c>
    </row>
    <row r="2" spans="1:1" x14ac:dyDescent="0.25">
      <c r="A2">
        <v>766500</v>
      </c>
    </row>
    <row r="3" spans="1:1" x14ac:dyDescent="0.25">
      <c r="A3">
        <v>76769.5</v>
      </c>
    </row>
    <row r="4" spans="1:1" x14ac:dyDescent="0.25">
      <c r="A4">
        <v>761764.5</v>
      </c>
    </row>
    <row r="5" spans="1:1" x14ac:dyDescent="0.25">
      <c r="A5">
        <v>761389.5</v>
      </c>
    </row>
    <row r="6" spans="1:1" x14ac:dyDescent="0.25">
      <c r="A6">
        <v>762557.5</v>
      </c>
    </row>
    <row r="7" spans="1:1" x14ac:dyDescent="0.25">
      <c r="A7" s="16">
        <v>765574.5</v>
      </c>
    </row>
    <row r="8" spans="1:1" x14ac:dyDescent="0.25">
      <c r="A8">
        <v>763140</v>
      </c>
    </row>
    <row r="9" spans="1:1" x14ac:dyDescent="0.25">
      <c r="A9">
        <v>764816.5</v>
      </c>
    </row>
    <row r="10" spans="1:1" x14ac:dyDescent="0.25">
      <c r="A10">
        <v>765079</v>
      </c>
    </row>
    <row r="11" spans="1:1" x14ac:dyDescent="0.25">
      <c r="A11">
        <v>765002.5</v>
      </c>
    </row>
    <row r="12" spans="1:1" x14ac:dyDescent="0.25">
      <c r="A12">
        <v>770216.5</v>
      </c>
    </row>
    <row r="13" spans="1:1" x14ac:dyDescent="0.25">
      <c r="A13">
        <v>763934</v>
      </c>
    </row>
    <row r="14" spans="1:1" x14ac:dyDescent="0.25">
      <c r="A14">
        <v>760684</v>
      </c>
    </row>
    <row r="15" spans="1:1" x14ac:dyDescent="0.25">
      <c r="A15">
        <v>761644</v>
      </c>
    </row>
    <row r="16" spans="1:1" x14ac:dyDescent="0.25">
      <c r="A16">
        <v>635183</v>
      </c>
    </row>
    <row r="17" spans="1:1" x14ac:dyDescent="0.25">
      <c r="A17">
        <v>771846</v>
      </c>
    </row>
    <row r="18" spans="1:1" x14ac:dyDescent="0.25">
      <c r="A18">
        <v>769556</v>
      </c>
    </row>
    <row r="19" spans="1:1" x14ac:dyDescent="0.25">
      <c r="A19">
        <v>757416</v>
      </c>
    </row>
    <row r="20" spans="1:1" x14ac:dyDescent="0.25">
      <c r="A20">
        <v>764406</v>
      </c>
    </row>
    <row r="21" spans="1:1" x14ac:dyDescent="0.25">
      <c r="A21">
        <v>767390.5</v>
      </c>
    </row>
    <row r="22" spans="1:1" x14ac:dyDescent="0.25">
      <c r="A22" s="17">
        <f>SUM(A1:A21)</f>
        <v>15240411.5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24</vt:i4>
      </vt:variant>
    </vt:vector>
  </HeadingPairs>
  <TitlesOfParts>
    <vt:vector size="24" baseType="lpstr">
      <vt:lpstr>Sheet1</vt:lpstr>
      <vt:lpstr>Ayrıntı1</vt:lpstr>
      <vt:lpstr>Ayrıntı2</vt:lpstr>
      <vt:lpstr>Ayrıntı3</vt:lpstr>
      <vt:lpstr>Ayrıntı4</vt:lpstr>
      <vt:lpstr>Ayrıntı5</vt:lpstr>
      <vt:lpstr>Ayrıntı6</vt:lpstr>
      <vt:lpstr>Ayrıntı7</vt:lpstr>
      <vt:lpstr>Ayrıntı8</vt:lpstr>
      <vt:lpstr>Ayrıntı9</vt:lpstr>
      <vt:lpstr>Ayrıntı10</vt:lpstr>
      <vt:lpstr>Ayrıntı11</vt:lpstr>
      <vt:lpstr>Ayrıntı12</vt:lpstr>
      <vt:lpstr>Ayrıntı13</vt:lpstr>
      <vt:lpstr>Ayrıntı14</vt:lpstr>
      <vt:lpstr>Ayrıntı15</vt:lpstr>
      <vt:lpstr>Ayrıntı16</vt:lpstr>
      <vt:lpstr>Ayrıntı17</vt:lpstr>
      <vt:lpstr>Ayrıntı18</vt:lpstr>
      <vt:lpstr>Ayrıntı19</vt:lpstr>
      <vt:lpstr>Ayrıntı20</vt:lpstr>
      <vt:lpstr>Ayrıntı21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altan</dc:creator>
  <cp:lastModifiedBy>Burcu ADIGÜZEL</cp:lastModifiedBy>
  <cp:lastPrinted>2026-04-08T11:58:46Z</cp:lastPrinted>
  <dcterms:created xsi:type="dcterms:W3CDTF">2026-04-08T11:58:28Z</dcterms:created>
  <dcterms:modified xsi:type="dcterms:W3CDTF">2026-04-08T12:52:32Z</dcterms:modified>
</cp:coreProperties>
</file>