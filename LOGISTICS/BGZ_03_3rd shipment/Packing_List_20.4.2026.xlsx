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vimpo-my.sharepoint.com/personal/satinalma_vimpo_com/Documents/Masaüstü/039-VMP-S01064-ATP_5000m3_Libya/4-Logistics/BGZ_03_3rd shipment/"/>
    </mc:Choice>
  </mc:AlternateContent>
  <xr:revisionPtr revIDLastSave="26" documentId="8_{FBAE0BE7-6806-44E8-8FC3-960C89E11A1F}" xr6:coauthVersionLast="47" xr6:coauthVersionMax="47" xr10:uidLastSave="{8F9C61BF-39A6-4619-8583-AF53C8446A4B}"/>
  <bookViews>
    <workbookView xWindow="-110" yWindow="-110" windowWidth="19420" windowHeight="10300" activeTab="3" xr2:uid="{45036DCF-1C36-4BEA-83C2-F9BA1C1831A9}"/>
  </bookViews>
  <sheets>
    <sheet name="sum" sheetId="16" r:id="rId1"/>
    <sheet name="SEGU7372565" sheetId="17" r:id="rId2"/>
    <sheet name="SEGU7371949" sheetId="8" r:id="rId3"/>
    <sheet name="TCLU7579931" sheetId="18" r:id="rId4"/>
  </sheets>
  <definedNames>
    <definedName name="_xlnm._FilterDatabase" localSheetId="2" hidden="1">SEGU7371949!$A$12:$O$22</definedName>
    <definedName name="_xlnm._FilterDatabase" localSheetId="1" hidden="1">SEGU7372565!$A$12:$O$22</definedName>
    <definedName name="_xlnm._FilterDatabase" localSheetId="3" hidden="1">TCLU7579931!$A$12:$O$22</definedName>
    <definedName name="_xlnm.Print_Area" localSheetId="0">sum!$A$1:$C$4</definedName>
    <definedName name="_xlnm.Print_Titles" localSheetId="2">SEGU7371949!$1:$12</definedName>
    <definedName name="_xlnm.Print_Titles" localSheetId="1">SEGU7372565!$1:$12</definedName>
    <definedName name="_xlnm.Print_Titles" localSheetId="3">TCLU7579931!$1:$12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18" l="1"/>
  <c r="L25" i="18"/>
  <c r="I25" i="18"/>
  <c r="F25" i="18"/>
  <c r="C25" i="18"/>
  <c r="G23" i="18"/>
  <c r="C4" i="16" s="1"/>
  <c r="O23" i="18"/>
  <c r="N23" i="18"/>
  <c r="M23" i="18"/>
  <c r="J23" i="18"/>
  <c r="F25" i="8"/>
  <c r="C25" i="8"/>
  <c r="G23" i="8"/>
  <c r="J23" i="8"/>
  <c r="O23" i="8"/>
  <c r="N23" i="8"/>
  <c r="M23" i="8"/>
  <c r="I25" i="8" s="1"/>
  <c r="J23" i="17"/>
  <c r="C25" i="17" s="1"/>
  <c r="O13" i="18"/>
  <c r="B4" i="16"/>
  <c r="O22" i="18"/>
  <c r="O21" i="18"/>
  <c r="O20" i="18"/>
  <c r="O19" i="18"/>
  <c r="O18" i="18"/>
  <c r="O17" i="18"/>
  <c r="O16" i="18"/>
  <c r="O15" i="18"/>
  <c r="O14" i="18"/>
  <c r="L25" i="17"/>
  <c r="I25" i="17"/>
  <c r="N23" i="17"/>
  <c r="M23" i="17"/>
  <c r="B3" i="16" s="1"/>
  <c r="G23" i="17"/>
  <c r="C3" i="16" s="1"/>
  <c r="O22" i="17"/>
  <c r="O21" i="17"/>
  <c r="O20" i="17"/>
  <c r="O19" i="17"/>
  <c r="O18" i="17"/>
  <c r="O17" i="17"/>
  <c r="O16" i="17"/>
  <c r="O15" i="17"/>
  <c r="O14" i="17"/>
  <c r="O13" i="17"/>
  <c r="F25" i="17" l="1"/>
  <c r="B2" i="16"/>
  <c r="C2" i="16"/>
  <c r="O23" i="17"/>
  <c r="O25" i="17"/>
  <c r="L25" i="8"/>
  <c r="O22" i="8"/>
  <c r="O21" i="8"/>
  <c r="O20" i="8"/>
  <c r="O19" i="8"/>
  <c r="O18" i="8"/>
  <c r="O17" i="8"/>
  <c r="O16" i="8"/>
  <c r="O15" i="8"/>
  <c r="O14" i="8"/>
  <c r="O13" i="8"/>
  <c r="O25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11424856-963F-4655-BE07-5F1B28C41ABC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C9DDF0FE-4392-47F5-A33B-A429B5C9189E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1D23CBF4-EACB-4F1E-AF6E-4E91FE87F7C0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61502BA0-D6AD-4FF2-911E-3FC13E5B78ED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E53988CA-9ECE-4433-83D8-5A41A165D51C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015683FB-37DC-4C65-BDBD-16235926781C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<sst xmlns="http://schemas.openxmlformats.org/spreadsheetml/2006/main" count="286" uniqueCount="98">
  <si>
    <t>PACKING LIST
ÇEKİ LİSTESİ</t>
  </si>
  <si>
    <t>Yayın Tarihi</t>
  </si>
  <si>
    <t>Doküman No</t>
  </si>
  <si>
    <t>P07-F07</t>
  </si>
  <si>
    <t>Revizyon Tarihi</t>
  </si>
  <si>
    <t>-</t>
  </si>
  <si>
    <t>Revizyon No</t>
  </si>
  <si>
    <t>00</t>
  </si>
  <si>
    <t>DOCUMENT &amp; SHIPMENT INFORMATION / BELGE VE SEVKİYAT BİLGİLERİ</t>
  </si>
  <si>
    <t>Order No. / Sipariş No</t>
  </si>
  <si>
    <t>Date / Tarih</t>
  </si>
  <si>
    <t>Invoice No. / Fatura No</t>
  </si>
  <si>
    <t>Incoterm</t>
  </si>
  <si>
    <t>Shipper / Gönderici</t>
  </si>
  <si>
    <t>Consignee / Alıcı</t>
  </si>
  <si>
    <t>Notify Party / İhbar</t>
  </si>
  <si>
    <t>Country of Origin</t>
  </si>
  <si>
    <t>Final Destination</t>
  </si>
  <si>
    <t>Port of Loading</t>
  </si>
  <si>
    <t>Port of Discharge</t>
  </si>
  <si>
    <t>Vessel / Flight</t>
  </si>
  <si>
    <t>ETD / ETA</t>
  </si>
  <si>
    <t>Container / Vehicle No.</t>
  </si>
  <si>
    <t>B/L - AWB No.</t>
  </si>
  <si>
    <t>PO / Contract No.</t>
  </si>
  <si>
    <t>Currency</t>
  </si>
  <si>
    <t>Item
No</t>
  </si>
  <si>
    <t>Case / Crate
No</t>
  </si>
  <si>
    <t>Part No. /
Model</t>
  </si>
  <si>
    <t>Description of Goods</t>
  </si>
  <si>
    <t>HS Code</t>
  </si>
  <si>
    <t>COO</t>
  </si>
  <si>
    <t>Qty</t>
  </si>
  <si>
    <t>UOM</t>
  </si>
  <si>
    <t>Package Type</t>
  </si>
  <si>
    <t>Net Wt
(kg)</t>
  </si>
  <si>
    <t>Gross Wt
(kg)</t>
  </si>
  <si>
    <t>Volume
(m³)</t>
  </si>
  <si>
    <t>Total Net Wt (kg)</t>
  </si>
  <si>
    <t>Total Gross Wt (kg)</t>
  </si>
  <si>
    <t>Total Volume (m³)</t>
  </si>
  <si>
    <t>PACKAGING DECLARATION / AMBALAJ BEYANI</t>
  </si>
  <si>
    <t>All goods are packed suitably for export shipment, loading/unloading and inland transportation unless otherwise stated above.
Yukarıda aksi belirtilmedikçe tüm mallar ihracat sevkiyatına, yükleme/boşaltmaya ve iç nakliyeye uygun şekilde ambalajlanmıştır.</t>
  </si>
  <si>
    <t>APPROVAL / ONAY</t>
  </si>
  <si>
    <t>Prepared By</t>
  </si>
  <si>
    <t>Date</t>
  </si>
  <si>
    <t>Checked By</t>
  </si>
  <si>
    <t>Approved By</t>
  </si>
  <si>
    <t>Receiver / Carrier</t>
  </si>
  <si>
    <t>Vimpo Makine A.Ş.</t>
  </si>
  <si>
    <t>Adres / Address : Malıköy Anadolu OSB Mahallesi 12. Cadde No:8 06909 Sincan/Ankara/Türkiye
Telefon / Phone : +90 312 354 8509   •   E-posta / E-mail : ugur.cicekverdi@vimpo.com   •   Web : www.vimpo.com.tr</t>
  </si>
  <si>
    <t xml:space="preserve">Africa Road for Asphalt and Petroleum Insulation Industries </t>
  </si>
  <si>
    <t>CIF</t>
  </si>
  <si>
    <t>Bingazi Port</t>
  </si>
  <si>
    <t>Türkiye</t>
  </si>
  <si>
    <t>EUR</t>
  </si>
  <si>
    <t>Bundle</t>
  </si>
  <si>
    <t>Container</t>
  </si>
  <si>
    <t>kg</t>
  </si>
  <si>
    <t>pcs</t>
  </si>
  <si>
    <t>L
(mm)</t>
  </si>
  <si>
    <t>H
(mm)</t>
  </si>
  <si>
    <t>Bundle Qty</t>
  </si>
  <si>
    <t>VMP-S01064-B3</t>
  </si>
  <si>
    <t>VİMPO MAKİNE A.Ş.</t>
  </si>
  <si>
    <t>SEGU7372565</t>
  </si>
  <si>
    <t>SEGU7371949</t>
  </si>
  <si>
    <t>TCLU7579931</t>
  </si>
  <si>
    <t>240 NPI Steel Beam</t>
  </si>
  <si>
    <t>TR</t>
  </si>
  <si>
    <t>180 NPI Steel Beam</t>
  </si>
  <si>
    <t>80 NPI Steel Beam</t>
  </si>
  <si>
    <t>PK-240-1</t>
  </si>
  <si>
    <t>PK-80-1</t>
  </si>
  <si>
    <t>PK-80-2</t>
  </si>
  <si>
    <t>PK-01</t>
  </si>
  <si>
    <t>PK-02</t>
  </si>
  <si>
    <t>PK-03</t>
  </si>
  <si>
    <t>3x30 Flat Steel Bar</t>
  </si>
  <si>
    <t>PK-04</t>
  </si>
  <si>
    <t>40x60x2 Steel Box Profile</t>
  </si>
  <si>
    <t>PK-05</t>
  </si>
  <si>
    <t>20x40x2 Steel Box Profile</t>
  </si>
  <si>
    <t>PK-06</t>
  </si>
  <si>
    <t>PK-07</t>
  </si>
  <si>
    <t>5x50 Flat Steel Bar</t>
  </si>
  <si>
    <t>50 Steel Angle Bar</t>
  </si>
  <si>
    <t>10x50 Flat Steel Bar</t>
  </si>
  <si>
    <t>PK-240-2</t>
  </si>
  <si>
    <t>PK-180-2</t>
  </si>
  <si>
    <t>PK-240-3</t>
  </si>
  <si>
    <t>Total Qty (pcs)</t>
  </si>
  <si>
    <t>Total Bundle</t>
  </si>
  <si>
    <t>TOTAL/TOPLAM</t>
  </si>
  <si>
    <t>PK-180-1</t>
  </si>
  <si>
    <t>IHR2026000000033</t>
  </si>
  <si>
    <t>IZMIT</t>
  </si>
  <si>
    <t>CMA CGM TOPAZ / 1BM1LS1MA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</si>
</sst>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yyyy\-mm\-dd"/>
  </numFmts>
  <fonts count="27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  <charset val="162"/>
    </font>
    <font>
      <sz val="11"/>
      <color theme="1"/>
      <name val="Aptos Narrow"/>
      <family val="2"/>
      <scheme val="minor"/>
    </font>
    <font>
      <b/>
      <sz val="14"/>
      <color rgb="FF666666"/>
      <name val="Calibri"/>
      <family val="2"/>
      <charset val="162"/>
    </font>
    <font>
      <b/>
      <sz val="18"/>
      <color rgb="FF1F4E78"/>
      <name val="Calibri"/>
      <family val="2"/>
      <charset val="162"/>
    </font>
    <font>
      <b/>
      <sz val="10"/>
      <name val="Calibri"/>
      <family val="2"/>
      <charset val="162"/>
    </font>
    <font>
      <b/>
      <sz val="10"/>
      <color rgb="FFFFFFFF"/>
      <name val="Calibri"/>
      <family val="2"/>
      <charset val="162"/>
    </font>
    <font>
      <b/>
      <sz val="10"/>
      <color rgb="FF1F4E78"/>
      <name val="Calibri"/>
      <family val="2"/>
      <charset val="162"/>
    </font>
    <font>
      <sz val="10"/>
      <color rgb="FF0000FF"/>
      <name val="Calibri"/>
      <family val="2"/>
      <charset val="162"/>
    </font>
    <font>
      <sz val="10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0"/>
      <color rgb="FF666666"/>
      <name val="Calibri"/>
      <family val="2"/>
      <charset val="162"/>
    </font>
    <font>
      <i/>
      <sz val="9"/>
      <color rgb="FF666666"/>
      <name val="Calibri"/>
      <family val="2"/>
      <charset val="162"/>
    </font>
    <font>
      <b/>
      <sz val="14"/>
      <color rgb="FF1F4E78"/>
      <name val="Calibri"/>
      <family val="2"/>
      <charset val="162"/>
    </font>
    <font>
      <sz val="10"/>
      <color theme="1"/>
      <name val="Aptos Narrow"/>
      <family val="2"/>
      <charset val="162"/>
      <scheme val="minor"/>
    </font>
    <font>
      <sz val="10"/>
      <color rgb="FF0000FF"/>
      <name val="Calibri"/>
      <family val="2"/>
      <charset val="162"/>
    </font>
    <font>
      <b/>
      <sz val="10"/>
      <color rgb="FF0000FF"/>
      <name val="Calibri"/>
      <family val="2"/>
      <charset val="162"/>
    </font>
    <font>
      <sz val="11"/>
      <color theme="1"/>
      <name val="Calibri"/>
      <family val="2"/>
      <charset val="162"/>
    </font>
    <font>
      <sz val="8"/>
      <name val="Aptos Narrow"/>
      <family val="2"/>
      <charset val="162"/>
      <scheme val="minor"/>
    </font>
    <font>
      <sz val="10"/>
      <name val="Calibri"/>
      <family val="2"/>
      <charset val="162"/>
    </font>
    <font>
      <sz val="11"/>
      <name val="Aptos Narrow"/>
      <family val="2"/>
      <charset val="162"/>
      <scheme val="minor"/>
    </font>
    <font>
      <b/>
      <sz val="12"/>
      <color rgb="FF1F4E78"/>
      <name val="Calibri"/>
      <family val="2"/>
      <charset val="162"/>
    </font>
    <font>
      <b/>
      <sz val="12"/>
      <color rgb="FF000000"/>
      <name val="Calibri"/>
      <family val="2"/>
      <charset val="162"/>
    </font>
    <font>
      <sz val="12"/>
      <color theme="1"/>
      <name val="Aptos Narrow"/>
      <family val="2"/>
      <scheme val="minor"/>
    </font>
    <font>
      <b/>
      <sz val="10"/>
      <color theme="3"/>
      <name val="Calibri"/>
      <family val="2"/>
      <charset val="162"/>
    </font>
    <font>
      <sz val="11"/>
      <color theme="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EAF3FB"/>
      </patternFill>
    </fill>
    <fill>
      <patternFill patternType="solid">
        <fgColor rgb="FFFFF7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rgb="FFA6A6A6"/>
      </bottom>
      <diagonal/>
    </border>
    <border>
      <left/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medium">
        <color indexed="64"/>
      </top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rgb="FFA6A6A6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rgb="FFA6A6A6"/>
      </top>
      <bottom style="medium">
        <color indexed="64"/>
      </bottom>
      <diagonal/>
    </border>
    <border>
      <left/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medium">
        <color indexed="64"/>
      </bottom>
      <diagonal/>
    </border>
    <border>
      <left style="medium">
        <color indexed="64"/>
      </left>
      <right style="medium">
        <color rgb="FF1F4E78"/>
      </right>
      <top/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/>
      <bottom style="medium">
        <color rgb="FF1F4E78"/>
      </bottom>
      <diagonal/>
    </border>
    <border>
      <left style="medium">
        <color rgb="FF1F4E78"/>
      </left>
      <right style="medium">
        <color indexed="64"/>
      </right>
      <top/>
      <bottom style="medium">
        <color rgb="FF1F4E78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 style="medium">
        <color indexed="64"/>
      </right>
      <top style="medium">
        <color rgb="FF1F4E78"/>
      </top>
      <bottom style="medium">
        <color rgb="FF1F4E78"/>
      </bottom>
      <diagonal/>
    </border>
    <border>
      <left style="medium">
        <color indexed="64"/>
      </left>
      <right/>
      <top/>
      <bottom style="medium">
        <color rgb="FF1F4E78"/>
      </bottom>
      <diagonal/>
    </border>
    <border>
      <left/>
      <right/>
      <top/>
      <bottom style="medium">
        <color rgb="FF1F4E78"/>
      </bottom>
      <diagonal/>
    </border>
    <border>
      <left/>
      <right style="medium">
        <color indexed="64"/>
      </right>
      <top/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A6A6A6"/>
      </top>
      <bottom style="thin">
        <color rgb="FFA6A6A6"/>
      </bottom>
      <diagonal/>
    </border>
    <border>
      <left style="medium">
        <color rgb="FF1F4E78"/>
      </left>
      <right style="medium">
        <color indexed="64"/>
      </right>
      <top style="medium">
        <color rgb="FF1F4E78"/>
      </top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12">
    <xf numFmtId="0" fontId="0" fillId="0" borderId="0" xfId="0"/>
    <xf numFmtId="0" fontId="3" fillId="0" borderId="0" xfId="2"/>
    <xf numFmtId="165" fontId="9" fillId="5" borderId="19" xfId="2" applyNumberFormat="1" applyFont="1" applyFill="1" applyBorder="1" applyAlignment="1">
      <alignment horizontal="left" vertical="center" wrapText="1"/>
    </xf>
    <xf numFmtId="0" fontId="3" fillId="0" borderId="5" xfId="2" applyBorder="1"/>
    <xf numFmtId="0" fontId="3" fillId="0" borderId="6" xfId="2" applyBorder="1"/>
    <xf numFmtId="0" fontId="7" fillId="6" borderId="29" xfId="2" applyFont="1" applyFill="1" applyBorder="1" applyAlignment="1">
      <alignment horizontal="center" vertical="center" wrapText="1"/>
    </xf>
    <xf numFmtId="0" fontId="13" fillId="3" borderId="5" xfId="2" applyFont="1" applyFill="1" applyBorder="1" applyAlignment="1">
      <alignment horizontal="center" vertical="center"/>
    </xf>
    <xf numFmtId="0" fontId="12" fillId="3" borderId="0" xfId="2" applyFont="1" applyFill="1" applyAlignment="1">
      <alignment horizontal="left" vertical="center" wrapText="1"/>
    </xf>
    <xf numFmtId="0" fontId="13" fillId="3" borderId="0" xfId="2" applyFont="1" applyFill="1" applyAlignment="1">
      <alignment horizontal="center" vertical="center"/>
    </xf>
    <xf numFmtId="0" fontId="12" fillId="3" borderId="6" xfId="2" applyFont="1" applyFill="1" applyBorder="1" applyAlignment="1">
      <alignment horizontal="left" vertical="center" wrapText="1"/>
    </xf>
    <xf numFmtId="0" fontId="16" fillId="5" borderId="19" xfId="2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7" fillId="6" borderId="35" xfId="2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9" fillId="4" borderId="37" xfId="2" applyFont="1" applyFill="1" applyBorder="1" applyAlignment="1">
      <alignment horizontal="center" vertical="center"/>
    </xf>
    <xf numFmtId="0" fontId="7" fillId="6" borderId="38" xfId="2" applyFont="1" applyFill="1" applyBorder="1" applyAlignment="1">
      <alignment horizontal="center" vertical="center" wrapText="1"/>
    </xf>
    <xf numFmtId="4" fontId="9" fillId="2" borderId="1" xfId="2" applyNumberFormat="1" applyFont="1" applyFill="1" applyBorder="1" applyAlignment="1">
      <alignment horizontal="center" vertical="center"/>
    </xf>
    <xf numFmtId="164" fontId="10" fillId="2" borderId="1" xfId="2" applyNumberFormat="1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left" vertical="center" wrapText="1"/>
    </xf>
    <xf numFmtId="4" fontId="9" fillId="2" borderId="1" xfId="2" applyNumberFormat="1" applyFont="1" applyFill="1" applyBorder="1" applyAlignment="1">
      <alignment horizontal="right" vertical="center"/>
    </xf>
    <xf numFmtId="3" fontId="9" fillId="2" borderId="1" xfId="2" applyNumberFormat="1" applyFont="1" applyFill="1" applyBorder="1" applyAlignment="1">
      <alignment horizontal="right" vertical="center"/>
    </xf>
    <xf numFmtId="164" fontId="10" fillId="2" borderId="1" xfId="2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36" xfId="0" applyBorder="1" applyAlignment="1">
      <alignment horizontal="left" vertical="center" wrapText="1"/>
    </xf>
    <xf numFmtId="0" fontId="18" fillId="0" borderId="0" xfId="0" applyFont="1"/>
    <xf numFmtId="0" fontId="20" fillId="2" borderId="1" xfId="2" applyFont="1" applyFill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/>
    </xf>
    <xf numFmtId="3" fontId="20" fillId="2" borderId="1" xfId="2" applyNumberFormat="1" applyFont="1" applyFill="1" applyBorder="1" applyAlignment="1">
      <alignment horizontal="center" vertical="center"/>
    </xf>
    <xf numFmtId="4" fontId="20" fillId="2" borderId="1" xfId="2" applyNumberFormat="1" applyFont="1" applyFill="1" applyBorder="1" applyAlignment="1">
      <alignment horizontal="center" vertical="center"/>
    </xf>
    <xf numFmtId="164" fontId="20" fillId="2" borderId="1" xfId="2" applyNumberFormat="1" applyFont="1" applyFill="1" applyBorder="1" applyAlignment="1">
      <alignment horizontal="center" vertical="center"/>
    </xf>
    <xf numFmtId="0" fontId="23" fillId="3" borderId="18" xfId="2" applyFont="1" applyFill="1" applyBorder="1" applyAlignment="1">
      <alignment horizontal="center" vertical="center"/>
    </xf>
    <xf numFmtId="4" fontId="23" fillId="3" borderId="18" xfId="2" applyNumberFormat="1" applyFont="1" applyFill="1" applyBorder="1" applyAlignment="1">
      <alignment horizontal="center" vertical="center"/>
    </xf>
    <xf numFmtId="4" fontId="23" fillId="3" borderId="18" xfId="2" applyNumberFormat="1" applyFont="1" applyFill="1" applyBorder="1" applyAlignment="1">
      <alignment horizontal="left" vertical="center"/>
    </xf>
    <xf numFmtId="164" fontId="23" fillId="3" borderId="19" xfId="2" applyNumberFormat="1" applyFont="1" applyFill="1" applyBorder="1" applyAlignment="1">
      <alignment horizontal="left" vertical="center"/>
    </xf>
    <xf numFmtId="0" fontId="24" fillId="0" borderId="0" xfId="2" applyFont="1" applyAlignment="1">
      <alignment horizontal="left"/>
    </xf>
    <xf numFmtId="3" fontId="23" fillId="3" borderId="18" xfId="2" applyNumberFormat="1" applyFont="1" applyFill="1" applyBorder="1" applyAlignment="1">
      <alignment horizontal="center" vertical="center"/>
    </xf>
    <xf numFmtId="0" fontId="11" fillId="3" borderId="26" xfId="2" applyFont="1" applyFill="1" applyBorder="1" applyAlignment="1">
      <alignment horizontal="center" vertical="center"/>
    </xf>
    <xf numFmtId="3" fontId="11" fillId="3" borderId="26" xfId="2" applyNumberFormat="1" applyFont="1" applyFill="1" applyBorder="1" applyAlignment="1">
      <alignment horizontal="center" vertical="center"/>
    </xf>
    <xf numFmtId="4" fontId="11" fillId="3" borderId="26" xfId="2" applyNumberFormat="1" applyFont="1" applyFill="1" applyBorder="1" applyAlignment="1">
      <alignment horizontal="center" vertical="center"/>
    </xf>
    <xf numFmtId="0" fontId="25" fillId="3" borderId="26" xfId="2" applyFont="1" applyFill="1" applyBorder="1" applyAlignment="1">
      <alignment horizontal="center" vertical="center"/>
    </xf>
    <xf numFmtId="164" fontId="11" fillId="3" borderId="27" xfId="2" applyNumberFormat="1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0" xfId="2" applyFont="1" applyFill="1" applyAlignment="1">
      <alignment horizontal="center" vertical="center" wrapText="1"/>
    </xf>
    <xf numFmtId="0" fontId="4" fillId="3" borderId="6" xfId="2" applyFont="1" applyFill="1" applyBorder="1" applyAlignment="1">
      <alignment horizontal="center" vertical="center" wrapText="1"/>
    </xf>
    <xf numFmtId="0" fontId="4" fillId="3" borderId="7" xfId="2" applyFont="1" applyFill="1" applyBorder="1" applyAlignment="1">
      <alignment horizontal="center" vertical="center" wrapText="1"/>
    </xf>
    <xf numFmtId="0" fontId="4" fillId="3" borderId="8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5" fillId="4" borderId="3" xfId="2" applyFont="1" applyFill="1" applyBorder="1" applyAlignment="1">
      <alignment horizontal="center" vertical="center" wrapText="1"/>
    </xf>
    <xf numFmtId="0" fontId="5" fillId="4" borderId="10" xfId="2" applyFont="1" applyFill="1" applyBorder="1" applyAlignment="1">
      <alignment horizontal="center" vertical="center" wrapText="1"/>
    </xf>
    <xf numFmtId="0" fontId="5" fillId="4" borderId="5" xfId="2" applyFont="1" applyFill="1" applyBorder="1" applyAlignment="1">
      <alignment horizontal="center" vertical="center" wrapText="1"/>
    </xf>
    <xf numFmtId="0" fontId="5" fillId="4" borderId="0" xfId="2" applyFont="1" applyFill="1" applyAlignment="1">
      <alignment horizontal="center" vertical="center" wrapText="1"/>
    </xf>
    <xf numFmtId="0" fontId="5" fillId="4" borderId="15" xfId="2" applyFont="1" applyFill="1" applyBorder="1" applyAlignment="1">
      <alignment horizontal="center" vertical="center" wrapText="1"/>
    </xf>
    <xf numFmtId="0" fontId="5" fillId="4" borderId="7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 wrapText="1"/>
    </xf>
    <xf numFmtId="0" fontId="5" fillId="4" borderId="20" xfId="2" applyFont="1" applyFill="1" applyBorder="1" applyAlignment="1">
      <alignment horizontal="center" vertical="center" wrapText="1"/>
    </xf>
    <xf numFmtId="3" fontId="6" fillId="5" borderId="11" xfId="2" applyNumberFormat="1" applyFont="1" applyFill="1" applyBorder="1" applyAlignment="1">
      <alignment horizontal="left" vertical="center"/>
    </xf>
    <xf numFmtId="3" fontId="6" fillId="5" borderId="12" xfId="2" applyNumberFormat="1" applyFont="1" applyFill="1" applyBorder="1" applyAlignment="1">
      <alignment horizontal="left" vertical="center"/>
    </xf>
    <xf numFmtId="14" fontId="6" fillId="5" borderId="13" xfId="2" applyNumberFormat="1" applyFont="1" applyFill="1" applyBorder="1" applyAlignment="1">
      <alignment horizontal="left" vertical="center" wrapText="1"/>
    </xf>
    <xf numFmtId="14" fontId="6" fillId="5" borderId="14" xfId="2" applyNumberFormat="1" applyFont="1" applyFill="1" applyBorder="1" applyAlignment="1">
      <alignment horizontal="left" vertical="center" wrapText="1"/>
    </xf>
    <xf numFmtId="3" fontId="6" fillId="5" borderId="16" xfId="2" applyNumberFormat="1" applyFont="1" applyFill="1" applyBorder="1" applyAlignment="1">
      <alignment horizontal="left" vertical="center"/>
    </xf>
    <xf numFmtId="3" fontId="6" fillId="5" borderId="17" xfId="2" applyNumberFormat="1" applyFont="1" applyFill="1" applyBorder="1" applyAlignment="1">
      <alignment horizontal="left" vertical="center"/>
    </xf>
    <xf numFmtId="165" fontId="6" fillId="5" borderId="18" xfId="2" applyNumberFormat="1" applyFont="1" applyFill="1" applyBorder="1" applyAlignment="1">
      <alignment horizontal="left" vertical="center" wrapText="1"/>
    </xf>
    <xf numFmtId="0" fontId="6" fillId="5" borderId="19" xfId="2" applyFont="1" applyFill="1" applyBorder="1" applyAlignment="1">
      <alignment horizontal="left" vertical="center" wrapText="1"/>
    </xf>
    <xf numFmtId="3" fontId="6" fillId="5" borderId="21" xfId="2" applyNumberFormat="1" applyFont="1" applyFill="1" applyBorder="1" applyAlignment="1">
      <alignment horizontal="left" vertical="center"/>
    </xf>
    <xf numFmtId="3" fontId="6" fillId="5" borderId="22" xfId="2" applyNumberFormat="1" applyFont="1" applyFill="1" applyBorder="1" applyAlignment="1">
      <alignment horizontal="left" vertical="center"/>
    </xf>
    <xf numFmtId="49" fontId="6" fillId="5" borderId="23" xfId="2" applyNumberFormat="1" applyFont="1" applyFill="1" applyBorder="1" applyAlignment="1">
      <alignment horizontal="left" vertical="center" wrapText="1"/>
    </xf>
    <xf numFmtId="49" fontId="6" fillId="5" borderId="24" xfId="2" applyNumberFormat="1" applyFont="1" applyFill="1" applyBorder="1" applyAlignment="1">
      <alignment horizontal="left" vertical="center" wrapText="1"/>
    </xf>
    <xf numFmtId="0" fontId="7" fillId="6" borderId="25" xfId="2" applyFont="1" applyFill="1" applyBorder="1" applyAlignment="1">
      <alignment horizontal="left" vertical="center"/>
    </xf>
    <xf numFmtId="0" fontId="3" fillId="0" borderId="26" xfId="2" applyBorder="1"/>
    <xf numFmtId="0" fontId="3" fillId="0" borderId="27" xfId="2" applyBorder="1"/>
    <xf numFmtId="0" fontId="8" fillId="7" borderId="28" xfId="2" applyFont="1" applyFill="1" applyBorder="1" applyAlignment="1">
      <alignment horizontal="left" vertical="center" wrapText="1"/>
    </xf>
    <xf numFmtId="0" fontId="8" fillId="7" borderId="18" xfId="2" applyFont="1" applyFill="1" applyBorder="1" applyAlignment="1">
      <alignment horizontal="left" vertical="center" wrapText="1"/>
    </xf>
    <xf numFmtId="0" fontId="9" fillId="5" borderId="18" xfId="2" applyFont="1" applyFill="1" applyBorder="1" applyAlignment="1">
      <alignment horizontal="left" vertical="center" wrapText="1"/>
    </xf>
    <xf numFmtId="165" fontId="9" fillId="5" borderId="18" xfId="2" applyNumberFormat="1" applyFont="1" applyFill="1" applyBorder="1" applyAlignment="1">
      <alignment horizontal="left" vertical="center" wrapText="1"/>
    </xf>
    <xf numFmtId="0" fontId="25" fillId="3" borderId="29" xfId="2" applyFont="1" applyFill="1" applyBorder="1" applyAlignment="1">
      <alignment horizontal="center" vertical="center"/>
    </xf>
    <xf numFmtId="0" fontId="26" fillId="0" borderId="26" xfId="2" applyFont="1" applyBorder="1" applyAlignment="1">
      <alignment horizontal="center"/>
    </xf>
    <xf numFmtId="0" fontId="16" fillId="5" borderId="18" xfId="2" applyFont="1" applyFill="1" applyBorder="1" applyAlignment="1">
      <alignment horizontal="left" vertical="center" wrapText="1"/>
    </xf>
    <xf numFmtId="0" fontId="9" fillId="5" borderId="19" xfId="2" applyFont="1" applyFill="1" applyBorder="1" applyAlignment="1">
      <alignment horizontal="left" vertical="center" wrapText="1"/>
    </xf>
    <xf numFmtId="0" fontId="17" fillId="5" borderId="18" xfId="2" applyFont="1" applyFill="1" applyBorder="1" applyAlignment="1">
      <alignment horizontal="left" vertical="center" wrapText="1"/>
    </xf>
    <xf numFmtId="0" fontId="22" fillId="7" borderId="28" xfId="2" applyFont="1" applyFill="1" applyBorder="1" applyAlignment="1">
      <alignment horizontal="right" vertical="center" wrapText="1"/>
    </xf>
    <xf numFmtId="0" fontId="22" fillId="7" borderId="18" xfId="2" applyFont="1" applyFill="1" applyBorder="1" applyAlignment="1">
      <alignment horizontal="right" vertical="center" wrapText="1"/>
    </xf>
    <xf numFmtId="0" fontId="7" fillId="6" borderId="29" xfId="2" applyFont="1" applyFill="1" applyBorder="1" applyAlignment="1">
      <alignment horizontal="left" vertical="center"/>
    </xf>
    <xf numFmtId="0" fontId="3" fillId="0" borderId="30" xfId="2" applyBorder="1"/>
    <xf numFmtId="0" fontId="3" fillId="0" borderId="31" xfId="2" applyBorder="1"/>
    <xf numFmtId="0" fontId="22" fillId="7" borderId="18" xfId="2" applyFont="1" applyFill="1" applyBorder="1" applyAlignment="1">
      <alignment horizontal="left" vertical="center" wrapText="1"/>
    </xf>
    <xf numFmtId="0" fontId="12" fillId="8" borderId="29" xfId="2" applyFont="1" applyFill="1" applyBorder="1" applyAlignment="1">
      <alignment horizontal="left" vertical="center" wrapText="1"/>
    </xf>
    <xf numFmtId="0" fontId="3" fillId="0" borderId="29" xfId="2" applyBorder="1"/>
    <xf numFmtId="0" fontId="9" fillId="5" borderId="32" xfId="2" applyFont="1" applyFill="1" applyBorder="1" applyAlignment="1">
      <alignment horizontal="left" vertical="center" wrapText="1"/>
    </xf>
    <xf numFmtId="0" fontId="9" fillId="5" borderId="33" xfId="2" applyFont="1" applyFill="1" applyBorder="1" applyAlignment="1">
      <alignment horizontal="left" vertical="center" wrapText="1"/>
    </xf>
    <xf numFmtId="0" fontId="9" fillId="5" borderId="34" xfId="2" applyFont="1" applyFill="1" applyBorder="1" applyAlignment="1">
      <alignment horizontal="left" vertical="center" wrapText="1"/>
    </xf>
    <xf numFmtId="0" fontId="12" fillId="0" borderId="5" xfId="2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12" fillId="0" borderId="6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0" fontId="13" fillId="3" borderId="28" xfId="2" applyFont="1" applyFill="1" applyBorder="1" applyAlignment="1">
      <alignment horizontal="center" vertical="center"/>
    </xf>
    <xf numFmtId="0" fontId="12" fillId="3" borderId="18" xfId="2" applyFont="1" applyFill="1" applyBorder="1" applyAlignment="1">
      <alignment horizontal="left" vertical="center" wrapText="1"/>
    </xf>
    <xf numFmtId="0" fontId="13" fillId="3" borderId="18" xfId="2" applyFont="1" applyFill="1" applyBorder="1" applyAlignment="1">
      <alignment horizontal="center" vertical="center"/>
    </xf>
    <xf numFmtId="0" fontId="12" fillId="3" borderId="19" xfId="2" applyFont="1" applyFill="1" applyBorder="1" applyAlignment="1">
      <alignment horizontal="left" vertical="center" wrapText="1"/>
    </xf>
    <xf numFmtId="0" fontId="14" fillId="0" borderId="2" xfId="2" applyFont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25" fillId="3" borderId="29" xfId="2" applyFont="1" applyFill="1" applyBorder="1" applyAlignment="1">
      <alignment horizontal="right" vertical="center"/>
    </xf>
    <xf numFmtId="0" fontId="26" fillId="0" borderId="26" xfId="2" applyFont="1" applyBorder="1"/>
  </cellXfs>
  <cellStyles count="3">
    <cellStyle name="Normal" xfId="0" builtinId="0"/>
    <cellStyle name="Normal 2" xfId="1" xr:uid="{F51A282D-1B73-4674-AE56-3C69BA388E8C}"/>
    <cellStyle name="Normal 3" xfId="2" xr:uid="{EC8BA616-7E8E-46E8-B048-9DACA0D3C9E5}"/>
  </cellStyles>
  <dxfs count="0"/>
  <tableStyles count="0" defaultTableStyle="TableStyleMedium2" defaultPivotStyle="PivotStyleLight16"/>
  <colors>
    <mruColors>
      <color rgb="FFA5739A"/>
      <color rgb="FFAA785A"/>
      <color rgb="FFABD1B1"/>
      <color rgb="FF6F9FB5"/>
      <color rgb="FFF17F9D"/>
      <color rgb="FFA7A7A7"/>
      <color rgb="FFE6EEB4"/>
      <color rgb="FFDBA86F"/>
      <color rgb="FFD49CC7"/>
      <color rgb="FFD8D8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4DACF688-E408-4A51-9F92-602E994CE52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44460" cy="5899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756A07BD-CD26-49E7-BDD2-3A4F94D2C7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940675" cy="5899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88A5D3A7-8250-4916-9793-76792DB063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13650" cy="5899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1FE437B4-80B3-46F3-BE82-CD6CFCD2B0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13650" cy="5899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2A873A9-78D6-4412-B1D7-71FE6AEBA4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B6E2F042-D506-43EC-A402-A74CC8E5E5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25398ED3-A11C-4F0F-9889-F6F98E4179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A7684524-FB64-4F90-A7EF-2377D18AE68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8EFD58E0-28FB-4485-9478-53679235C37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88910" cy="5899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8F1079FB-5C7C-4E41-AE09-BCC10A2E7AD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985125" cy="5899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9FE5BC66-A441-4125-9D4C-FD3130FBDEE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58100" cy="5899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D1B32AB8-3311-45F8-9107-B6C0816909B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58100" cy="5899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BEC08-2411-4730-9C62-C8D5D75C607B}">
  <sheetPr>
    <tabColor rgb="FF7030A0"/>
  </sheetPr>
  <dimension ref="A1:C12"/>
  <sheetViews>
    <sheetView view="pageBreakPreview" zoomScale="110" zoomScaleNormal="100" zoomScaleSheetLayoutView="110" workbookViewId="0">
      <selection activeCell="C13" sqref="C13"/>
    </sheetView>
  </sheetViews>
  <sheetFormatPr defaultRowHeight="14.5" x14ac:dyDescent="0.35"/>
  <cols>
    <col min="1" max="1" width="15.453125" customWidth="1"/>
    <col min="2" max="2" width="9.81640625" style="25" bestFit="1" customWidth="1"/>
    <col min="3" max="3" width="8.7265625" style="25"/>
  </cols>
  <sheetData>
    <row r="1" spans="1:3" x14ac:dyDescent="0.35">
      <c r="A1" s="23" t="s">
        <v>57</v>
      </c>
      <c r="B1" s="23" t="s">
        <v>58</v>
      </c>
      <c r="C1" s="23" t="s">
        <v>59</v>
      </c>
    </row>
    <row r="2" spans="1:3" x14ac:dyDescent="0.35">
      <c r="A2" s="27" t="s">
        <v>65</v>
      </c>
      <c r="B2" s="24">
        <f>SEGU7372565!M23</f>
        <v>24540</v>
      </c>
      <c r="C2" s="24">
        <f>SEGU7372565!G23</f>
        <v>192</v>
      </c>
    </row>
    <row r="3" spans="1:3" x14ac:dyDescent="0.35">
      <c r="A3" s="27" t="s">
        <v>66</v>
      </c>
      <c r="B3" s="24">
        <f>SEGU7372565!M23</f>
        <v>24540</v>
      </c>
      <c r="C3" s="24">
        <f>SEGU7372565!G23</f>
        <v>192</v>
      </c>
    </row>
    <row r="4" spans="1:3" x14ac:dyDescent="0.35">
      <c r="A4" s="27" t="s">
        <v>67</v>
      </c>
      <c r="B4" s="24">
        <f>TCLU7579931!M23</f>
        <v>22940</v>
      </c>
      <c r="C4" s="24">
        <f>TCLU7579931!G23</f>
        <v>56</v>
      </c>
    </row>
    <row r="5" spans="1:3" x14ac:dyDescent="0.35">
      <c r="B5" s="24"/>
      <c r="C5" s="24"/>
    </row>
    <row r="6" spans="1:3" x14ac:dyDescent="0.35">
      <c r="B6" s="24"/>
      <c r="C6" s="24"/>
    </row>
    <row r="7" spans="1:3" x14ac:dyDescent="0.35">
      <c r="B7" s="24"/>
      <c r="C7" s="24"/>
    </row>
    <row r="8" spans="1:3" x14ac:dyDescent="0.35">
      <c r="B8" s="24"/>
      <c r="C8" s="24"/>
    </row>
    <row r="9" spans="1:3" x14ac:dyDescent="0.35">
      <c r="B9" s="24"/>
      <c r="C9" s="24"/>
    </row>
    <row r="10" spans="1:3" x14ac:dyDescent="0.35">
      <c r="B10" s="24"/>
      <c r="C10" s="24"/>
    </row>
    <row r="11" spans="1:3" x14ac:dyDescent="0.35">
      <c r="B11" s="24"/>
      <c r="C11" s="24"/>
    </row>
    <row r="12" spans="1:3" x14ac:dyDescent="0.35">
      <c r="B12" s="24"/>
      <c r="C12" s="24"/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14991-542F-422A-9597-6EB418350D23}">
  <sheetPr>
    <tabColor theme="9" tint="0.79998168889431442"/>
  </sheetPr>
  <dimension ref="A1:O39"/>
  <sheetViews>
    <sheetView showGridLines="0" view="pageBreakPreview" topLeftCell="A7" zoomScale="70" zoomScaleNormal="70" zoomScaleSheetLayoutView="70" workbookViewId="0">
      <selection activeCell="C9" sqref="C9:D9"/>
    </sheetView>
  </sheetViews>
  <sheetFormatPr defaultColWidth="8.7265625" defaultRowHeight="14.5" x14ac:dyDescent="0.35"/>
  <cols>
    <col min="1" max="1" width="8" style="1" customWidth="1"/>
    <col min="2" max="2" width="13" style="1" customWidth="1"/>
    <col min="3" max="3" width="11.81640625" style="1" bestFit="1" customWidth="1"/>
    <col min="4" max="4" width="25.90625" style="1" customWidth="1"/>
    <col min="5" max="5" width="16.26953125" style="1" customWidth="1"/>
    <col min="6" max="6" width="7.453125" style="1" bestFit="1" customWidth="1"/>
    <col min="7" max="8" width="8" style="1" customWidth="1"/>
    <col min="9" max="9" width="12.26953125" style="1" customWidth="1"/>
    <col min="10" max="10" width="7.81640625" style="1" customWidth="1"/>
    <col min="11" max="11" width="8.26953125" style="1" customWidth="1"/>
    <col min="12" max="12" width="8.453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44" t="e" vm="1">
        <v>#VALUE!</v>
      </c>
      <c r="B1" s="45"/>
      <c r="C1" s="46"/>
      <c r="D1" s="53" t="s">
        <v>0</v>
      </c>
      <c r="E1" s="54"/>
      <c r="F1" s="54"/>
      <c r="G1" s="54"/>
      <c r="H1" s="54"/>
      <c r="I1" s="54"/>
      <c r="J1" s="54"/>
      <c r="K1" s="55"/>
      <c r="L1" s="62" t="s">
        <v>1</v>
      </c>
      <c r="M1" s="63"/>
      <c r="N1" s="64">
        <v>46098</v>
      </c>
      <c r="O1" s="65"/>
    </row>
    <row r="2" spans="1:15" ht="18" customHeight="1" x14ac:dyDescent="0.35">
      <c r="A2" s="47"/>
      <c r="B2" s="48"/>
      <c r="C2" s="49"/>
      <c r="D2" s="56"/>
      <c r="E2" s="57"/>
      <c r="F2" s="57"/>
      <c r="G2" s="57"/>
      <c r="H2" s="57"/>
      <c r="I2" s="57"/>
      <c r="J2" s="57"/>
      <c r="K2" s="58"/>
      <c r="L2" s="66" t="s">
        <v>2</v>
      </c>
      <c r="M2" s="67"/>
      <c r="N2" s="68" t="s">
        <v>3</v>
      </c>
      <c r="O2" s="69"/>
    </row>
    <row r="3" spans="1:15" ht="16.5" customHeight="1" x14ac:dyDescent="0.35">
      <c r="A3" s="47"/>
      <c r="B3" s="48"/>
      <c r="C3" s="49"/>
      <c r="D3" s="56"/>
      <c r="E3" s="57"/>
      <c r="F3" s="57"/>
      <c r="G3" s="57"/>
      <c r="H3" s="57"/>
      <c r="I3" s="57"/>
      <c r="J3" s="57"/>
      <c r="K3" s="58"/>
      <c r="L3" s="66" t="s">
        <v>4</v>
      </c>
      <c r="M3" s="67"/>
      <c r="N3" s="68" t="s">
        <v>5</v>
      </c>
      <c r="O3" s="69"/>
    </row>
    <row r="4" spans="1:15" ht="15.75" customHeight="1" thickBot="1" x14ac:dyDescent="0.4">
      <c r="A4" s="50"/>
      <c r="B4" s="51"/>
      <c r="C4" s="52"/>
      <c r="D4" s="59"/>
      <c r="E4" s="60"/>
      <c r="F4" s="60"/>
      <c r="G4" s="60"/>
      <c r="H4" s="60"/>
      <c r="I4" s="60"/>
      <c r="J4" s="60"/>
      <c r="K4" s="61"/>
      <c r="L4" s="70" t="s">
        <v>6</v>
      </c>
      <c r="M4" s="71"/>
      <c r="N4" s="72" t="s">
        <v>7</v>
      </c>
      <c r="O4" s="73"/>
    </row>
    <row r="5" spans="1:15" ht="19.899999999999999" customHeight="1" thickBot="1" x14ac:dyDescent="0.4">
      <c r="A5" s="74" t="s">
        <v>8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6"/>
    </row>
    <row r="6" spans="1:15" ht="22.15" customHeight="1" x14ac:dyDescent="0.35">
      <c r="A6" s="77" t="s">
        <v>9</v>
      </c>
      <c r="B6" s="78"/>
      <c r="C6" s="79" t="s">
        <v>63</v>
      </c>
      <c r="D6" s="79"/>
      <c r="E6" s="78" t="s">
        <v>10</v>
      </c>
      <c r="F6" s="78"/>
      <c r="G6" s="80">
        <v>46132</v>
      </c>
      <c r="H6" s="79"/>
      <c r="I6" s="78" t="s">
        <v>11</v>
      </c>
      <c r="J6" s="78"/>
      <c r="K6" s="79" t="s">
        <v>95</v>
      </c>
      <c r="L6" s="79"/>
      <c r="M6" s="78" t="s">
        <v>12</v>
      </c>
      <c r="N6" s="78"/>
      <c r="O6" s="10" t="s">
        <v>52</v>
      </c>
    </row>
    <row r="7" spans="1:15" ht="22.15" customHeight="1" x14ac:dyDescent="0.35">
      <c r="A7" s="77" t="s">
        <v>13</v>
      </c>
      <c r="B7" s="78"/>
      <c r="C7" s="79" t="s">
        <v>64</v>
      </c>
      <c r="D7" s="79"/>
      <c r="E7" s="79"/>
      <c r="F7" s="79"/>
      <c r="G7" s="79"/>
      <c r="H7" s="79"/>
      <c r="I7" s="78" t="s">
        <v>14</v>
      </c>
      <c r="J7" s="78"/>
      <c r="K7" s="83" t="s">
        <v>51</v>
      </c>
      <c r="L7" s="79"/>
      <c r="M7" s="79"/>
      <c r="N7" s="79"/>
      <c r="O7" s="84"/>
    </row>
    <row r="8" spans="1:15" ht="22.15" customHeight="1" x14ac:dyDescent="0.35">
      <c r="A8" s="77" t="s">
        <v>15</v>
      </c>
      <c r="B8" s="78"/>
      <c r="C8" s="83" t="s">
        <v>51</v>
      </c>
      <c r="D8" s="79"/>
      <c r="E8" s="79"/>
      <c r="F8" s="79"/>
      <c r="G8" s="79"/>
      <c r="H8" s="79"/>
      <c r="I8" s="78" t="s">
        <v>16</v>
      </c>
      <c r="J8" s="78"/>
      <c r="K8" s="83" t="s">
        <v>54</v>
      </c>
      <c r="L8" s="79"/>
      <c r="M8" s="78" t="s">
        <v>17</v>
      </c>
      <c r="N8" s="78"/>
      <c r="O8" s="10" t="s">
        <v>53</v>
      </c>
    </row>
    <row r="9" spans="1:15" ht="22.15" customHeight="1" x14ac:dyDescent="0.35">
      <c r="A9" s="77" t="s">
        <v>18</v>
      </c>
      <c r="B9" s="78"/>
      <c r="C9" s="79" t="s">
        <v>96</v>
      </c>
      <c r="D9" s="79"/>
      <c r="E9" s="78" t="s">
        <v>19</v>
      </c>
      <c r="F9" s="78"/>
      <c r="G9" s="83" t="s">
        <v>53</v>
      </c>
      <c r="H9" s="79"/>
      <c r="I9" s="78" t="s">
        <v>20</v>
      </c>
      <c r="J9" s="78"/>
      <c r="K9" s="79" t="s">
        <v>97</v>
      </c>
      <c r="L9" s="79"/>
      <c r="M9" s="78" t="s">
        <v>21</v>
      </c>
      <c r="N9" s="78"/>
      <c r="O9" s="2">
        <v>46167</v>
      </c>
    </row>
    <row r="10" spans="1:15" ht="22.15" customHeight="1" x14ac:dyDescent="0.35">
      <c r="A10" s="77" t="s">
        <v>22</v>
      </c>
      <c r="B10" s="78"/>
      <c r="C10" s="85" t="s">
        <v>65</v>
      </c>
      <c r="D10" s="79"/>
      <c r="E10" s="78" t="s">
        <v>23</v>
      </c>
      <c r="F10" s="78"/>
      <c r="G10" s="79"/>
      <c r="H10" s="79"/>
      <c r="I10" s="78" t="s">
        <v>24</v>
      </c>
      <c r="J10" s="78"/>
      <c r="K10" s="79"/>
      <c r="L10" s="79"/>
      <c r="M10" s="78" t="s">
        <v>25</v>
      </c>
      <c r="N10" s="78"/>
      <c r="O10" s="10" t="s">
        <v>55</v>
      </c>
    </row>
    <row r="11" spans="1:15" ht="15" thickBot="1" x14ac:dyDescent="0.4">
      <c r="A11" s="3"/>
      <c r="O11" s="4"/>
    </row>
    <row r="12" spans="1:15" ht="34.15" customHeight="1" thickBot="1" x14ac:dyDescent="0.4">
      <c r="A12" s="5" t="s">
        <v>26</v>
      </c>
      <c r="B12" s="12" t="s">
        <v>27</v>
      </c>
      <c r="C12" s="12" t="s">
        <v>28</v>
      </c>
      <c r="D12" s="12" t="s">
        <v>29</v>
      </c>
      <c r="E12" s="12" t="s">
        <v>30</v>
      </c>
      <c r="F12" s="12" t="s">
        <v>31</v>
      </c>
      <c r="G12" s="12" t="s">
        <v>32</v>
      </c>
      <c r="H12" s="12" t="s">
        <v>33</v>
      </c>
      <c r="I12" s="12" t="s">
        <v>34</v>
      </c>
      <c r="J12" s="12" t="s">
        <v>62</v>
      </c>
      <c r="K12" s="12" t="s">
        <v>60</v>
      </c>
      <c r="L12" s="12" t="s">
        <v>61</v>
      </c>
      <c r="M12" s="12" t="s">
        <v>35</v>
      </c>
      <c r="N12" s="12" t="s">
        <v>36</v>
      </c>
      <c r="O12" s="16" t="s">
        <v>37</v>
      </c>
    </row>
    <row r="13" spans="1:15" ht="21" customHeight="1" x14ac:dyDescent="0.35">
      <c r="A13" s="15">
        <v>1</v>
      </c>
      <c r="B13" s="28" t="s">
        <v>72</v>
      </c>
      <c r="C13" s="28"/>
      <c r="D13" s="28" t="s">
        <v>68</v>
      </c>
      <c r="E13" s="29">
        <v>722870900019</v>
      </c>
      <c r="F13" s="28" t="s">
        <v>69</v>
      </c>
      <c r="G13" s="30">
        <v>32</v>
      </c>
      <c r="H13" s="28" t="s">
        <v>59</v>
      </c>
      <c r="I13" s="28" t="s">
        <v>56</v>
      </c>
      <c r="J13" s="30">
        <v>4</v>
      </c>
      <c r="K13" s="30"/>
      <c r="L13" s="30"/>
      <c r="M13" s="31">
        <v>13949</v>
      </c>
      <c r="N13" s="31"/>
      <c r="O13" s="32" t="str">
        <f t="shared" ref="O13:O22" si="0">IF(COUNTA(J13:L13)=3,J13*K13*L13/1000000,"")</f>
        <v/>
      </c>
    </row>
    <row r="14" spans="1:15" ht="21" customHeight="1" x14ac:dyDescent="0.35">
      <c r="A14" s="15">
        <v>2</v>
      </c>
      <c r="B14" s="28" t="s">
        <v>94</v>
      </c>
      <c r="C14" s="28"/>
      <c r="D14" s="28" t="s">
        <v>70</v>
      </c>
      <c r="E14" s="29">
        <v>722870900019</v>
      </c>
      <c r="F14" s="28" t="s">
        <v>69</v>
      </c>
      <c r="G14" s="30">
        <v>24</v>
      </c>
      <c r="H14" s="28" t="s">
        <v>59</v>
      </c>
      <c r="I14" s="28" t="s">
        <v>56</v>
      </c>
      <c r="J14" s="30">
        <v>2</v>
      </c>
      <c r="K14" s="30"/>
      <c r="L14" s="30"/>
      <c r="M14" s="31">
        <v>5765</v>
      </c>
      <c r="N14" s="31"/>
      <c r="O14" s="32" t="str">
        <f t="shared" si="0"/>
        <v/>
      </c>
    </row>
    <row r="15" spans="1:15" ht="21" customHeight="1" x14ac:dyDescent="0.35">
      <c r="A15" s="15">
        <v>3</v>
      </c>
      <c r="B15" s="28" t="s">
        <v>73</v>
      </c>
      <c r="C15" s="28"/>
      <c r="D15" s="28" t="s">
        <v>71</v>
      </c>
      <c r="E15" s="29">
        <v>722870900019</v>
      </c>
      <c r="F15" s="28" t="s">
        <v>69</v>
      </c>
      <c r="G15" s="30">
        <v>110</v>
      </c>
      <c r="H15" s="28" t="s">
        <v>59</v>
      </c>
      <c r="I15" s="28" t="s">
        <v>56</v>
      </c>
      <c r="J15" s="30">
        <v>2</v>
      </c>
      <c r="K15" s="30"/>
      <c r="L15" s="30"/>
      <c r="M15" s="31">
        <v>3850</v>
      </c>
      <c r="N15" s="31"/>
      <c r="O15" s="32" t="str">
        <f t="shared" si="0"/>
        <v/>
      </c>
    </row>
    <row r="16" spans="1:15" ht="21" customHeight="1" x14ac:dyDescent="0.35">
      <c r="A16" s="15">
        <v>4</v>
      </c>
      <c r="B16" s="28" t="s">
        <v>74</v>
      </c>
      <c r="C16" s="28"/>
      <c r="D16" s="28" t="s">
        <v>71</v>
      </c>
      <c r="E16" s="29">
        <v>722870900019</v>
      </c>
      <c r="F16" s="28" t="s">
        <v>69</v>
      </c>
      <c r="G16" s="30">
        <v>26</v>
      </c>
      <c r="H16" s="28" t="s">
        <v>59</v>
      </c>
      <c r="I16" s="28" t="s">
        <v>56</v>
      </c>
      <c r="J16" s="30">
        <v>1</v>
      </c>
      <c r="K16" s="30"/>
      <c r="L16" s="30"/>
      <c r="M16" s="31">
        <v>976</v>
      </c>
      <c r="N16" s="31"/>
      <c r="O16" s="32" t="str">
        <f t="shared" si="0"/>
        <v/>
      </c>
    </row>
    <row r="17" spans="1:15" ht="21" customHeight="1" x14ac:dyDescent="0.35">
      <c r="A17" s="15">
        <v>5</v>
      </c>
      <c r="B17" s="14"/>
      <c r="C17" s="13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7"/>
      <c r="O17" s="18" t="str">
        <f t="shared" si="0"/>
        <v/>
      </c>
    </row>
    <row r="18" spans="1:15" ht="21" customHeight="1" x14ac:dyDescent="0.35">
      <c r="A18" s="15">
        <v>6</v>
      </c>
      <c r="B18" s="19"/>
      <c r="C18" s="13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20"/>
      <c r="O18" s="18" t="str">
        <f t="shared" si="0"/>
        <v/>
      </c>
    </row>
    <row r="19" spans="1:15" ht="21" customHeight="1" x14ac:dyDescent="0.35">
      <c r="A19" s="15">
        <v>7</v>
      </c>
      <c r="B19" s="19"/>
      <c r="C19" s="19"/>
      <c r="D19" s="19"/>
      <c r="E19" s="19"/>
      <c r="F19" s="19"/>
      <c r="G19" s="20"/>
      <c r="H19" s="19"/>
      <c r="I19" s="19"/>
      <c r="J19" s="21"/>
      <c r="K19" s="21"/>
      <c r="L19" s="21"/>
      <c r="M19" s="20"/>
      <c r="N19" s="20"/>
      <c r="O19" s="22" t="str">
        <f t="shared" si="0"/>
        <v/>
      </c>
    </row>
    <row r="20" spans="1:15" ht="21" customHeight="1" x14ac:dyDescent="0.35">
      <c r="A20" s="15">
        <v>8</v>
      </c>
      <c r="B20" s="19"/>
      <c r="C20" s="19"/>
      <c r="D20" s="19"/>
      <c r="E20" s="19"/>
      <c r="F20" s="19"/>
      <c r="G20" s="20"/>
      <c r="H20" s="19"/>
      <c r="I20" s="19"/>
      <c r="J20" s="21"/>
      <c r="K20" s="21"/>
      <c r="L20" s="21"/>
      <c r="M20" s="20"/>
      <c r="N20" s="20"/>
      <c r="O20" s="22" t="str">
        <f t="shared" si="0"/>
        <v/>
      </c>
    </row>
    <row r="21" spans="1:15" ht="21" customHeight="1" x14ac:dyDescent="0.35">
      <c r="A21" s="15">
        <v>9</v>
      </c>
      <c r="B21" s="19"/>
      <c r="C21" s="19"/>
      <c r="D21" s="19"/>
      <c r="E21" s="19"/>
      <c r="F21" s="19"/>
      <c r="G21" s="20"/>
      <c r="H21" s="19"/>
      <c r="I21" s="19"/>
      <c r="J21" s="21"/>
      <c r="K21" s="21"/>
      <c r="L21" s="21"/>
      <c r="M21" s="20"/>
      <c r="N21" s="20"/>
      <c r="O21" s="22" t="str">
        <f t="shared" si="0"/>
        <v/>
      </c>
    </row>
    <row r="22" spans="1:15" ht="21" customHeight="1" thickBot="1" x14ac:dyDescent="0.4">
      <c r="A22" s="15">
        <v>10</v>
      </c>
      <c r="B22" s="19"/>
      <c r="C22" s="19"/>
      <c r="D22" s="19"/>
      <c r="E22" s="19"/>
      <c r="F22" s="19"/>
      <c r="G22" s="20"/>
      <c r="H22" s="19"/>
      <c r="I22" s="19"/>
      <c r="J22" s="21"/>
      <c r="K22" s="21"/>
      <c r="L22" s="21"/>
      <c r="M22" s="20"/>
      <c r="N22" s="20"/>
      <c r="O22" s="22" t="str">
        <f t="shared" si="0"/>
        <v/>
      </c>
    </row>
    <row r="23" spans="1:15" ht="22.15" customHeight="1" thickBot="1" x14ac:dyDescent="0.4">
      <c r="A23" s="110" t="s">
        <v>93</v>
      </c>
      <c r="B23" s="111"/>
      <c r="C23" s="111"/>
      <c r="D23" s="111"/>
      <c r="E23" s="111"/>
      <c r="F23" s="111"/>
      <c r="G23" s="40">
        <f>SUM(G13:G22)</f>
        <v>192</v>
      </c>
      <c r="H23" s="39"/>
      <c r="I23" s="42"/>
      <c r="J23" s="39">
        <f>SUM(J13:J22)</f>
        <v>9</v>
      </c>
      <c r="K23" s="39"/>
      <c r="L23" s="39"/>
      <c r="M23" s="41">
        <f>SUM(M13:M22)</f>
        <v>24540</v>
      </c>
      <c r="N23" s="41">
        <f>SUM(N13:N22)</f>
        <v>0</v>
      </c>
      <c r="O23" s="43">
        <f>SUM(O13:O22)</f>
        <v>0</v>
      </c>
    </row>
    <row r="24" spans="1:15" x14ac:dyDescent="0.35">
      <c r="A24" s="3"/>
      <c r="O24" s="4"/>
    </row>
    <row r="25" spans="1:15" s="37" customFormat="1" ht="30.5" customHeight="1" x14ac:dyDescent="0.4">
      <c r="A25" s="86" t="s">
        <v>92</v>
      </c>
      <c r="B25" s="87"/>
      <c r="C25" s="33">
        <f>J23</f>
        <v>9</v>
      </c>
      <c r="D25" s="87" t="s">
        <v>91</v>
      </c>
      <c r="E25" s="87"/>
      <c r="F25" s="35">
        <f>G23</f>
        <v>192</v>
      </c>
      <c r="G25" s="87" t="s">
        <v>38</v>
      </c>
      <c r="H25" s="87"/>
      <c r="I25" s="34">
        <f>SUM(M13:M22)</f>
        <v>24540</v>
      </c>
      <c r="J25" s="87" t="s">
        <v>39</v>
      </c>
      <c r="K25" s="87"/>
      <c r="L25" s="35">
        <f>SUM(N13:N22)</f>
        <v>0</v>
      </c>
      <c r="M25" s="91" t="s">
        <v>40</v>
      </c>
      <c r="N25" s="91"/>
      <c r="O25" s="36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88" t="s">
        <v>41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90"/>
    </row>
    <row r="28" spans="1:15" ht="24" customHeight="1" thickBot="1" x14ac:dyDescent="0.4">
      <c r="A28" s="92" t="s">
        <v>42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90"/>
    </row>
    <row r="29" spans="1:15" ht="24" customHeight="1" thickBot="1" x14ac:dyDescent="0.4">
      <c r="A29" s="93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90"/>
    </row>
    <row r="30" spans="1:15" ht="15" thickBot="1" x14ac:dyDescent="0.4">
      <c r="A30" s="3"/>
      <c r="O30" s="4"/>
    </row>
    <row r="31" spans="1:15" ht="19.899999999999999" customHeight="1" thickBot="1" x14ac:dyDescent="0.4">
      <c r="A31" s="88" t="s">
        <v>43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90"/>
    </row>
    <row r="32" spans="1:15" ht="22.15" customHeight="1" thickBot="1" x14ac:dyDescent="0.4">
      <c r="A32" s="94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6"/>
    </row>
    <row r="33" spans="1:15" ht="19.899999999999999" customHeight="1" x14ac:dyDescent="0.35">
      <c r="A33" s="103" t="s">
        <v>44</v>
      </c>
      <c r="B33" s="104"/>
      <c r="C33" s="104"/>
      <c r="D33" s="105" t="s">
        <v>45</v>
      </c>
      <c r="E33" s="104"/>
      <c r="F33" s="104"/>
      <c r="G33" s="105" t="s">
        <v>46</v>
      </c>
      <c r="H33" s="104"/>
      <c r="I33" s="104"/>
      <c r="J33" s="105" t="s">
        <v>47</v>
      </c>
      <c r="K33" s="104"/>
      <c r="L33" s="104"/>
      <c r="M33" s="105" t="s">
        <v>48</v>
      </c>
      <c r="N33" s="104"/>
      <c r="O33" s="106"/>
    </row>
    <row r="34" spans="1:15" ht="19.899999999999999" customHeight="1" x14ac:dyDescent="0.35">
      <c r="A34" s="6"/>
      <c r="B34" s="7"/>
      <c r="C34" s="7"/>
      <c r="D34" s="8"/>
      <c r="E34" s="7"/>
      <c r="F34" s="7"/>
      <c r="G34" s="8"/>
      <c r="H34" s="7"/>
      <c r="I34" s="7"/>
      <c r="J34" s="8"/>
      <c r="K34" s="7"/>
      <c r="L34" s="7"/>
      <c r="M34" s="8"/>
      <c r="N34" s="7"/>
      <c r="O34" s="9"/>
    </row>
    <row r="35" spans="1:15" ht="19.899999999999999" customHeight="1" x14ac:dyDescent="0.35">
      <c r="A35" s="6"/>
      <c r="B35" s="7"/>
      <c r="C35" s="7"/>
      <c r="D35" s="8"/>
      <c r="E35" s="7"/>
      <c r="F35" s="7"/>
      <c r="G35" s="8"/>
      <c r="H35" s="7"/>
      <c r="I35" s="7"/>
      <c r="J35" s="8"/>
      <c r="K35" s="7"/>
      <c r="L35" s="7"/>
      <c r="M35" s="8"/>
      <c r="N35" s="7"/>
      <c r="O35" s="9"/>
    </row>
    <row r="36" spans="1:15" ht="19.899999999999999" customHeight="1" thickBot="1" x14ac:dyDescent="0.4">
      <c r="A36" s="6"/>
      <c r="B36" s="7"/>
      <c r="C36" s="7"/>
      <c r="D36" s="8"/>
      <c r="E36" s="7"/>
      <c r="F36" s="7"/>
      <c r="G36" s="8"/>
      <c r="H36" s="7"/>
      <c r="I36" s="7"/>
      <c r="J36" s="8"/>
      <c r="K36" s="7"/>
      <c r="L36" s="7"/>
      <c r="M36" s="8"/>
      <c r="N36" s="7"/>
      <c r="O36" s="9"/>
    </row>
    <row r="37" spans="1:15" ht="18.5" x14ac:dyDescent="0.35">
      <c r="A37" s="107" t="s">
        <v>49</v>
      </c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9"/>
    </row>
    <row r="38" spans="1:15" ht="14.5" customHeight="1" x14ac:dyDescent="0.35">
      <c r="A38" s="97" t="s">
        <v>50</v>
      </c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9"/>
    </row>
    <row r="39" spans="1:15" ht="15" thickBot="1" x14ac:dyDescent="0.4">
      <c r="A39" s="100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2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scale="48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D6FE6-24F1-4D41-9937-004ACEDF3906}">
  <sheetPr>
    <tabColor theme="9" tint="0.79998168889431442"/>
  </sheetPr>
  <dimension ref="A1:O39"/>
  <sheetViews>
    <sheetView showGridLines="0" view="pageBreakPreview" topLeftCell="A5" zoomScale="70" zoomScaleNormal="70" zoomScaleSheetLayoutView="70" workbookViewId="0">
      <selection activeCell="O10" sqref="O10"/>
    </sheetView>
  </sheetViews>
  <sheetFormatPr defaultColWidth="8.7265625" defaultRowHeight="14.5" x14ac:dyDescent="0.35"/>
  <cols>
    <col min="1" max="1" width="8" style="1" customWidth="1"/>
    <col min="2" max="2" width="13" style="1" customWidth="1"/>
    <col min="3" max="3" width="11.7265625" style="1" bestFit="1" customWidth="1"/>
    <col min="4" max="4" width="26.453125" style="1" customWidth="1"/>
    <col min="5" max="5" width="17.81640625" style="1" customWidth="1"/>
    <col min="6" max="6" width="9.26953125" style="1" bestFit="1" customWidth="1"/>
    <col min="7" max="8" width="8" style="1" customWidth="1"/>
    <col min="9" max="9" width="13.1796875" style="1" bestFit="1" customWidth="1"/>
    <col min="10" max="10" width="7.81640625" style="1" customWidth="1"/>
    <col min="11" max="11" width="8.26953125" style="1" customWidth="1"/>
    <col min="12" max="12" width="8.453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44" t="e" vm="1">
        <v>#VALUE!</v>
      </c>
      <c r="B1" s="45"/>
      <c r="C1" s="46"/>
      <c r="D1" s="53" t="s">
        <v>0</v>
      </c>
      <c r="E1" s="54"/>
      <c r="F1" s="54"/>
      <c r="G1" s="54"/>
      <c r="H1" s="54"/>
      <c r="I1" s="54"/>
      <c r="J1" s="54"/>
      <c r="K1" s="55"/>
      <c r="L1" s="62" t="s">
        <v>1</v>
      </c>
      <c r="M1" s="63"/>
      <c r="N1" s="64">
        <v>46098</v>
      </c>
      <c r="O1" s="65"/>
    </row>
    <row r="2" spans="1:15" ht="18" customHeight="1" x14ac:dyDescent="0.35">
      <c r="A2" s="47"/>
      <c r="B2" s="48"/>
      <c r="C2" s="49"/>
      <c r="D2" s="56"/>
      <c r="E2" s="57"/>
      <c r="F2" s="57"/>
      <c r="G2" s="57"/>
      <c r="H2" s="57"/>
      <c r="I2" s="57"/>
      <c r="J2" s="57"/>
      <c r="K2" s="58"/>
      <c r="L2" s="66" t="s">
        <v>2</v>
      </c>
      <c r="M2" s="67"/>
      <c r="N2" s="68" t="s">
        <v>3</v>
      </c>
      <c r="O2" s="69"/>
    </row>
    <row r="3" spans="1:15" ht="16.5" customHeight="1" x14ac:dyDescent="0.35">
      <c r="A3" s="47"/>
      <c r="B3" s="48"/>
      <c r="C3" s="49"/>
      <c r="D3" s="56"/>
      <c r="E3" s="57"/>
      <c r="F3" s="57"/>
      <c r="G3" s="57"/>
      <c r="H3" s="57"/>
      <c r="I3" s="57"/>
      <c r="J3" s="57"/>
      <c r="K3" s="58"/>
      <c r="L3" s="66" t="s">
        <v>4</v>
      </c>
      <c r="M3" s="67"/>
      <c r="N3" s="68" t="s">
        <v>5</v>
      </c>
      <c r="O3" s="69"/>
    </row>
    <row r="4" spans="1:15" ht="15.75" customHeight="1" thickBot="1" x14ac:dyDescent="0.4">
      <c r="A4" s="50"/>
      <c r="B4" s="51"/>
      <c r="C4" s="52"/>
      <c r="D4" s="59"/>
      <c r="E4" s="60"/>
      <c r="F4" s="60"/>
      <c r="G4" s="60"/>
      <c r="H4" s="60"/>
      <c r="I4" s="60"/>
      <c r="J4" s="60"/>
      <c r="K4" s="61"/>
      <c r="L4" s="70" t="s">
        <v>6</v>
      </c>
      <c r="M4" s="71"/>
      <c r="N4" s="72" t="s">
        <v>7</v>
      </c>
      <c r="O4" s="73"/>
    </row>
    <row r="5" spans="1:15" ht="19.899999999999999" customHeight="1" thickBot="1" x14ac:dyDescent="0.4">
      <c r="A5" s="74" t="s">
        <v>8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6"/>
    </row>
    <row r="6" spans="1:15" ht="22.15" customHeight="1" x14ac:dyDescent="0.35">
      <c r="A6" s="77" t="s">
        <v>9</v>
      </c>
      <c r="B6" s="78"/>
      <c r="C6" s="79" t="s">
        <v>63</v>
      </c>
      <c r="D6" s="79"/>
      <c r="E6" s="78" t="s">
        <v>10</v>
      </c>
      <c r="F6" s="78"/>
      <c r="G6" s="80">
        <v>46132</v>
      </c>
      <c r="H6" s="79"/>
      <c r="I6" s="78" t="s">
        <v>11</v>
      </c>
      <c r="J6" s="78"/>
      <c r="K6" s="79" t="s">
        <v>95</v>
      </c>
      <c r="L6" s="79"/>
      <c r="M6" s="78" t="s">
        <v>12</v>
      </c>
      <c r="N6" s="78"/>
      <c r="O6" s="10" t="s">
        <v>52</v>
      </c>
    </row>
    <row r="7" spans="1:15" ht="22.15" customHeight="1" x14ac:dyDescent="0.35">
      <c r="A7" s="77" t="s">
        <v>13</v>
      </c>
      <c r="B7" s="78"/>
      <c r="C7" s="79" t="s">
        <v>64</v>
      </c>
      <c r="D7" s="79"/>
      <c r="E7" s="79"/>
      <c r="F7" s="79"/>
      <c r="G7" s="79"/>
      <c r="H7" s="79"/>
      <c r="I7" s="78" t="s">
        <v>14</v>
      </c>
      <c r="J7" s="78"/>
      <c r="K7" s="83" t="s">
        <v>51</v>
      </c>
      <c r="L7" s="79"/>
      <c r="M7" s="79"/>
      <c r="N7" s="79"/>
      <c r="O7" s="84"/>
    </row>
    <row r="8" spans="1:15" ht="22.15" customHeight="1" x14ac:dyDescent="0.35">
      <c r="A8" s="77" t="s">
        <v>15</v>
      </c>
      <c r="B8" s="78"/>
      <c r="C8" s="83" t="s">
        <v>51</v>
      </c>
      <c r="D8" s="79"/>
      <c r="E8" s="79"/>
      <c r="F8" s="79"/>
      <c r="G8" s="79"/>
      <c r="H8" s="79"/>
      <c r="I8" s="78" t="s">
        <v>16</v>
      </c>
      <c r="J8" s="78"/>
      <c r="K8" s="83" t="s">
        <v>54</v>
      </c>
      <c r="L8" s="79"/>
      <c r="M8" s="78" t="s">
        <v>17</v>
      </c>
      <c r="N8" s="78"/>
      <c r="O8" s="10" t="s">
        <v>53</v>
      </c>
    </row>
    <row r="9" spans="1:15" ht="22.15" customHeight="1" x14ac:dyDescent="0.35">
      <c r="A9" s="77" t="s">
        <v>18</v>
      </c>
      <c r="B9" s="78"/>
      <c r="C9" s="79" t="s">
        <v>96</v>
      </c>
      <c r="D9" s="79"/>
      <c r="E9" s="78" t="s">
        <v>19</v>
      </c>
      <c r="F9" s="78"/>
      <c r="G9" s="83" t="s">
        <v>53</v>
      </c>
      <c r="H9" s="79"/>
      <c r="I9" s="78" t="s">
        <v>20</v>
      </c>
      <c r="J9" s="78"/>
      <c r="K9" s="79" t="s">
        <v>97</v>
      </c>
      <c r="L9" s="79"/>
      <c r="M9" s="78" t="s">
        <v>21</v>
      </c>
      <c r="N9" s="78"/>
      <c r="O9" s="2">
        <v>46167</v>
      </c>
    </row>
    <row r="10" spans="1:15" ht="22.15" customHeight="1" x14ac:dyDescent="0.35">
      <c r="A10" s="77" t="s">
        <v>22</v>
      </c>
      <c r="B10" s="78"/>
      <c r="C10" s="85" t="s">
        <v>66</v>
      </c>
      <c r="D10" s="79"/>
      <c r="E10" s="78" t="s">
        <v>23</v>
      </c>
      <c r="F10" s="78"/>
      <c r="G10" s="79"/>
      <c r="H10" s="79"/>
      <c r="I10" s="78" t="s">
        <v>24</v>
      </c>
      <c r="J10" s="78"/>
      <c r="K10" s="79"/>
      <c r="L10" s="79"/>
      <c r="M10" s="78" t="s">
        <v>25</v>
      </c>
      <c r="N10" s="78"/>
      <c r="O10" s="10" t="s">
        <v>55</v>
      </c>
    </row>
    <row r="11" spans="1:15" ht="15" thickBot="1" x14ac:dyDescent="0.4">
      <c r="A11" s="3"/>
      <c r="O11" s="4"/>
    </row>
    <row r="12" spans="1:15" ht="34.15" customHeight="1" thickBot="1" x14ac:dyDescent="0.4">
      <c r="A12" s="5" t="s">
        <v>26</v>
      </c>
      <c r="B12" s="12" t="s">
        <v>27</v>
      </c>
      <c r="C12" s="12" t="s">
        <v>28</v>
      </c>
      <c r="D12" s="12" t="s">
        <v>29</v>
      </c>
      <c r="E12" s="12" t="s">
        <v>30</v>
      </c>
      <c r="F12" s="12" t="s">
        <v>31</v>
      </c>
      <c r="G12" s="12" t="s">
        <v>32</v>
      </c>
      <c r="H12" s="12" t="s">
        <v>33</v>
      </c>
      <c r="I12" s="12" t="s">
        <v>34</v>
      </c>
      <c r="J12" s="12" t="s">
        <v>62</v>
      </c>
      <c r="K12" s="12" t="s">
        <v>60</v>
      </c>
      <c r="L12" s="12" t="s">
        <v>61</v>
      </c>
      <c r="M12" s="12" t="s">
        <v>35</v>
      </c>
      <c r="N12" s="12" t="s">
        <v>36</v>
      </c>
      <c r="O12" s="16" t="s">
        <v>37</v>
      </c>
    </row>
    <row r="13" spans="1:15" ht="21" customHeight="1" x14ac:dyDescent="0.35">
      <c r="A13" s="15">
        <v>1</v>
      </c>
      <c r="B13" s="28" t="s">
        <v>88</v>
      </c>
      <c r="C13" s="28"/>
      <c r="D13" s="28" t="s">
        <v>68</v>
      </c>
      <c r="E13" s="29">
        <v>722870900019</v>
      </c>
      <c r="F13" s="28" t="s">
        <v>69</v>
      </c>
      <c r="G13" s="30">
        <v>8</v>
      </c>
      <c r="H13" s="28" t="s">
        <v>59</v>
      </c>
      <c r="I13" s="28" t="s">
        <v>56</v>
      </c>
      <c r="J13" s="30">
        <v>1</v>
      </c>
      <c r="K13" s="30"/>
      <c r="L13" s="30"/>
      <c r="M13" s="31">
        <v>3523</v>
      </c>
      <c r="N13" s="31"/>
      <c r="O13" s="32" t="str">
        <f t="shared" ref="O13:O22" si="0">IF(COUNTA(J13:L13)=3,J13*K13*L13/1000000,"")</f>
        <v/>
      </c>
    </row>
    <row r="14" spans="1:15" ht="21" customHeight="1" x14ac:dyDescent="0.35">
      <c r="A14" s="15">
        <v>2</v>
      </c>
      <c r="B14" s="28" t="s">
        <v>89</v>
      </c>
      <c r="C14" s="28"/>
      <c r="D14" s="28" t="s">
        <v>70</v>
      </c>
      <c r="E14" s="29">
        <v>722870900019</v>
      </c>
      <c r="F14" s="28" t="s">
        <v>69</v>
      </c>
      <c r="G14" s="30">
        <v>6</v>
      </c>
      <c r="H14" s="28" t="s">
        <v>59</v>
      </c>
      <c r="I14" s="28" t="s">
        <v>56</v>
      </c>
      <c r="J14" s="30">
        <v>1</v>
      </c>
      <c r="K14" s="30"/>
      <c r="L14" s="30"/>
      <c r="M14" s="31">
        <v>948</v>
      </c>
      <c r="N14" s="31"/>
      <c r="O14" s="32" t="str">
        <f t="shared" si="0"/>
        <v/>
      </c>
    </row>
    <row r="15" spans="1:15" ht="21" customHeight="1" x14ac:dyDescent="0.35">
      <c r="A15" s="15">
        <v>3</v>
      </c>
      <c r="B15" s="28" t="s">
        <v>75</v>
      </c>
      <c r="C15" s="28"/>
      <c r="D15" s="28" t="s">
        <v>78</v>
      </c>
      <c r="E15" s="29">
        <v>722870900019</v>
      </c>
      <c r="F15" s="28" t="s">
        <v>69</v>
      </c>
      <c r="G15" s="30">
        <v>840</v>
      </c>
      <c r="H15" s="28" t="s">
        <v>59</v>
      </c>
      <c r="I15" s="28" t="s">
        <v>56</v>
      </c>
      <c r="J15" s="30">
        <v>2</v>
      </c>
      <c r="K15" s="30"/>
      <c r="L15" s="30"/>
      <c r="M15" s="31">
        <v>3514</v>
      </c>
      <c r="N15" s="31"/>
      <c r="O15" s="32" t="str">
        <f t="shared" si="0"/>
        <v/>
      </c>
    </row>
    <row r="16" spans="1:15" ht="21" customHeight="1" x14ac:dyDescent="0.35">
      <c r="A16" s="15">
        <v>4</v>
      </c>
      <c r="B16" s="28" t="s">
        <v>76</v>
      </c>
      <c r="C16" s="28"/>
      <c r="D16" s="28" t="s">
        <v>80</v>
      </c>
      <c r="E16" s="29">
        <v>722870900019</v>
      </c>
      <c r="F16" s="28" t="s">
        <v>69</v>
      </c>
      <c r="G16" s="30">
        <v>600</v>
      </c>
      <c r="H16" s="28" t="s">
        <v>59</v>
      </c>
      <c r="I16" s="28" t="s">
        <v>56</v>
      </c>
      <c r="J16" s="30">
        <v>7</v>
      </c>
      <c r="K16" s="30"/>
      <c r="L16" s="30"/>
      <c r="M16" s="31">
        <v>10800</v>
      </c>
      <c r="N16" s="31"/>
      <c r="O16" s="32" t="str">
        <f t="shared" si="0"/>
        <v/>
      </c>
    </row>
    <row r="17" spans="1:15" ht="21" customHeight="1" x14ac:dyDescent="0.35">
      <c r="A17" s="15">
        <v>5</v>
      </c>
      <c r="B17" s="28" t="s">
        <v>77</v>
      </c>
      <c r="C17" s="28"/>
      <c r="D17" s="28" t="s">
        <v>82</v>
      </c>
      <c r="E17" s="29">
        <v>722870900019</v>
      </c>
      <c r="F17" s="28" t="s">
        <v>69</v>
      </c>
      <c r="G17" s="30">
        <v>162</v>
      </c>
      <c r="H17" s="28" t="s">
        <v>59</v>
      </c>
      <c r="I17" s="28" t="s">
        <v>56</v>
      </c>
      <c r="J17" s="30">
        <v>1</v>
      </c>
      <c r="K17" s="30"/>
      <c r="L17" s="30"/>
      <c r="M17" s="31">
        <v>1338</v>
      </c>
      <c r="N17" s="31"/>
      <c r="O17" s="32" t="str">
        <f t="shared" si="0"/>
        <v/>
      </c>
    </row>
    <row r="18" spans="1:15" ht="21" customHeight="1" x14ac:dyDescent="0.35">
      <c r="A18" s="15">
        <v>6</v>
      </c>
      <c r="B18" s="28" t="s">
        <v>79</v>
      </c>
      <c r="C18" s="28"/>
      <c r="D18" s="28" t="s">
        <v>82</v>
      </c>
      <c r="E18" s="29">
        <v>722870900019</v>
      </c>
      <c r="F18" s="28" t="s">
        <v>69</v>
      </c>
      <c r="G18" s="30">
        <v>38</v>
      </c>
      <c r="H18" s="28" t="s">
        <v>59</v>
      </c>
      <c r="I18" s="28" t="s">
        <v>56</v>
      </c>
      <c r="J18" s="30">
        <v>1</v>
      </c>
      <c r="K18" s="30"/>
      <c r="L18" s="30"/>
      <c r="M18" s="31">
        <v>411</v>
      </c>
      <c r="N18" s="31"/>
      <c r="O18" s="32" t="str">
        <f t="shared" si="0"/>
        <v/>
      </c>
    </row>
    <row r="19" spans="1:15" ht="21" customHeight="1" x14ac:dyDescent="0.35">
      <c r="A19" s="15">
        <v>7</v>
      </c>
      <c r="B19" s="28" t="s">
        <v>81</v>
      </c>
      <c r="C19" s="28"/>
      <c r="D19" s="28" t="s">
        <v>85</v>
      </c>
      <c r="E19" s="29">
        <v>722870900019</v>
      </c>
      <c r="F19" s="28" t="s">
        <v>69</v>
      </c>
      <c r="G19" s="30">
        <v>96</v>
      </c>
      <c r="H19" s="28" t="s">
        <v>59</v>
      </c>
      <c r="I19" s="28" t="s">
        <v>56</v>
      </c>
      <c r="J19" s="30">
        <v>1</v>
      </c>
      <c r="K19" s="30"/>
      <c r="L19" s="30"/>
      <c r="M19" s="31">
        <v>1126</v>
      </c>
      <c r="N19" s="31"/>
      <c r="O19" s="32" t="str">
        <f t="shared" si="0"/>
        <v/>
      </c>
    </row>
    <row r="20" spans="1:15" ht="21" customHeight="1" x14ac:dyDescent="0.35">
      <c r="A20" s="15">
        <v>8</v>
      </c>
      <c r="B20" s="28" t="s">
        <v>83</v>
      </c>
      <c r="C20" s="28"/>
      <c r="D20" s="28" t="s">
        <v>86</v>
      </c>
      <c r="E20" s="29">
        <v>722870900019</v>
      </c>
      <c r="F20" s="28" t="s">
        <v>69</v>
      </c>
      <c r="G20" s="30">
        <v>40</v>
      </c>
      <c r="H20" s="28" t="s">
        <v>59</v>
      </c>
      <c r="I20" s="28" t="s">
        <v>56</v>
      </c>
      <c r="J20" s="30">
        <v>1</v>
      </c>
      <c r="K20" s="30"/>
      <c r="L20" s="30"/>
      <c r="M20" s="31">
        <v>912</v>
      </c>
      <c r="N20" s="31"/>
      <c r="O20" s="32" t="str">
        <f t="shared" si="0"/>
        <v/>
      </c>
    </row>
    <row r="21" spans="1:15" ht="21" customHeight="1" x14ac:dyDescent="0.35">
      <c r="A21" s="15">
        <v>9</v>
      </c>
      <c r="B21" s="28" t="s">
        <v>84</v>
      </c>
      <c r="C21" s="28"/>
      <c r="D21" s="28" t="s">
        <v>87</v>
      </c>
      <c r="E21" s="29">
        <v>722870900019</v>
      </c>
      <c r="F21" s="28" t="s">
        <v>69</v>
      </c>
      <c r="G21" s="30">
        <v>60</v>
      </c>
      <c r="H21" s="28" t="s">
        <v>59</v>
      </c>
      <c r="I21" s="28" t="s">
        <v>56</v>
      </c>
      <c r="J21" s="30">
        <v>1</v>
      </c>
      <c r="K21" s="30"/>
      <c r="L21" s="30"/>
      <c r="M21" s="31">
        <v>1408</v>
      </c>
      <c r="N21" s="31"/>
      <c r="O21" s="32" t="str">
        <f t="shared" si="0"/>
        <v/>
      </c>
    </row>
    <row r="22" spans="1:15" ht="21" customHeight="1" thickBot="1" x14ac:dyDescent="0.4">
      <c r="A22" s="15">
        <v>10</v>
      </c>
      <c r="B22" s="19"/>
      <c r="C22" s="19"/>
      <c r="D22" s="19"/>
      <c r="E22" s="19"/>
      <c r="F22" s="19"/>
      <c r="G22" s="20"/>
      <c r="H22" s="19"/>
      <c r="I22" s="19"/>
      <c r="J22" s="21"/>
      <c r="K22" s="21"/>
      <c r="L22" s="21"/>
      <c r="M22" s="20"/>
      <c r="N22" s="20"/>
      <c r="O22" s="22" t="str">
        <f t="shared" si="0"/>
        <v/>
      </c>
    </row>
    <row r="23" spans="1:15" ht="22.15" customHeight="1" thickBot="1" x14ac:dyDescent="0.4">
      <c r="A23" s="81" t="s">
        <v>93</v>
      </c>
      <c r="B23" s="82"/>
      <c r="C23" s="82"/>
      <c r="D23" s="82"/>
      <c r="E23" s="82"/>
      <c r="F23" s="82"/>
      <c r="G23" s="40">
        <f>SUM(G13:G22)</f>
        <v>1850</v>
      </c>
      <c r="H23" s="39"/>
      <c r="I23" s="42"/>
      <c r="J23" s="40">
        <f>SUM(J13:J22)</f>
        <v>16</v>
      </c>
      <c r="K23" s="39"/>
      <c r="L23" s="39"/>
      <c r="M23" s="41">
        <f>SUM(M13:M22)</f>
        <v>23980</v>
      </c>
      <c r="N23" s="41">
        <f>SUM(N13:N22)</f>
        <v>0</v>
      </c>
      <c r="O23" s="43">
        <f>SUM(O13:O22)</f>
        <v>0</v>
      </c>
    </row>
    <row r="24" spans="1:15" x14ac:dyDescent="0.35">
      <c r="A24" s="3"/>
      <c r="O24" s="4"/>
    </row>
    <row r="25" spans="1:15" s="37" customFormat="1" ht="30.5" customHeight="1" x14ac:dyDescent="0.4">
      <c r="A25" s="86" t="s">
        <v>92</v>
      </c>
      <c r="B25" s="87"/>
      <c r="C25" s="38">
        <f>J23</f>
        <v>16</v>
      </c>
      <c r="D25" s="87" t="s">
        <v>91</v>
      </c>
      <c r="E25" s="87"/>
      <c r="F25" s="38">
        <f>G23</f>
        <v>1850</v>
      </c>
      <c r="G25" s="87" t="s">
        <v>38</v>
      </c>
      <c r="H25" s="87"/>
      <c r="I25" s="34">
        <f>M23</f>
        <v>23980</v>
      </c>
      <c r="J25" s="87" t="s">
        <v>39</v>
      </c>
      <c r="K25" s="87"/>
      <c r="L25" s="35">
        <f>SUM(N13:N22)</f>
        <v>0</v>
      </c>
      <c r="M25" s="91" t="s">
        <v>40</v>
      </c>
      <c r="N25" s="91"/>
      <c r="O25" s="36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88" t="s">
        <v>41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90"/>
    </row>
    <row r="28" spans="1:15" ht="24" customHeight="1" thickBot="1" x14ac:dyDescent="0.4">
      <c r="A28" s="92" t="s">
        <v>42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90"/>
    </row>
    <row r="29" spans="1:15" ht="24" customHeight="1" thickBot="1" x14ac:dyDescent="0.4">
      <c r="A29" s="93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90"/>
    </row>
    <row r="30" spans="1:15" ht="15" thickBot="1" x14ac:dyDescent="0.4">
      <c r="A30" s="3"/>
      <c r="O30" s="4"/>
    </row>
    <row r="31" spans="1:15" ht="19.899999999999999" customHeight="1" thickBot="1" x14ac:dyDescent="0.4">
      <c r="A31" s="88" t="s">
        <v>43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90"/>
    </row>
    <row r="32" spans="1:15" ht="22.15" customHeight="1" thickBot="1" x14ac:dyDescent="0.4">
      <c r="A32" s="94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6"/>
    </row>
    <row r="33" spans="1:15" ht="19.899999999999999" customHeight="1" x14ac:dyDescent="0.35">
      <c r="A33" s="103" t="s">
        <v>44</v>
      </c>
      <c r="B33" s="104"/>
      <c r="C33" s="104"/>
      <c r="D33" s="105" t="s">
        <v>45</v>
      </c>
      <c r="E33" s="104"/>
      <c r="F33" s="104"/>
      <c r="G33" s="105" t="s">
        <v>46</v>
      </c>
      <c r="H33" s="104"/>
      <c r="I33" s="104"/>
      <c r="J33" s="105" t="s">
        <v>47</v>
      </c>
      <c r="K33" s="104"/>
      <c r="L33" s="104"/>
      <c r="M33" s="105" t="s">
        <v>48</v>
      </c>
      <c r="N33" s="104"/>
      <c r="O33" s="106"/>
    </row>
    <row r="34" spans="1:15" ht="19.899999999999999" customHeight="1" x14ac:dyDescent="0.35">
      <c r="A34" s="6"/>
      <c r="B34" s="7"/>
      <c r="C34" s="7"/>
      <c r="D34" s="8"/>
      <c r="E34" s="7"/>
      <c r="F34" s="7"/>
      <c r="G34" s="8"/>
      <c r="H34" s="7"/>
      <c r="I34" s="7"/>
      <c r="J34" s="8"/>
      <c r="K34" s="7"/>
      <c r="L34" s="7"/>
      <c r="M34" s="8"/>
      <c r="N34" s="7"/>
      <c r="O34" s="9"/>
    </row>
    <row r="35" spans="1:15" ht="19.899999999999999" customHeight="1" x14ac:dyDescent="0.35">
      <c r="A35" s="6"/>
      <c r="B35" s="7"/>
      <c r="C35" s="7"/>
      <c r="D35" s="8"/>
      <c r="E35" s="7"/>
      <c r="F35" s="7"/>
      <c r="G35" s="8"/>
      <c r="H35" s="7"/>
      <c r="I35" s="7"/>
      <c r="J35" s="8"/>
      <c r="K35" s="7"/>
      <c r="L35" s="7"/>
      <c r="M35" s="8"/>
      <c r="N35" s="7"/>
      <c r="O35" s="9"/>
    </row>
    <row r="36" spans="1:15" ht="19.899999999999999" customHeight="1" thickBot="1" x14ac:dyDescent="0.4">
      <c r="A36" s="6"/>
      <c r="B36" s="7"/>
      <c r="C36" s="7"/>
      <c r="D36" s="8"/>
      <c r="E36" s="7"/>
      <c r="F36" s="7"/>
      <c r="G36" s="8"/>
      <c r="H36" s="7"/>
      <c r="I36" s="7"/>
      <c r="J36" s="8"/>
      <c r="K36" s="7"/>
      <c r="L36" s="7"/>
      <c r="M36" s="8"/>
      <c r="N36" s="7"/>
      <c r="O36" s="9"/>
    </row>
    <row r="37" spans="1:15" ht="18.5" x14ac:dyDescent="0.35">
      <c r="A37" s="107" t="s">
        <v>49</v>
      </c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9"/>
    </row>
    <row r="38" spans="1:15" ht="14.5" customHeight="1" x14ac:dyDescent="0.35">
      <c r="A38" s="97" t="s">
        <v>50</v>
      </c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9"/>
    </row>
    <row r="39" spans="1:15" ht="15" thickBot="1" x14ac:dyDescent="0.4">
      <c r="A39" s="100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2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honeticPr fontId="19" type="noConversion"/>
  <pageMargins left="0.7" right="0.7" top="0.75" bottom="0.75" header="0.3" footer="0.3"/>
  <pageSetup paperSize="9" scale="48" orientation="portrait" r:id="rId1"/>
  <ignoredErrors>
    <ignoredError sqref="O13:O18" formulaRange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2B18-BE7B-4540-968D-D921B98C65E0}">
  <sheetPr>
    <tabColor theme="9" tint="0.79998168889431442"/>
  </sheetPr>
  <dimension ref="A1:O39"/>
  <sheetViews>
    <sheetView showGridLines="0" tabSelected="1" view="pageBreakPreview" topLeftCell="A5" zoomScale="70" zoomScaleNormal="70" zoomScaleSheetLayoutView="70" workbookViewId="0">
      <selection activeCell="C6" sqref="C6:D6"/>
    </sheetView>
  </sheetViews>
  <sheetFormatPr defaultColWidth="8.7265625" defaultRowHeight="14.5" x14ac:dyDescent="0.35"/>
  <cols>
    <col min="1" max="1" width="8" style="1" customWidth="1"/>
    <col min="2" max="2" width="13" style="1" customWidth="1"/>
    <col min="3" max="3" width="11.7265625" style="1" bestFit="1" customWidth="1"/>
    <col min="4" max="4" width="26.453125" style="1" customWidth="1"/>
    <col min="5" max="5" width="15.7265625" style="1" bestFit="1" customWidth="1"/>
    <col min="6" max="6" width="6.54296875" style="1" bestFit="1" customWidth="1"/>
    <col min="7" max="8" width="8" style="1" customWidth="1"/>
    <col min="9" max="9" width="13.1796875" style="1" bestFit="1" customWidth="1"/>
    <col min="10" max="10" width="7.81640625" style="1" customWidth="1"/>
    <col min="11" max="11" width="8.26953125" style="1" customWidth="1"/>
    <col min="12" max="12" width="8.453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44" t="e" vm="1">
        <v>#VALUE!</v>
      </c>
      <c r="B1" s="45"/>
      <c r="C1" s="46"/>
      <c r="D1" s="53" t="s">
        <v>0</v>
      </c>
      <c r="E1" s="54"/>
      <c r="F1" s="54"/>
      <c r="G1" s="54"/>
      <c r="H1" s="54"/>
      <c r="I1" s="54"/>
      <c r="J1" s="54"/>
      <c r="K1" s="55"/>
      <c r="L1" s="62" t="s">
        <v>1</v>
      </c>
      <c r="M1" s="63"/>
      <c r="N1" s="64">
        <v>46098</v>
      </c>
      <c r="O1" s="65"/>
    </row>
    <row r="2" spans="1:15" ht="18" customHeight="1" x14ac:dyDescent="0.35">
      <c r="A2" s="47"/>
      <c r="B2" s="48"/>
      <c r="C2" s="49"/>
      <c r="D2" s="56"/>
      <c r="E2" s="57"/>
      <c r="F2" s="57"/>
      <c r="G2" s="57"/>
      <c r="H2" s="57"/>
      <c r="I2" s="57"/>
      <c r="J2" s="57"/>
      <c r="K2" s="58"/>
      <c r="L2" s="66" t="s">
        <v>2</v>
      </c>
      <c r="M2" s="67"/>
      <c r="N2" s="68" t="s">
        <v>3</v>
      </c>
      <c r="O2" s="69"/>
    </row>
    <row r="3" spans="1:15" ht="16.5" customHeight="1" x14ac:dyDescent="0.35">
      <c r="A3" s="47"/>
      <c r="B3" s="48"/>
      <c r="C3" s="49"/>
      <c r="D3" s="56"/>
      <c r="E3" s="57"/>
      <c r="F3" s="57"/>
      <c r="G3" s="57"/>
      <c r="H3" s="57"/>
      <c r="I3" s="57"/>
      <c r="J3" s="57"/>
      <c r="K3" s="58"/>
      <c r="L3" s="66" t="s">
        <v>4</v>
      </c>
      <c r="M3" s="67"/>
      <c r="N3" s="68" t="s">
        <v>5</v>
      </c>
      <c r="O3" s="69"/>
    </row>
    <row r="4" spans="1:15" ht="15.75" customHeight="1" thickBot="1" x14ac:dyDescent="0.4">
      <c r="A4" s="50"/>
      <c r="B4" s="51"/>
      <c r="C4" s="52"/>
      <c r="D4" s="59"/>
      <c r="E4" s="60"/>
      <c r="F4" s="60"/>
      <c r="G4" s="60"/>
      <c r="H4" s="60"/>
      <c r="I4" s="60"/>
      <c r="J4" s="60"/>
      <c r="K4" s="61"/>
      <c r="L4" s="70" t="s">
        <v>6</v>
      </c>
      <c r="M4" s="71"/>
      <c r="N4" s="72" t="s">
        <v>7</v>
      </c>
      <c r="O4" s="73"/>
    </row>
    <row r="5" spans="1:15" ht="19.899999999999999" customHeight="1" thickBot="1" x14ac:dyDescent="0.4">
      <c r="A5" s="74" t="s">
        <v>8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6"/>
    </row>
    <row r="6" spans="1:15" ht="22.15" customHeight="1" x14ac:dyDescent="0.35">
      <c r="A6" s="77" t="s">
        <v>9</v>
      </c>
      <c r="B6" s="78"/>
      <c r="C6" s="79" t="s">
        <v>63</v>
      </c>
      <c r="D6" s="79"/>
      <c r="E6" s="78" t="s">
        <v>10</v>
      </c>
      <c r="F6" s="78"/>
      <c r="G6" s="80">
        <v>46132</v>
      </c>
      <c r="H6" s="79"/>
      <c r="I6" s="78" t="s">
        <v>11</v>
      </c>
      <c r="J6" s="78"/>
      <c r="K6" s="79" t="s">
        <v>95</v>
      </c>
      <c r="L6" s="79"/>
      <c r="M6" s="78" t="s">
        <v>12</v>
      </c>
      <c r="N6" s="78"/>
      <c r="O6" s="10" t="s">
        <v>52</v>
      </c>
    </row>
    <row r="7" spans="1:15" ht="22.15" customHeight="1" x14ac:dyDescent="0.35">
      <c r="A7" s="77" t="s">
        <v>13</v>
      </c>
      <c r="B7" s="78"/>
      <c r="C7" s="79" t="s">
        <v>64</v>
      </c>
      <c r="D7" s="79"/>
      <c r="E7" s="79"/>
      <c r="F7" s="79"/>
      <c r="G7" s="79"/>
      <c r="H7" s="79"/>
      <c r="I7" s="78" t="s">
        <v>14</v>
      </c>
      <c r="J7" s="78"/>
      <c r="K7" s="83" t="s">
        <v>51</v>
      </c>
      <c r="L7" s="79"/>
      <c r="M7" s="79"/>
      <c r="N7" s="79"/>
      <c r="O7" s="84"/>
    </row>
    <row r="8" spans="1:15" ht="22.15" customHeight="1" x14ac:dyDescent="0.35">
      <c r="A8" s="77" t="s">
        <v>15</v>
      </c>
      <c r="B8" s="78"/>
      <c r="C8" s="83" t="s">
        <v>51</v>
      </c>
      <c r="D8" s="79"/>
      <c r="E8" s="79"/>
      <c r="F8" s="79"/>
      <c r="G8" s="79"/>
      <c r="H8" s="79"/>
      <c r="I8" s="78" t="s">
        <v>16</v>
      </c>
      <c r="J8" s="78"/>
      <c r="K8" s="83" t="s">
        <v>54</v>
      </c>
      <c r="L8" s="79"/>
      <c r="M8" s="78" t="s">
        <v>17</v>
      </c>
      <c r="N8" s="78"/>
      <c r="O8" s="10" t="s">
        <v>53</v>
      </c>
    </row>
    <row r="9" spans="1:15" ht="22.15" customHeight="1" x14ac:dyDescent="0.35">
      <c r="A9" s="77" t="s">
        <v>18</v>
      </c>
      <c r="B9" s="78"/>
      <c r="C9" s="79" t="s">
        <v>96</v>
      </c>
      <c r="D9" s="79"/>
      <c r="E9" s="78" t="s">
        <v>19</v>
      </c>
      <c r="F9" s="78"/>
      <c r="G9" s="83" t="s">
        <v>53</v>
      </c>
      <c r="H9" s="79"/>
      <c r="I9" s="78" t="s">
        <v>20</v>
      </c>
      <c r="J9" s="78"/>
      <c r="K9" s="79" t="s">
        <v>97</v>
      </c>
      <c r="L9" s="79"/>
      <c r="M9" s="78" t="s">
        <v>21</v>
      </c>
      <c r="N9" s="78"/>
      <c r="O9" s="2">
        <v>46167</v>
      </c>
    </row>
    <row r="10" spans="1:15" ht="22.15" customHeight="1" x14ac:dyDescent="0.35">
      <c r="A10" s="77" t="s">
        <v>22</v>
      </c>
      <c r="B10" s="78"/>
      <c r="C10" s="85" t="s">
        <v>67</v>
      </c>
      <c r="D10" s="79"/>
      <c r="E10" s="78" t="s">
        <v>23</v>
      </c>
      <c r="F10" s="78"/>
      <c r="G10" s="79"/>
      <c r="H10" s="79"/>
      <c r="I10" s="78" t="s">
        <v>24</v>
      </c>
      <c r="J10" s="78"/>
      <c r="K10" s="79"/>
      <c r="L10" s="79"/>
      <c r="M10" s="78" t="s">
        <v>25</v>
      </c>
      <c r="N10" s="78"/>
      <c r="O10" s="10" t="s">
        <v>55</v>
      </c>
    </row>
    <row r="11" spans="1:15" ht="15" thickBot="1" x14ac:dyDescent="0.4">
      <c r="A11" s="3"/>
      <c r="O11" s="4"/>
    </row>
    <row r="12" spans="1:15" ht="34.15" customHeight="1" thickBot="1" x14ac:dyDescent="0.4">
      <c r="A12" s="5" t="s">
        <v>26</v>
      </c>
      <c r="B12" s="12" t="s">
        <v>27</v>
      </c>
      <c r="C12" s="12" t="s">
        <v>28</v>
      </c>
      <c r="D12" s="12" t="s">
        <v>29</v>
      </c>
      <c r="E12" s="12" t="s">
        <v>30</v>
      </c>
      <c r="F12" s="12" t="s">
        <v>31</v>
      </c>
      <c r="G12" s="12" t="s">
        <v>32</v>
      </c>
      <c r="H12" s="12" t="s">
        <v>33</v>
      </c>
      <c r="I12" s="12" t="s">
        <v>34</v>
      </c>
      <c r="J12" s="12" t="s">
        <v>62</v>
      </c>
      <c r="K12" s="12" t="s">
        <v>60</v>
      </c>
      <c r="L12" s="12" t="s">
        <v>61</v>
      </c>
      <c r="M12" s="12" t="s">
        <v>35</v>
      </c>
      <c r="N12" s="12" t="s">
        <v>36</v>
      </c>
      <c r="O12" s="16" t="s">
        <v>37</v>
      </c>
    </row>
    <row r="13" spans="1:15" ht="25.5" customHeight="1" x14ac:dyDescent="0.35">
      <c r="A13" s="15">
        <v>1</v>
      </c>
      <c r="B13" s="28" t="s">
        <v>90</v>
      </c>
      <c r="C13" s="28"/>
      <c r="D13" s="28" t="s">
        <v>68</v>
      </c>
      <c r="E13" s="29">
        <v>722870900019</v>
      </c>
      <c r="F13" s="28" t="s">
        <v>69</v>
      </c>
      <c r="G13" s="30">
        <v>56</v>
      </c>
      <c r="H13" s="28" t="s">
        <v>59</v>
      </c>
      <c r="I13" s="28" t="s">
        <v>56</v>
      </c>
      <c r="J13" s="30">
        <v>7</v>
      </c>
      <c r="K13" s="30"/>
      <c r="L13" s="30"/>
      <c r="M13" s="31">
        <v>22940</v>
      </c>
      <c r="N13" s="31"/>
      <c r="O13" s="32" t="str">
        <f t="shared" ref="O13" si="0">IF(COUNTA(J13:L13)=3,J13*K13*L13/1000000,"")</f>
        <v/>
      </c>
    </row>
    <row r="14" spans="1:15" ht="25.5" customHeight="1" x14ac:dyDescent="0.35">
      <c r="A14" s="15">
        <v>2</v>
      </c>
      <c r="B14" s="14"/>
      <c r="C14" s="13"/>
      <c r="D14" s="26"/>
      <c r="E14" s="11"/>
      <c r="F14" s="11"/>
      <c r="G14" s="11"/>
      <c r="H14" s="11"/>
      <c r="I14" s="11"/>
      <c r="J14" s="11"/>
      <c r="K14" s="11"/>
      <c r="L14" s="11"/>
      <c r="M14" s="11"/>
      <c r="N14" s="17"/>
      <c r="O14" s="18" t="str">
        <f t="shared" ref="O14:O22" si="1">IF(COUNTA(J14:L14)=3,J14*K14*L14/1000000,"")</f>
        <v/>
      </c>
    </row>
    <row r="15" spans="1:15" ht="21" customHeight="1" x14ac:dyDescent="0.35">
      <c r="A15" s="15">
        <v>3</v>
      </c>
      <c r="B15" s="14"/>
      <c r="C15" s="13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7"/>
      <c r="O15" s="18" t="str">
        <f t="shared" si="1"/>
        <v/>
      </c>
    </row>
    <row r="16" spans="1:15" ht="21" customHeight="1" x14ac:dyDescent="0.35">
      <c r="A16" s="15">
        <v>4</v>
      </c>
      <c r="B16" s="14"/>
      <c r="C16" s="13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7"/>
      <c r="O16" s="18" t="str">
        <f t="shared" si="1"/>
        <v/>
      </c>
    </row>
    <row r="17" spans="1:15" ht="21" customHeight="1" x14ac:dyDescent="0.35">
      <c r="A17" s="15">
        <v>5</v>
      </c>
      <c r="B17" s="14"/>
      <c r="C17" s="13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7"/>
      <c r="O17" s="18" t="str">
        <f t="shared" si="1"/>
        <v/>
      </c>
    </row>
    <row r="18" spans="1:15" ht="21" customHeight="1" x14ac:dyDescent="0.35">
      <c r="A18" s="15">
        <v>6</v>
      </c>
      <c r="B18" s="19"/>
      <c r="C18" s="13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20"/>
      <c r="O18" s="18" t="str">
        <f t="shared" si="1"/>
        <v/>
      </c>
    </row>
    <row r="19" spans="1:15" ht="21" customHeight="1" x14ac:dyDescent="0.35">
      <c r="A19" s="15">
        <v>7</v>
      </c>
      <c r="B19" s="19"/>
      <c r="C19" s="19"/>
      <c r="D19" s="19"/>
      <c r="E19" s="19"/>
      <c r="F19" s="19"/>
      <c r="G19" s="20"/>
      <c r="H19" s="19"/>
      <c r="I19" s="19"/>
      <c r="J19" s="21"/>
      <c r="K19" s="21"/>
      <c r="L19" s="21"/>
      <c r="M19" s="20"/>
      <c r="N19" s="20"/>
      <c r="O19" s="22" t="str">
        <f t="shared" si="1"/>
        <v/>
      </c>
    </row>
    <row r="20" spans="1:15" ht="21" customHeight="1" x14ac:dyDescent="0.35">
      <c r="A20" s="15">
        <v>8</v>
      </c>
      <c r="B20" s="19"/>
      <c r="C20" s="19"/>
      <c r="D20" s="19"/>
      <c r="E20" s="19"/>
      <c r="F20" s="19"/>
      <c r="G20" s="20"/>
      <c r="H20" s="19"/>
      <c r="I20" s="19"/>
      <c r="J20" s="21"/>
      <c r="K20" s="21"/>
      <c r="L20" s="21"/>
      <c r="M20" s="20"/>
      <c r="N20" s="20"/>
      <c r="O20" s="22" t="str">
        <f t="shared" si="1"/>
        <v/>
      </c>
    </row>
    <row r="21" spans="1:15" ht="21" customHeight="1" x14ac:dyDescent="0.35">
      <c r="A21" s="15">
        <v>9</v>
      </c>
      <c r="B21" s="19"/>
      <c r="C21" s="19"/>
      <c r="D21" s="19"/>
      <c r="E21" s="19"/>
      <c r="F21" s="19"/>
      <c r="G21" s="20"/>
      <c r="H21" s="19"/>
      <c r="I21" s="19"/>
      <c r="J21" s="21"/>
      <c r="K21" s="21"/>
      <c r="L21" s="21"/>
      <c r="M21" s="20"/>
      <c r="N21" s="20"/>
      <c r="O21" s="22" t="str">
        <f t="shared" si="1"/>
        <v/>
      </c>
    </row>
    <row r="22" spans="1:15" ht="21" customHeight="1" thickBot="1" x14ac:dyDescent="0.4">
      <c r="A22" s="15">
        <v>10</v>
      </c>
      <c r="B22" s="19"/>
      <c r="C22" s="19"/>
      <c r="D22" s="19"/>
      <c r="E22" s="19"/>
      <c r="F22" s="19"/>
      <c r="G22" s="20"/>
      <c r="H22" s="19"/>
      <c r="I22" s="19"/>
      <c r="J22" s="21"/>
      <c r="K22" s="21"/>
      <c r="L22" s="21"/>
      <c r="M22" s="20"/>
      <c r="N22" s="20"/>
      <c r="O22" s="22" t="str">
        <f t="shared" si="1"/>
        <v/>
      </c>
    </row>
    <row r="23" spans="1:15" ht="22.15" customHeight="1" thickBot="1" x14ac:dyDescent="0.4">
      <c r="A23" s="81" t="s">
        <v>93</v>
      </c>
      <c r="B23" s="82"/>
      <c r="C23" s="82"/>
      <c r="D23" s="82"/>
      <c r="E23" s="82"/>
      <c r="F23" s="82"/>
      <c r="G23" s="40">
        <f>SUM(G13:G22)</f>
        <v>56</v>
      </c>
      <c r="H23" s="39"/>
      <c r="I23" s="42"/>
      <c r="J23" s="40">
        <f>SUM(J13:J22)</f>
        <v>7</v>
      </c>
      <c r="K23" s="39"/>
      <c r="L23" s="39"/>
      <c r="M23" s="41">
        <f>SUM(M13:M22)</f>
        <v>22940</v>
      </c>
      <c r="N23" s="41">
        <f>SUM(N13:N22)</f>
        <v>0</v>
      </c>
      <c r="O23" s="43">
        <f>SUM(O13:O22)</f>
        <v>0</v>
      </c>
    </row>
    <row r="24" spans="1:15" x14ac:dyDescent="0.35">
      <c r="A24" s="3"/>
      <c r="O24" s="4"/>
    </row>
    <row r="25" spans="1:15" s="37" customFormat="1" ht="30.5" customHeight="1" x14ac:dyDescent="0.4">
      <c r="A25" s="86" t="s">
        <v>92</v>
      </c>
      <c r="B25" s="87"/>
      <c r="C25" s="33">
        <f>J23</f>
        <v>7</v>
      </c>
      <c r="D25" s="87" t="s">
        <v>91</v>
      </c>
      <c r="E25" s="87"/>
      <c r="F25" s="38">
        <f>G23</f>
        <v>56</v>
      </c>
      <c r="G25" s="87" t="s">
        <v>38</v>
      </c>
      <c r="H25" s="87"/>
      <c r="I25" s="34">
        <f>M23</f>
        <v>22940</v>
      </c>
      <c r="J25" s="87" t="s">
        <v>39</v>
      </c>
      <c r="K25" s="87"/>
      <c r="L25" s="35">
        <f>SUM(N13:N22)</f>
        <v>0</v>
      </c>
      <c r="M25" s="91" t="s">
        <v>40</v>
      </c>
      <c r="N25" s="91"/>
      <c r="O25" s="36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88" t="s">
        <v>41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90"/>
    </row>
    <row r="28" spans="1:15" ht="24" customHeight="1" thickBot="1" x14ac:dyDescent="0.4">
      <c r="A28" s="92" t="s">
        <v>42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90"/>
    </row>
    <row r="29" spans="1:15" ht="24" customHeight="1" thickBot="1" x14ac:dyDescent="0.4">
      <c r="A29" s="93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90"/>
    </row>
    <row r="30" spans="1:15" ht="15" thickBot="1" x14ac:dyDescent="0.4">
      <c r="A30" s="3"/>
      <c r="O30" s="4"/>
    </row>
    <row r="31" spans="1:15" ht="19.899999999999999" customHeight="1" thickBot="1" x14ac:dyDescent="0.4">
      <c r="A31" s="88" t="s">
        <v>43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90"/>
    </row>
    <row r="32" spans="1:15" ht="22.15" customHeight="1" thickBot="1" x14ac:dyDescent="0.4">
      <c r="A32" s="94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6"/>
    </row>
    <row r="33" spans="1:15" ht="19.899999999999999" customHeight="1" x14ac:dyDescent="0.35">
      <c r="A33" s="103" t="s">
        <v>44</v>
      </c>
      <c r="B33" s="104"/>
      <c r="C33" s="104"/>
      <c r="D33" s="105" t="s">
        <v>45</v>
      </c>
      <c r="E33" s="104"/>
      <c r="F33" s="104"/>
      <c r="G33" s="105" t="s">
        <v>46</v>
      </c>
      <c r="H33" s="104"/>
      <c r="I33" s="104"/>
      <c r="J33" s="105" t="s">
        <v>47</v>
      </c>
      <c r="K33" s="104"/>
      <c r="L33" s="104"/>
      <c r="M33" s="105" t="s">
        <v>48</v>
      </c>
      <c r="N33" s="104"/>
      <c r="O33" s="106"/>
    </row>
    <row r="34" spans="1:15" ht="19.899999999999999" customHeight="1" x14ac:dyDescent="0.35">
      <c r="A34" s="6"/>
      <c r="B34" s="7"/>
      <c r="C34" s="7"/>
      <c r="D34" s="8"/>
      <c r="E34" s="7"/>
      <c r="F34" s="7"/>
      <c r="G34" s="8"/>
      <c r="H34" s="7"/>
      <c r="I34" s="7"/>
      <c r="J34" s="8"/>
      <c r="K34" s="7"/>
      <c r="L34" s="7"/>
      <c r="M34" s="8"/>
      <c r="N34" s="7"/>
      <c r="O34" s="9"/>
    </row>
    <row r="35" spans="1:15" ht="19.899999999999999" customHeight="1" x14ac:dyDescent="0.35">
      <c r="A35" s="6"/>
      <c r="B35" s="7"/>
      <c r="C35" s="7"/>
      <c r="D35" s="8"/>
      <c r="E35" s="7"/>
      <c r="F35" s="7"/>
      <c r="G35" s="8"/>
      <c r="H35" s="7"/>
      <c r="I35" s="7"/>
      <c r="J35" s="8"/>
      <c r="K35" s="7"/>
      <c r="L35" s="7"/>
      <c r="M35" s="8"/>
      <c r="N35" s="7"/>
      <c r="O35" s="9"/>
    </row>
    <row r="36" spans="1:15" ht="19.899999999999999" customHeight="1" thickBot="1" x14ac:dyDescent="0.4">
      <c r="A36" s="6"/>
      <c r="B36" s="7"/>
      <c r="C36" s="7"/>
      <c r="D36" s="8"/>
      <c r="E36" s="7"/>
      <c r="F36" s="7"/>
      <c r="G36" s="8"/>
      <c r="H36" s="7"/>
      <c r="I36" s="7"/>
      <c r="J36" s="8"/>
      <c r="K36" s="7"/>
      <c r="L36" s="7"/>
      <c r="M36" s="8"/>
      <c r="N36" s="7"/>
      <c r="O36" s="9"/>
    </row>
    <row r="37" spans="1:15" ht="18.5" x14ac:dyDescent="0.35">
      <c r="A37" s="107" t="s">
        <v>49</v>
      </c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9"/>
    </row>
    <row r="38" spans="1:15" ht="14.5" customHeight="1" x14ac:dyDescent="0.35">
      <c r="A38" s="97" t="s">
        <v>50</v>
      </c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9"/>
    </row>
    <row r="39" spans="1:15" ht="15" thickBot="1" x14ac:dyDescent="0.4">
      <c r="A39" s="100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2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scale="48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4</vt:i4>
      </vt:variant>
    </vt:vector>
  </HeadingPairs>
  <TitlesOfParts>
    <vt:vector size="8" baseType="lpstr">
      <vt:lpstr>sum</vt:lpstr>
      <vt:lpstr>SEGU7372565</vt:lpstr>
      <vt:lpstr>SEGU7371949</vt:lpstr>
      <vt:lpstr>TCLU7579931</vt:lpstr>
      <vt:lpstr>sum!Yazdırma_Alanı</vt:lpstr>
      <vt:lpstr>SEGU7371949!Yazdırma_Başlıkları</vt:lpstr>
      <vt:lpstr>SEGU7372565!Yazdırma_Başlıkları</vt:lpstr>
      <vt:lpstr>TCLU7579931!Yazdırma_Başlıkları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Burcu ADIGÜZEL</dc:creator>
  <cp:lastModifiedBy>Burcu ADIGÜZEL</cp:lastModifiedBy>
  <cp:lastPrinted>2026-04-21T07:29:53Z</cp:lastPrinted>
  <dcterms:created xsi:type="dcterms:W3CDTF">2026-03-13T12:45:47Z</dcterms:created>
  <dcterms:modified xsi:type="dcterms:W3CDTF">2026-05-31T19:49:13Z</dcterms:modified>
</cp:coreProperties>
</file>