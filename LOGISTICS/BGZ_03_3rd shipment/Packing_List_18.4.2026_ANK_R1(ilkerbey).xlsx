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vimpo-my.sharepoint.com/personal/satinalma_vimpo_com/Documents/Masaüstü/039-VMP-S01064-ATP_5000m3_Libya/4-Logistics/BGZ_03_3rd shipment/"/>
    </mc:Choice>
  </mc:AlternateContent>
  <xr:revisionPtr revIDLastSave="0" documentId="8_{FBAE0BE7-6806-44E8-8FC3-960C89E11A1F}" xr6:coauthVersionLast="47" xr6:coauthVersionMax="47" xr10:uidLastSave="{00000000-0000-0000-0000-000000000000}"/>
  <bookViews>
    <workbookView xWindow="-110" yWindow="-110" windowWidth="19420" windowHeight="10300" activeTab="3" xr2:uid="{45036DCF-1C36-4BEA-83C2-F9BA1C1831A9}"/>
  </bookViews>
  <sheets>
    <sheet name="sum" sheetId="16" r:id="rId1"/>
    <sheet name="Sayfa1" sheetId="19" r:id="rId2"/>
    <sheet name="Sayfa2" sheetId="20" r:id="rId3"/>
    <sheet name="SEGU7372565" sheetId="17" r:id="rId4"/>
    <sheet name="SEGU7371949" sheetId="8" r:id="rId5"/>
    <sheet name="TCLU7579931" sheetId="18" r:id="rId6"/>
  </sheets>
  <definedNames>
    <definedName name="_xlnm._FilterDatabase" localSheetId="4" hidden="1">SEGU7371949!$A$12:$O$22</definedName>
    <definedName name="_xlnm._FilterDatabase" localSheetId="3" hidden="1">SEGU7372565!$A$12:$O$22</definedName>
    <definedName name="_xlnm._FilterDatabase" localSheetId="5" hidden="1">TCLU7579931!$A$12:$O$22</definedName>
    <definedName name="_xlnm.Print_Area" localSheetId="0">sum!$A$1:$C$4</definedName>
    <definedName name="_xlnm.Print_Titles" localSheetId="4">SEGU7371949!$1:$12</definedName>
    <definedName name="_xlnm.Print_Titles" localSheetId="3">SEGU7372565!$1:$12</definedName>
    <definedName name="_xlnm.Print_Titles" localSheetId="5">TCLU7579931!$1:$12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9" l="1"/>
  <c r="A12" i="19"/>
  <c r="A14" i="19"/>
  <c r="A13" i="19"/>
  <c r="M15" i="20"/>
  <c r="M14" i="20"/>
  <c r="M13" i="20"/>
  <c r="M12" i="20"/>
  <c r="M11" i="20"/>
  <c r="M10" i="20"/>
  <c r="M9" i="20"/>
  <c r="M8" i="20"/>
  <c r="M7" i="20"/>
  <c r="M6" i="20"/>
  <c r="M5" i="20"/>
  <c r="M4" i="20"/>
  <c r="M3" i="20"/>
  <c r="M2" i="20"/>
  <c r="O25" i="18"/>
  <c r="L25" i="18"/>
  <c r="I25" i="18"/>
  <c r="F25" i="18"/>
  <c r="C25" i="18"/>
  <c r="G23" i="18"/>
  <c r="C4" i="16" s="1"/>
  <c r="O23" i="18"/>
  <c r="N23" i="18"/>
  <c r="M23" i="18"/>
  <c r="J23" i="18"/>
  <c r="F25" i="8"/>
  <c r="C25" i="8"/>
  <c r="G23" i="8"/>
  <c r="J23" i="8"/>
  <c r="O23" i="8"/>
  <c r="N23" i="8"/>
  <c r="M23" i="8"/>
  <c r="I25" i="8" s="1"/>
  <c r="F25" i="17"/>
  <c r="C25" i="17"/>
  <c r="J23" i="17"/>
  <c r="E20" i="20"/>
  <c r="E22" i="20" s="1"/>
  <c r="E19" i="20"/>
  <c r="E21" i="20"/>
  <c r="O13" i="18"/>
  <c r="B4" i="16"/>
  <c r="O22" i="18"/>
  <c r="O21" i="18"/>
  <c r="O20" i="18"/>
  <c r="O19" i="18"/>
  <c r="O18" i="18"/>
  <c r="O17" i="18"/>
  <c r="O16" i="18"/>
  <c r="O15" i="18"/>
  <c r="O14" i="18"/>
  <c r="L25" i="17"/>
  <c r="I25" i="17"/>
  <c r="N23" i="17"/>
  <c r="M23" i="17"/>
  <c r="B3" i="16" s="1"/>
  <c r="G23" i="17"/>
  <c r="C3" i="16" s="1"/>
  <c r="O22" i="17"/>
  <c r="O21" i="17"/>
  <c r="O20" i="17"/>
  <c r="O19" i="17"/>
  <c r="O18" i="17"/>
  <c r="O17" i="17"/>
  <c r="O16" i="17"/>
  <c r="O15" i="17"/>
  <c r="O14" i="17"/>
  <c r="O13" i="17"/>
  <c r="S21" i="20"/>
  <c r="S19" i="20"/>
  <c r="S17" i="20"/>
  <c r="S13" i="20"/>
  <c r="S9" i="20"/>
  <c r="F20" i="20"/>
  <c r="S4" i="20"/>
  <c r="F19" i="20"/>
  <c r="S2" i="20"/>
  <c r="F21" i="20"/>
  <c r="C15" i="19" l="1"/>
  <c r="S22" i="20"/>
  <c r="F22" i="20"/>
  <c r="B2" i="16"/>
  <c r="C2" i="16"/>
  <c r="O23" i="17"/>
  <c r="O25" i="17"/>
  <c r="L25" i="8"/>
  <c r="O22" i="8"/>
  <c r="O21" i="8"/>
  <c r="O20" i="8"/>
  <c r="O19" i="8"/>
  <c r="O18" i="8"/>
  <c r="O17" i="8"/>
  <c r="O16" i="8"/>
  <c r="O15" i="8"/>
  <c r="O14" i="8"/>
  <c r="O13" i="8"/>
  <c r="O25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11424856-963F-4655-BE07-5F1B28C41ABC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C9DDF0FE-4392-47F5-A33B-A429B5C9189E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1D23CBF4-EACB-4F1E-AF6E-4E91FE87F7C0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61502BA0-D6AD-4FF2-911E-3FC13E5B78ED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E53988CA-9ECE-4433-83D8-5A41A165D51C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015683FB-37DC-4C65-BDBD-16235926781C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<sst xmlns="http://schemas.openxmlformats.org/spreadsheetml/2006/main" count="430" uniqueCount="107">
  <si>
    <t>PACKING LIST
ÇEKİ LİSTESİ</t>
  </si>
  <si>
    <t>Yayın Tarihi</t>
  </si>
  <si>
    <t>Doküman No</t>
  </si>
  <si>
    <t>P07-F07</t>
  </si>
  <si>
    <t>Revizyon Tarihi</t>
  </si>
  <si>
    <t>-</t>
  </si>
  <si>
    <t>Revizyon No</t>
  </si>
  <si>
    <t>00</t>
  </si>
  <si>
    <t>DOCUMENT &amp; SHIPMENT INFORMATION / BELGE VE SEVKİYAT BİLGİLERİ</t>
  </si>
  <si>
    <t>Order No. / Sipariş No</t>
  </si>
  <si>
    <t>Date / Tarih</t>
  </si>
  <si>
    <t>Invoice No. / Fatura No</t>
  </si>
  <si>
    <t>Incoterm</t>
  </si>
  <si>
    <t>Shipper / Gönderici</t>
  </si>
  <si>
    <t>Consignee / Alıcı</t>
  </si>
  <si>
    <t>Notify Party / İhbar</t>
  </si>
  <si>
    <t>Country of Origin</t>
  </si>
  <si>
    <t>Final Destination</t>
  </si>
  <si>
    <t>Port of Loading</t>
  </si>
  <si>
    <t>Port of Discharge</t>
  </si>
  <si>
    <t>Vessel / Flight</t>
  </si>
  <si>
    <t>ETD / ETA</t>
  </si>
  <si>
    <t>Container / Vehicle No.</t>
  </si>
  <si>
    <t>B/L - AWB No.</t>
  </si>
  <si>
    <t>PO / Contract No.</t>
  </si>
  <si>
    <t>Currency</t>
  </si>
  <si>
    <t>Item
No</t>
  </si>
  <si>
    <t>Case / Crate
No</t>
  </si>
  <si>
    <t>Part No. /
Model</t>
  </si>
  <si>
    <t>Description of Goods</t>
  </si>
  <si>
    <t>HS Code</t>
  </si>
  <si>
    <t>COO</t>
  </si>
  <si>
    <t>Qty</t>
  </si>
  <si>
    <t>UOM</t>
  </si>
  <si>
    <t>Package Type</t>
  </si>
  <si>
    <t>Net Wt
(kg)</t>
  </si>
  <si>
    <t>Gross Wt
(kg)</t>
  </si>
  <si>
    <t>Volume
(m³)</t>
  </si>
  <si>
    <t>Total Net Wt (kg)</t>
  </si>
  <si>
    <t>Total Gross Wt (kg)</t>
  </si>
  <si>
    <t>Total Volume (m³)</t>
  </si>
  <si>
    <t>PACKAGING DECLARATION / AMBALAJ BEYANI</t>
  </si>
  <si>
    <t>All goods are packed suitably for export shipment, loading/unloading and inland transportation unless otherwise stated above.
Yukarıda aksi belirtilmedikçe tüm mallar ihracat sevkiyatına, yükleme/boşaltmaya ve iç nakliyeye uygun şekilde ambalajlanmıştır.</t>
  </si>
  <si>
    <t>APPROVAL / ONAY</t>
  </si>
  <si>
    <t>Prepared By</t>
  </si>
  <si>
    <t>Date</t>
  </si>
  <si>
    <t>Checked By</t>
  </si>
  <si>
    <t>Approved By</t>
  </si>
  <si>
    <t>Receiver / Carrier</t>
  </si>
  <si>
    <t>Vimpo Makine A.Ş.</t>
  </si>
  <si>
    <t>Adres / Address : Malıköy Anadolu OSB Mahallesi 12. Cadde No:8 06909 Sincan/Ankara/Türkiye
Telefon / Phone : +90 312 354 8509   •   E-posta / E-mail : ugur.cicekverdi@vimpo.com   •   Web : www.vimpo.com.tr</t>
  </si>
  <si>
    <t xml:space="preserve">Africa Road for Asphalt and Petroleum Insulation Industries </t>
  </si>
  <si>
    <t>CIF</t>
  </si>
  <si>
    <t>Bingazi Port</t>
  </si>
  <si>
    <t>Türkiye</t>
  </si>
  <si>
    <t>EUR</t>
  </si>
  <si>
    <t>Bundle</t>
  </si>
  <si>
    <t>Container</t>
  </si>
  <si>
    <t>kg</t>
  </si>
  <si>
    <t>pcs</t>
  </si>
  <si>
    <t>JEAN PIERRE A / 0BOENS1MA</t>
  </si>
  <si>
    <t>L
(mm)</t>
  </si>
  <si>
    <t>H
(mm)</t>
  </si>
  <si>
    <t>Bundle Qty</t>
  </si>
  <si>
    <t>IHR2026000000032</t>
  </si>
  <si>
    <t>VMP-S01064-B3</t>
  </si>
  <si>
    <t>VİMPO MAKİNE A.Ş.</t>
  </si>
  <si>
    <t>SEGU7372565</t>
  </si>
  <si>
    <t>SEGU7371949</t>
  </si>
  <si>
    <t>TCLU7579931</t>
  </si>
  <si>
    <t>240 NPI Steel Beam</t>
  </si>
  <si>
    <t>TR</t>
  </si>
  <si>
    <t>180 NPI Steel Beam</t>
  </si>
  <si>
    <t>80 NPI Steel Beam</t>
  </si>
  <si>
    <t>PK-240-1</t>
  </si>
  <si>
    <t>PK-180</t>
  </si>
  <si>
    <t>PK-80-1</t>
  </si>
  <si>
    <t>PK-80-2</t>
  </si>
  <si>
    <t>PK-01</t>
  </si>
  <si>
    <t>PK-02</t>
  </si>
  <si>
    <t>PK-03</t>
  </si>
  <si>
    <t>3x30 Flat Steel Bar</t>
  </si>
  <si>
    <t>PK-04</t>
  </si>
  <si>
    <t>40x60x2 Steel Box Profile</t>
  </si>
  <si>
    <t>PK-05</t>
  </si>
  <si>
    <t>20x40x2 Steel Box Profile</t>
  </si>
  <si>
    <t>PK-06</t>
  </si>
  <si>
    <t>PK-07</t>
  </si>
  <si>
    <t>5x50 Flat Steel Bar</t>
  </si>
  <si>
    <t>50 Steel Angle Bar</t>
  </si>
  <si>
    <t>10x50 Flat Steel Bar</t>
  </si>
  <si>
    <t>PK-240-2</t>
  </si>
  <si>
    <t>PK-180-2</t>
  </si>
  <si>
    <t>PK-240-3</t>
  </si>
  <si>
    <t>KONTEYNER</t>
  </si>
  <si>
    <t>Satır Etiketleri</t>
  </si>
  <si>
    <t>Genel Toplam</t>
  </si>
  <si>
    <t>Toplam Bundle Qty</t>
  </si>
  <si>
    <t>Toplam Net Wt
(kg)</t>
  </si>
  <si>
    <t>FARK</t>
  </si>
  <si>
    <t>VGM</t>
  </si>
  <si>
    <t>Fatura</t>
  </si>
  <si>
    <t>Total Qty (pcs)</t>
  </si>
  <si>
    <t>Total Bundle</t>
  </si>
  <si>
    <t>TOTAL/TOPLAM</t>
  </si>
  <si>
    <t>PK-180-1</t>
  </si>
  <si>
    <t>FATURA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</si>
</sst>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29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  <charset val="162"/>
    </font>
    <font>
      <sz val="11"/>
      <color theme="1"/>
      <name val="Aptos Narrow"/>
      <family val="2"/>
      <scheme val="minor"/>
    </font>
    <font>
      <b/>
      <sz val="14"/>
      <color rgb="FF666666"/>
      <name val="Calibri"/>
      <family val="2"/>
      <charset val="162"/>
    </font>
    <font>
      <b/>
      <sz val="18"/>
      <color rgb="FF1F4E78"/>
      <name val="Calibri"/>
      <family val="2"/>
      <charset val="162"/>
    </font>
    <font>
      <b/>
      <sz val="10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10"/>
      <color rgb="FF1F4E78"/>
      <name val="Calibri"/>
      <family val="2"/>
      <charset val="162"/>
    </font>
    <font>
      <sz val="10"/>
      <color rgb="FF0000FF"/>
      <name val="Calibri"/>
      <family val="2"/>
      <charset val="162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666666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4"/>
      <color rgb="FF1F4E78"/>
      <name val="Calibri"/>
      <family val="2"/>
      <charset val="162"/>
    </font>
    <font>
      <sz val="10"/>
      <color theme="1"/>
      <name val="Aptos Narrow"/>
      <family val="2"/>
      <charset val="162"/>
      <scheme val="minor"/>
    </font>
    <font>
      <sz val="10"/>
      <color rgb="FF0000FF"/>
      <name val="Calibri"/>
      <family val="2"/>
      <charset val="162"/>
    </font>
    <font>
      <b/>
      <sz val="10"/>
      <color rgb="FF0000FF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0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  <font>
      <sz val="10"/>
      <name val="Calibri"/>
      <family val="2"/>
      <charset val="162"/>
    </font>
    <font>
      <sz val="11"/>
      <name val="Aptos Narrow"/>
      <family val="2"/>
      <charset val="162"/>
      <scheme val="minor"/>
    </font>
    <font>
      <b/>
      <sz val="11"/>
      <name val="Aptos Narrow"/>
      <family val="2"/>
      <charset val="162"/>
      <scheme val="minor"/>
    </font>
    <font>
      <b/>
      <sz val="12"/>
      <color rgb="FF1F4E78"/>
      <name val="Calibri"/>
      <family val="2"/>
      <charset val="162"/>
    </font>
    <font>
      <b/>
      <sz val="12"/>
      <color rgb="FF000000"/>
      <name val="Calibri"/>
      <family val="2"/>
      <charset val="162"/>
    </font>
    <font>
      <sz val="12"/>
      <color theme="1"/>
      <name val="Aptos Narrow"/>
      <family val="2"/>
      <scheme val="minor"/>
    </font>
    <font>
      <b/>
      <sz val="10"/>
      <color theme="3"/>
      <name val="Calibri"/>
      <family val="2"/>
      <charset val="162"/>
    </font>
    <font>
      <sz val="11"/>
      <color theme="3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EAF3FB"/>
      </patternFill>
    </fill>
    <fill>
      <patternFill patternType="solid">
        <fgColor rgb="FFFFF7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rgb="FFA6A6A6"/>
      </bottom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A6A6A6"/>
      </top>
      <bottom style="medium">
        <color indexed="64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medium">
        <color indexed="64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 style="medium">
        <color rgb="FF1F4E78"/>
      </bottom>
      <diagonal/>
    </border>
    <border>
      <left style="medium">
        <color indexed="64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A6A6A6"/>
      </top>
      <bottom style="thin">
        <color rgb="FFA6A6A6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46">
    <xf numFmtId="0" fontId="0" fillId="0" borderId="0" xfId="0"/>
    <xf numFmtId="0" fontId="3" fillId="0" borderId="0" xfId="2"/>
    <xf numFmtId="165" fontId="9" fillId="5" borderId="19" xfId="2" applyNumberFormat="1" applyFont="1" applyFill="1" applyBorder="1" applyAlignment="1">
      <alignment horizontal="left" vertical="center" wrapText="1"/>
    </xf>
    <xf numFmtId="0" fontId="3" fillId="0" borderId="5" xfId="2" applyBorder="1"/>
    <xf numFmtId="0" fontId="3" fillId="0" borderId="6" xfId="2" applyBorder="1"/>
    <xf numFmtId="0" fontId="7" fillId="6" borderId="29" xfId="2" applyFont="1" applyFill="1" applyBorder="1" applyAlignment="1">
      <alignment horizontal="center" vertical="center" wrapText="1"/>
    </xf>
    <xf numFmtId="0" fontId="13" fillId="3" borderId="5" xfId="2" applyFont="1" applyFill="1" applyBorder="1" applyAlignment="1">
      <alignment horizontal="center" vertical="center"/>
    </xf>
    <xf numFmtId="0" fontId="12" fillId="3" borderId="0" xfId="2" applyFont="1" applyFill="1" applyAlignment="1">
      <alignment horizontal="left" vertical="center" wrapText="1"/>
    </xf>
    <xf numFmtId="0" fontId="13" fillId="3" borderId="0" xfId="2" applyFont="1" applyFill="1" applyAlignment="1">
      <alignment horizontal="center" vertical="center"/>
    </xf>
    <xf numFmtId="0" fontId="12" fillId="3" borderId="6" xfId="2" applyFont="1" applyFill="1" applyBorder="1" applyAlignment="1">
      <alignment horizontal="left" vertical="center" wrapText="1"/>
    </xf>
    <xf numFmtId="0" fontId="16" fillId="5" borderId="19" xfId="2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7" fillId="6" borderId="35" xfId="2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9" fillId="4" borderId="37" xfId="2" applyFont="1" applyFill="1" applyBorder="1" applyAlignment="1">
      <alignment horizontal="center" vertical="center"/>
    </xf>
    <xf numFmtId="0" fontId="7" fillId="6" borderId="38" xfId="2" applyFont="1" applyFill="1" applyBorder="1" applyAlignment="1">
      <alignment horizontal="center" vertical="center" wrapText="1"/>
    </xf>
    <xf numFmtId="4" fontId="9" fillId="2" borderId="1" xfId="2" applyNumberFormat="1" applyFont="1" applyFill="1" applyBorder="1" applyAlignment="1">
      <alignment horizontal="center" vertical="center"/>
    </xf>
    <xf numFmtId="164" fontId="10" fillId="2" borderId="1" xfId="2" applyNumberFormat="1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left" vertical="center" wrapText="1"/>
    </xf>
    <xf numFmtId="4" fontId="9" fillId="2" borderId="1" xfId="2" applyNumberFormat="1" applyFont="1" applyFill="1" applyBorder="1" applyAlignment="1">
      <alignment horizontal="right" vertical="center"/>
    </xf>
    <xf numFmtId="3" fontId="9" fillId="2" borderId="1" xfId="2" applyNumberFormat="1" applyFont="1" applyFill="1" applyBorder="1" applyAlignment="1">
      <alignment horizontal="right" vertical="center"/>
    </xf>
    <xf numFmtId="164" fontId="10" fillId="2" borderId="1" xfId="2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left" vertical="center" wrapText="1"/>
    </xf>
    <xf numFmtId="0" fontId="18" fillId="0" borderId="0" xfId="0" applyFont="1"/>
    <xf numFmtId="0" fontId="19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/>
    </xf>
    <xf numFmtId="3" fontId="21" fillId="2" borderId="1" xfId="2" applyNumberFormat="1" applyFont="1" applyFill="1" applyBorder="1" applyAlignment="1">
      <alignment horizontal="center" vertical="center"/>
    </xf>
    <xf numFmtId="4" fontId="21" fillId="2" borderId="1" xfId="2" applyNumberFormat="1" applyFont="1" applyFill="1" applyBorder="1" applyAlignment="1">
      <alignment horizontal="center" vertical="center"/>
    </xf>
    <xf numFmtId="164" fontId="21" fillId="2" borderId="1" xfId="2" applyNumberFormat="1" applyFont="1" applyFill="1" applyBorder="1" applyAlignment="1">
      <alignment horizontal="center" vertical="center"/>
    </xf>
    <xf numFmtId="4" fontId="21" fillId="9" borderId="1" xfId="2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7" fillId="6" borderId="35" xfId="2" applyFont="1" applyFill="1" applyBorder="1" applyAlignment="1">
      <alignment horizontal="center" vertical="center"/>
    </xf>
    <xf numFmtId="0" fontId="21" fillId="2" borderId="0" xfId="2" applyFont="1" applyFill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1" xfId="0" pivotButton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7" fillId="10" borderId="37" xfId="2" applyFont="1" applyFill="1" applyBorder="1" applyAlignment="1">
      <alignment horizontal="center" vertical="center"/>
    </xf>
    <xf numFmtId="0" fontId="25" fillId="3" borderId="18" xfId="2" applyFont="1" applyFill="1" applyBorder="1" applyAlignment="1">
      <alignment horizontal="center" vertical="center"/>
    </xf>
    <xf numFmtId="4" fontId="25" fillId="3" borderId="18" xfId="2" applyNumberFormat="1" applyFont="1" applyFill="1" applyBorder="1" applyAlignment="1">
      <alignment horizontal="center" vertical="center"/>
    </xf>
    <xf numFmtId="4" fontId="25" fillId="3" borderId="18" xfId="2" applyNumberFormat="1" applyFont="1" applyFill="1" applyBorder="1" applyAlignment="1">
      <alignment horizontal="left" vertical="center"/>
    </xf>
    <xf numFmtId="164" fontId="25" fillId="3" borderId="19" xfId="2" applyNumberFormat="1" applyFont="1" applyFill="1" applyBorder="1" applyAlignment="1">
      <alignment horizontal="left" vertical="center"/>
    </xf>
    <xf numFmtId="0" fontId="26" fillId="0" borderId="0" xfId="2" applyFont="1" applyAlignment="1">
      <alignment horizontal="left"/>
    </xf>
    <xf numFmtId="3" fontId="25" fillId="3" borderId="18" xfId="2" applyNumberFormat="1" applyFont="1" applyFill="1" applyBorder="1" applyAlignment="1">
      <alignment horizontal="center" vertical="center"/>
    </xf>
    <xf numFmtId="0" fontId="11" fillId="3" borderId="26" xfId="2" applyFont="1" applyFill="1" applyBorder="1" applyAlignment="1">
      <alignment horizontal="center" vertical="center"/>
    </xf>
    <xf numFmtId="3" fontId="11" fillId="3" borderId="26" xfId="2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0" fontId="21" fillId="12" borderId="1" xfId="2" applyFont="1" applyFill="1" applyBorder="1" applyAlignment="1">
      <alignment horizontal="center" vertical="center" wrapText="1"/>
    </xf>
    <xf numFmtId="0" fontId="21" fillId="12" borderId="1" xfId="2" applyFont="1" applyFill="1" applyBorder="1" applyAlignment="1">
      <alignment horizontal="center" vertical="center"/>
    </xf>
    <xf numFmtId="1" fontId="22" fillId="12" borderId="1" xfId="0" applyNumberFormat="1" applyFont="1" applyFill="1" applyBorder="1" applyAlignment="1">
      <alignment horizontal="center" vertical="center"/>
    </xf>
    <xf numFmtId="3" fontId="21" fillId="12" borderId="1" xfId="2" applyNumberFormat="1" applyFont="1" applyFill="1" applyBorder="1" applyAlignment="1">
      <alignment horizontal="center" vertical="center"/>
    </xf>
    <xf numFmtId="4" fontId="21" fillId="12" borderId="1" xfId="2" applyNumberFormat="1" applyFont="1" applyFill="1" applyBorder="1" applyAlignment="1">
      <alignment horizontal="center" vertical="center"/>
    </xf>
    <xf numFmtId="0" fontId="6" fillId="12" borderId="1" xfId="2" applyFont="1" applyFill="1" applyBorder="1" applyAlignment="1">
      <alignment horizontal="center" vertical="center" wrapText="1"/>
    </xf>
    <xf numFmtId="0" fontId="6" fillId="12" borderId="1" xfId="2" applyFont="1" applyFill="1" applyBorder="1" applyAlignment="1">
      <alignment horizontal="center" vertical="center"/>
    </xf>
    <xf numFmtId="1" fontId="23" fillId="12" borderId="1" xfId="0" applyNumberFormat="1" applyFont="1" applyFill="1" applyBorder="1" applyAlignment="1">
      <alignment horizontal="center" vertical="center"/>
    </xf>
    <xf numFmtId="3" fontId="6" fillId="12" borderId="1" xfId="2" applyNumberFormat="1" applyFont="1" applyFill="1" applyBorder="1" applyAlignment="1">
      <alignment horizontal="center" vertical="center"/>
    </xf>
    <xf numFmtId="4" fontId="6" fillId="12" borderId="1" xfId="2" applyNumberFormat="1" applyFont="1" applyFill="1" applyBorder="1" applyAlignment="1">
      <alignment horizontal="center" vertical="center"/>
    </xf>
    <xf numFmtId="0" fontId="21" fillId="13" borderId="1" xfId="2" applyFont="1" applyFill="1" applyBorder="1" applyAlignment="1">
      <alignment horizontal="center" vertical="center" wrapText="1"/>
    </xf>
    <xf numFmtId="0" fontId="21" fillId="13" borderId="1" xfId="2" applyFont="1" applyFill="1" applyBorder="1" applyAlignment="1">
      <alignment horizontal="center" vertical="center"/>
    </xf>
    <xf numFmtId="1" fontId="22" fillId="13" borderId="1" xfId="0" applyNumberFormat="1" applyFont="1" applyFill="1" applyBorder="1" applyAlignment="1">
      <alignment horizontal="center" vertical="center"/>
    </xf>
    <xf numFmtId="3" fontId="21" fillId="13" borderId="1" xfId="2" applyNumberFormat="1" applyFont="1" applyFill="1" applyBorder="1" applyAlignment="1">
      <alignment horizontal="center" vertical="center"/>
    </xf>
    <xf numFmtId="4" fontId="21" fillId="13" borderId="1" xfId="2" applyNumberFormat="1" applyFont="1" applyFill="1" applyBorder="1" applyAlignment="1">
      <alignment horizontal="center" vertical="center"/>
    </xf>
    <xf numFmtId="4" fontId="11" fillId="3" borderId="26" xfId="2" applyNumberFormat="1" applyFont="1" applyFill="1" applyBorder="1" applyAlignment="1">
      <alignment horizontal="center" vertical="center"/>
    </xf>
    <xf numFmtId="0" fontId="27" fillId="3" borderId="26" xfId="2" applyFont="1" applyFill="1" applyBorder="1" applyAlignment="1">
      <alignment horizontal="center" vertical="center"/>
    </xf>
    <xf numFmtId="164" fontId="11" fillId="3" borderId="27" xfId="2" applyNumberFormat="1" applyFont="1" applyFill="1" applyBorder="1" applyAlignment="1">
      <alignment horizontal="center" vertical="center"/>
    </xf>
    <xf numFmtId="0" fontId="0" fillId="13" borderId="0" xfId="0" applyFill="1"/>
    <xf numFmtId="4" fontId="0" fillId="0" borderId="0" xfId="0" applyNumberFormat="1"/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0" xfId="2" applyFont="1" applyFill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0" xfId="2" applyFont="1" applyFill="1" applyAlignment="1">
      <alignment horizontal="center" vertical="center" wrapText="1"/>
    </xf>
    <xf numFmtId="0" fontId="5" fillId="4" borderId="15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3" fontId="6" fillId="5" borderId="11" xfId="2" applyNumberFormat="1" applyFont="1" applyFill="1" applyBorder="1" applyAlignment="1">
      <alignment horizontal="left" vertical="center"/>
    </xf>
    <xf numFmtId="3" fontId="6" fillId="5" borderId="12" xfId="2" applyNumberFormat="1" applyFont="1" applyFill="1" applyBorder="1" applyAlignment="1">
      <alignment horizontal="left" vertical="center"/>
    </xf>
    <xf numFmtId="14" fontId="6" fillId="5" borderId="13" xfId="2" applyNumberFormat="1" applyFont="1" applyFill="1" applyBorder="1" applyAlignment="1">
      <alignment horizontal="left" vertical="center" wrapText="1"/>
    </xf>
    <xf numFmtId="14" fontId="6" fillId="5" borderId="14" xfId="2" applyNumberFormat="1" applyFont="1" applyFill="1" applyBorder="1" applyAlignment="1">
      <alignment horizontal="left" vertical="center" wrapText="1"/>
    </xf>
    <xf numFmtId="3" fontId="6" fillId="5" borderId="16" xfId="2" applyNumberFormat="1" applyFont="1" applyFill="1" applyBorder="1" applyAlignment="1">
      <alignment horizontal="left" vertical="center"/>
    </xf>
    <xf numFmtId="3" fontId="6" fillId="5" borderId="17" xfId="2" applyNumberFormat="1" applyFont="1" applyFill="1" applyBorder="1" applyAlignment="1">
      <alignment horizontal="left" vertical="center"/>
    </xf>
    <xf numFmtId="165" fontId="6" fillId="5" borderId="18" xfId="2" applyNumberFormat="1" applyFont="1" applyFill="1" applyBorder="1" applyAlignment="1">
      <alignment horizontal="left" vertical="center" wrapText="1"/>
    </xf>
    <xf numFmtId="0" fontId="6" fillId="5" borderId="19" xfId="2" applyFont="1" applyFill="1" applyBorder="1" applyAlignment="1">
      <alignment horizontal="left" vertical="center" wrapText="1"/>
    </xf>
    <xf numFmtId="3" fontId="6" fillId="5" borderId="21" xfId="2" applyNumberFormat="1" applyFont="1" applyFill="1" applyBorder="1" applyAlignment="1">
      <alignment horizontal="left" vertical="center"/>
    </xf>
    <xf numFmtId="3" fontId="6" fillId="5" borderId="22" xfId="2" applyNumberFormat="1" applyFont="1" applyFill="1" applyBorder="1" applyAlignment="1">
      <alignment horizontal="left" vertical="center"/>
    </xf>
    <xf numFmtId="49" fontId="6" fillId="5" borderId="23" xfId="2" applyNumberFormat="1" applyFont="1" applyFill="1" applyBorder="1" applyAlignment="1">
      <alignment horizontal="left" vertical="center" wrapText="1"/>
    </xf>
    <xf numFmtId="49" fontId="6" fillId="5" borderId="24" xfId="2" applyNumberFormat="1" applyFont="1" applyFill="1" applyBorder="1" applyAlignment="1">
      <alignment horizontal="left" vertical="center" wrapText="1"/>
    </xf>
    <xf numFmtId="0" fontId="7" fillId="6" borderId="25" xfId="2" applyFont="1" applyFill="1" applyBorder="1" applyAlignment="1">
      <alignment horizontal="left" vertical="center"/>
    </xf>
    <xf numFmtId="0" fontId="3" fillId="0" borderId="26" xfId="2" applyBorder="1"/>
    <xf numFmtId="0" fontId="3" fillId="0" borderId="27" xfId="2" applyBorder="1"/>
    <xf numFmtId="0" fontId="8" fillId="7" borderId="28" xfId="2" applyFont="1" applyFill="1" applyBorder="1" applyAlignment="1">
      <alignment horizontal="left" vertical="center" wrapText="1"/>
    </xf>
    <xf numFmtId="0" fontId="8" fillId="7" borderId="18" xfId="2" applyFont="1" applyFill="1" applyBorder="1" applyAlignment="1">
      <alignment horizontal="left" vertical="center" wrapText="1"/>
    </xf>
    <xf numFmtId="0" fontId="9" fillId="5" borderId="18" xfId="2" applyFont="1" applyFill="1" applyBorder="1" applyAlignment="1">
      <alignment horizontal="left" vertical="center" wrapText="1"/>
    </xf>
    <xf numFmtId="165" fontId="9" fillId="5" borderId="18" xfId="2" applyNumberFormat="1" applyFont="1" applyFill="1" applyBorder="1" applyAlignment="1">
      <alignment horizontal="left" vertical="center" wrapText="1"/>
    </xf>
    <xf numFmtId="0" fontId="27" fillId="3" borderId="29" xfId="2" applyFont="1" applyFill="1" applyBorder="1" applyAlignment="1">
      <alignment horizontal="right" vertical="center"/>
    </xf>
    <xf numFmtId="0" fontId="28" fillId="0" borderId="26" xfId="2" applyFont="1" applyBorder="1"/>
    <xf numFmtId="0" fontId="16" fillId="5" borderId="18" xfId="2" applyFont="1" applyFill="1" applyBorder="1" applyAlignment="1">
      <alignment horizontal="left" vertical="center" wrapText="1"/>
    </xf>
    <xf numFmtId="0" fontId="9" fillId="5" borderId="19" xfId="2" applyFont="1" applyFill="1" applyBorder="1" applyAlignment="1">
      <alignment horizontal="left" vertical="center" wrapText="1"/>
    </xf>
    <xf numFmtId="0" fontId="17" fillId="5" borderId="18" xfId="2" applyFont="1" applyFill="1" applyBorder="1" applyAlignment="1">
      <alignment horizontal="left" vertical="center" wrapText="1"/>
    </xf>
    <xf numFmtId="0" fontId="24" fillId="7" borderId="28" xfId="2" applyFont="1" applyFill="1" applyBorder="1" applyAlignment="1">
      <alignment horizontal="right" vertical="center" wrapText="1"/>
    </xf>
    <xf numFmtId="0" fontId="24" fillId="7" borderId="18" xfId="2" applyFont="1" applyFill="1" applyBorder="1" applyAlignment="1">
      <alignment horizontal="right" vertical="center" wrapText="1"/>
    </xf>
    <xf numFmtId="0" fontId="7" fillId="6" borderId="29" xfId="2" applyFont="1" applyFill="1" applyBorder="1" applyAlignment="1">
      <alignment horizontal="left" vertical="center"/>
    </xf>
    <xf numFmtId="0" fontId="3" fillId="0" borderId="30" xfId="2" applyBorder="1"/>
    <xf numFmtId="0" fontId="3" fillId="0" borderId="31" xfId="2" applyBorder="1"/>
    <xf numFmtId="0" fontId="24" fillId="7" borderId="18" xfId="2" applyFont="1" applyFill="1" applyBorder="1" applyAlignment="1">
      <alignment horizontal="left" vertical="center" wrapText="1"/>
    </xf>
    <xf numFmtId="0" fontId="12" fillId="8" borderId="29" xfId="2" applyFont="1" applyFill="1" applyBorder="1" applyAlignment="1">
      <alignment horizontal="left" vertical="center" wrapText="1"/>
    </xf>
    <xf numFmtId="0" fontId="3" fillId="0" borderId="29" xfId="2" applyBorder="1"/>
    <xf numFmtId="0" fontId="9" fillId="5" borderId="32" xfId="2" applyFont="1" applyFill="1" applyBorder="1" applyAlignment="1">
      <alignment horizontal="left" vertical="center" wrapText="1"/>
    </xf>
    <xf numFmtId="0" fontId="9" fillId="5" borderId="33" xfId="2" applyFont="1" applyFill="1" applyBorder="1" applyAlignment="1">
      <alignment horizontal="left" vertical="center" wrapText="1"/>
    </xf>
    <xf numFmtId="0" fontId="9" fillId="5" borderId="34" xfId="2" applyFont="1" applyFill="1" applyBorder="1" applyAlignment="1">
      <alignment horizontal="left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13" fillId="3" borderId="28" xfId="2" applyFont="1" applyFill="1" applyBorder="1" applyAlignment="1">
      <alignment horizontal="center" vertical="center"/>
    </xf>
    <xf numFmtId="0" fontId="12" fillId="3" borderId="18" xfId="2" applyFont="1" applyFill="1" applyBorder="1" applyAlignment="1">
      <alignment horizontal="left" vertical="center" wrapText="1"/>
    </xf>
    <xf numFmtId="0" fontId="13" fillId="3" borderId="18" xfId="2" applyFont="1" applyFill="1" applyBorder="1" applyAlignment="1">
      <alignment horizontal="center" vertical="center"/>
    </xf>
    <xf numFmtId="0" fontId="12" fillId="3" borderId="19" xfId="2" applyFont="1" applyFill="1" applyBorder="1" applyAlignment="1">
      <alignment horizontal="left" vertical="center" wrapText="1"/>
    </xf>
    <xf numFmtId="0" fontId="14" fillId="0" borderId="2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27" fillId="3" borderId="29" xfId="2" applyFont="1" applyFill="1" applyBorder="1" applyAlignment="1">
      <alignment horizontal="center" vertical="center"/>
    </xf>
    <xf numFmtId="0" fontId="28" fillId="0" borderId="26" xfId="2" applyFont="1" applyBorder="1" applyAlignment="1">
      <alignment horizontal="center"/>
    </xf>
  </cellXfs>
  <cellStyles count="3">
    <cellStyle name="Normal" xfId="0" builtinId="0"/>
    <cellStyle name="Normal 2" xfId="1" xr:uid="{F51A282D-1B73-4674-AE56-3C69BA388E8C}"/>
    <cellStyle name="Normal 3" xfId="2" xr:uid="{EC8BA616-7E8E-46E8-B048-9DACA0D3C9E5}"/>
  </cellStyles>
  <dxfs count="36"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colors>
    <mruColors>
      <color rgb="FFA5739A"/>
      <color rgb="FFAA785A"/>
      <color rgb="FFABD1B1"/>
      <color rgb="FF6F9FB5"/>
      <color rgb="FFF17F9D"/>
      <color rgb="FFA7A7A7"/>
      <color rgb="FFE6EEB4"/>
      <color rgb="FFDBA86F"/>
      <color rgb="FFD49CC7"/>
      <color rgb="FFD8D8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4DACF688-E408-4A51-9F92-602E994CE5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4446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756A07BD-CD26-49E7-BDD2-3A4F94D2C7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940675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88A5D3A7-8250-4916-9793-76792DB063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1365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1FE437B4-80B3-46F3-BE82-CD6CFCD2B0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1365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2A873A9-78D6-4412-B1D7-71FE6AEBA4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B6E2F042-D506-43EC-A402-A74CC8E5E5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25398ED3-A11C-4F0F-9889-F6F98E4179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7684524-FB64-4F90-A7EF-2377D18AE6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8EFD58E0-28FB-4485-9478-53679235C3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8891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8F1079FB-5C7C-4E41-AE09-BCC10A2E7A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985125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9FE5BC66-A441-4125-9D4C-FD3130FBDE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5810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D1B32AB8-3311-45F8-9107-B6C0816909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5810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ınalma" refreshedDate="46133.492623611113" createdVersion="8" refreshedVersion="8" minRefreshableVersion="3" recordCount="14" xr:uid="{FB45620A-89F9-47A2-9E47-48572384B7C8}">
  <cacheSource type="worksheet">
    <worksheetSource ref="A1:M15" sheet="Sayfa2"/>
  </cacheSource>
  <cacheFields count="13">
    <cacheField name="Item_x000a_No" numFmtId="0">
      <sharedItems containsSemiMixedTypes="0" containsString="0" containsNumber="1" containsInteger="1" minValue="1" maxValue="9"/>
    </cacheField>
    <cacheField name="Case / Crate_x000a_No" numFmtId="0">
      <sharedItems/>
    </cacheField>
    <cacheField name="KONTEYNER" numFmtId="0">
      <sharedItems count="3">
        <s v="SEGU7372565"/>
        <s v="SEGU7371949"/>
        <s v="TCLU7579931"/>
      </sharedItems>
    </cacheField>
    <cacheField name="Description of Goods" numFmtId="0">
      <sharedItems count="9">
        <s v="240 NPI Steel Beam"/>
        <s v="180 NPI Steel Beam"/>
        <s v="80 NPI Steel Beam"/>
        <s v="3x30 Flat Steel Bar"/>
        <s v="40x60x2 Steel Box Profile"/>
        <s v="20x40x2 Steel Box Profile"/>
        <s v="5x50 Flat Steel Bar"/>
        <s v="50 Steel Angle Bar"/>
        <s v="10x50 Flat Steel Bar"/>
      </sharedItems>
    </cacheField>
    <cacheField name="HS Code" numFmtId="1">
      <sharedItems containsSemiMixedTypes="0" containsString="0" containsNumber="1" containsInteger="1" minValue="722870900019" maxValue="722870900019"/>
    </cacheField>
    <cacheField name="COO" numFmtId="0">
      <sharedItems/>
    </cacheField>
    <cacheField name="Qty" numFmtId="0">
      <sharedItems containsSemiMixedTypes="0" containsString="0" containsNumber="1" containsInteger="1" minValue="6" maxValue="840"/>
    </cacheField>
    <cacheField name="UOM" numFmtId="0">
      <sharedItems/>
    </cacheField>
    <cacheField name="Package Type" numFmtId="0">
      <sharedItems/>
    </cacheField>
    <cacheField name="Bundle Qty" numFmtId="0">
      <sharedItems containsSemiMixedTypes="0" containsString="0" containsNumber="1" containsInteger="1" minValue="1" maxValue="7"/>
    </cacheField>
    <cacheField name="L_x000a_(mm)" numFmtId="0">
      <sharedItems containsNonDate="0" containsString="0" containsBlank="1"/>
    </cacheField>
    <cacheField name="H_x000a_(mm)" numFmtId="0">
      <sharedItems containsNonDate="0" containsString="0" containsBlank="1"/>
    </cacheField>
    <cacheField name="Net Wt_x000a_(kg)" numFmtId="0">
      <sharedItems containsSemiMixedTypes="0" containsString="0" containsNumber="1" containsInteger="1" minValue="411" maxValue="229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"/>
    <s v="PK-240-1"/>
    <x v="0"/>
    <x v="0"/>
    <n v="722870900019"/>
    <s v="TR"/>
    <n v="32"/>
    <s v="pcs"/>
    <s v="Bundle"/>
    <n v="4"/>
    <m/>
    <m/>
    <n v="13949"/>
  </r>
  <r>
    <n v="2"/>
    <s v="PK-180"/>
    <x v="0"/>
    <x v="1"/>
    <n v="722870900019"/>
    <s v="TR"/>
    <n v="24"/>
    <s v="pcs"/>
    <s v="Bundle"/>
    <n v="2"/>
    <m/>
    <m/>
    <n v="5765"/>
  </r>
  <r>
    <n v="3"/>
    <s v="PK-80-1"/>
    <x v="0"/>
    <x v="2"/>
    <n v="722870900019"/>
    <s v="TR"/>
    <n v="110"/>
    <s v="pcs"/>
    <s v="Bundle"/>
    <n v="2"/>
    <m/>
    <m/>
    <n v="3850"/>
  </r>
  <r>
    <n v="4"/>
    <s v="PK-80-2"/>
    <x v="0"/>
    <x v="2"/>
    <n v="722870900019"/>
    <s v="TR"/>
    <n v="26"/>
    <s v="pcs"/>
    <s v="Bundle"/>
    <n v="1"/>
    <m/>
    <m/>
    <n v="976"/>
  </r>
  <r>
    <n v="1"/>
    <s v="PK-240-2"/>
    <x v="1"/>
    <x v="0"/>
    <n v="722870900019"/>
    <s v="TR"/>
    <n v="8"/>
    <s v="pcs"/>
    <s v="Bundle"/>
    <n v="1"/>
    <m/>
    <m/>
    <n v="3523"/>
  </r>
  <r>
    <n v="2"/>
    <s v="PK-180-2"/>
    <x v="1"/>
    <x v="1"/>
    <n v="722870900019"/>
    <s v="TR"/>
    <n v="6"/>
    <s v="pcs"/>
    <s v="Bundle"/>
    <n v="1"/>
    <m/>
    <m/>
    <n v="948"/>
  </r>
  <r>
    <n v="3"/>
    <s v="PK-01"/>
    <x v="1"/>
    <x v="3"/>
    <n v="722870900019"/>
    <s v="TR"/>
    <n v="840"/>
    <s v="pcs"/>
    <s v="Bundle"/>
    <n v="2"/>
    <m/>
    <m/>
    <n v="3514"/>
  </r>
  <r>
    <n v="4"/>
    <s v="PK-02"/>
    <x v="1"/>
    <x v="4"/>
    <n v="722870900019"/>
    <s v="TR"/>
    <n v="600"/>
    <s v="pcs"/>
    <s v="Bundle"/>
    <n v="7"/>
    <m/>
    <m/>
    <n v="10800"/>
  </r>
  <r>
    <n v="5"/>
    <s v="PK-03"/>
    <x v="1"/>
    <x v="5"/>
    <n v="722870900019"/>
    <s v="TR"/>
    <n v="162"/>
    <s v="pcs"/>
    <s v="Bundle"/>
    <n v="1"/>
    <m/>
    <m/>
    <n v="1338"/>
  </r>
  <r>
    <n v="6"/>
    <s v="PK-04"/>
    <x v="1"/>
    <x v="5"/>
    <n v="722870900019"/>
    <s v="TR"/>
    <n v="38"/>
    <s v="pcs"/>
    <s v="Bundle"/>
    <n v="1"/>
    <m/>
    <m/>
    <n v="411"/>
  </r>
  <r>
    <n v="7"/>
    <s v="PK-05"/>
    <x v="1"/>
    <x v="6"/>
    <n v="722870900019"/>
    <s v="TR"/>
    <n v="96"/>
    <s v="pcs"/>
    <s v="Bundle"/>
    <n v="1"/>
    <m/>
    <m/>
    <n v="1126"/>
  </r>
  <r>
    <n v="8"/>
    <s v="PK-06"/>
    <x v="1"/>
    <x v="7"/>
    <n v="722870900019"/>
    <s v="TR"/>
    <n v="40"/>
    <s v="pcs"/>
    <s v="Bundle"/>
    <n v="1"/>
    <m/>
    <m/>
    <n v="912"/>
  </r>
  <r>
    <n v="9"/>
    <s v="PK-07"/>
    <x v="1"/>
    <x v="8"/>
    <n v="722870900019"/>
    <s v="TR"/>
    <n v="60"/>
    <s v="pcs"/>
    <s v="Bundle"/>
    <n v="1"/>
    <m/>
    <m/>
    <n v="1408"/>
  </r>
  <r>
    <n v="1"/>
    <s v="PK-240-3"/>
    <x v="2"/>
    <x v="0"/>
    <n v="722870900019"/>
    <s v="TR"/>
    <n v="56"/>
    <s v="pcs"/>
    <s v="Bundle"/>
    <n v="7"/>
    <m/>
    <m/>
    <n v="229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2B6B6-1D7D-46D4-9337-172805BA3C90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O1:Q23" firstHeaderRow="0" firstDataRow="1" firstDataCol="1"/>
  <pivotFields count="13"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0">
        <item x="8"/>
        <item x="1"/>
        <item x="5"/>
        <item x="0"/>
        <item x="3"/>
        <item x="4"/>
        <item x="7"/>
        <item x="6"/>
        <item x="2"/>
        <item t="default"/>
      </items>
    </pivotField>
    <pivotField numFmtI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2">
    <field x="3"/>
    <field x="2"/>
  </rowFields>
  <rowItems count="22">
    <i>
      <x/>
    </i>
    <i r="1">
      <x/>
    </i>
    <i>
      <x v="1"/>
    </i>
    <i r="1">
      <x/>
    </i>
    <i r="1">
      <x v="1"/>
    </i>
    <i>
      <x v="2"/>
    </i>
    <i r="1">
      <x/>
    </i>
    <i>
      <x v="3"/>
    </i>
    <i r="1">
      <x/>
    </i>
    <i r="1">
      <x v="1"/>
    </i>
    <i r="1">
      <x v="2"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Bundle Qty" fld="9" baseField="0" baseItem="0"/>
    <dataField name="Toplam Net Wt_x000a_(kg)" fld="12" baseField="0" baseItem="0"/>
  </dataFields>
  <formats count="36">
    <format dxfId="35">
      <pivotArea field="3" type="button" dataOnly="0" labelOnly="1" outline="0" axis="axisRow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collapsedLevelsAreSubtotals="1" fieldPosition="0">
        <references count="1">
          <reference field="3" count="1">
            <x v="0"/>
          </reference>
        </references>
      </pivotArea>
    </format>
    <format dxfId="32">
      <pivotArea collapsedLevelsAreSubtotals="1" fieldPosition="0">
        <references count="2">
          <reference field="2" count="1">
            <x v="0"/>
          </reference>
          <reference field="3" count="1" selected="0">
            <x v="0"/>
          </reference>
        </references>
      </pivotArea>
    </format>
    <format dxfId="31">
      <pivotArea collapsedLevelsAreSubtotals="1" fieldPosition="0">
        <references count="1">
          <reference field="3" count="1">
            <x v="1"/>
          </reference>
        </references>
      </pivotArea>
    </format>
    <format dxfId="30">
      <pivotArea collapsedLevelsAreSubtotals="1" fieldPosition="0">
        <references count="2">
          <reference field="2" count="2">
            <x v="0"/>
            <x v="1"/>
          </reference>
          <reference field="3" count="1" selected="0">
            <x v="1"/>
          </reference>
        </references>
      </pivotArea>
    </format>
    <format dxfId="29">
      <pivotArea collapsedLevelsAreSubtotals="1" fieldPosition="0">
        <references count="1">
          <reference field="3" count="1">
            <x v="2"/>
          </reference>
        </references>
      </pivotArea>
    </format>
    <format dxfId="28">
      <pivotArea collapsedLevelsAreSubtotals="1" fieldPosition="0">
        <references count="2">
          <reference field="2" count="1">
            <x v="0"/>
          </reference>
          <reference field="3" count="1" selected="0">
            <x v="2"/>
          </reference>
        </references>
      </pivotArea>
    </format>
    <format dxfId="27">
      <pivotArea collapsedLevelsAreSubtotals="1" fieldPosition="0">
        <references count="1">
          <reference field="3" count="1">
            <x v="3"/>
          </reference>
        </references>
      </pivotArea>
    </format>
    <format dxfId="26">
      <pivotArea collapsedLevelsAreSubtotals="1" fieldPosition="0">
        <references count="2">
          <reference field="2" count="0"/>
          <reference field="3" count="1" selected="0">
            <x v="3"/>
          </reference>
        </references>
      </pivotArea>
    </format>
    <format dxfId="25">
      <pivotArea collapsedLevelsAreSubtotals="1" fieldPosition="0">
        <references count="1">
          <reference field="3" count="1">
            <x v="4"/>
          </reference>
        </references>
      </pivotArea>
    </format>
    <format dxfId="24">
      <pivotArea collapsedLevelsAreSubtotals="1" fieldPosition="0">
        <references count="2">
          <reference field="2" count="1">
            <x v="0"/>
          </reference>
          <reference field="3" count="1" selected="0">
            <x v="4"/>
          </reference>
        </references>
      </pivotArea>
    </format>
    <format dxfId="23">
      <pivotArea collapsedLevelsAreSubtotals="1" fieldPosition="0">
        <references count="1">
          <reference field="3" count="1">
            <x v="5"/>
          </reference>
        </references>
      </pivotArea>
    </format>
    <format dxfId="22">
      <pivotArea collapsedLevelsAreSubtotals="1" fieldPosition="0">
        <references count="2">
          <reference field="2" count="1">
            <x v="0"/>
          </reference>
          <reference field="3" count="1" selected="0">
            <x v="5"/>
          </reference>
        </references>
      </pivotArea>
    </format>
    <format dxfId="21">
      <pivotArea collapsedLevelsAreSubtotals="1" fieldPosition="0">
        <references count="1">
          <reference field="3" count="1">
            <x v="6"/>
          </reference>
        </references>
      </pivotArea>
    </format>
    <format dxfId="20">
      <pivotArea collapsedLevelsAreSubtotals="1" fieldPosition="0">
        <references count="2">
          <reference field="2" count="1">
            <x v="0"/>
          </reference>
          <reference field="3" count="1" selected="0">
            <x v="6"/>
          </reference>
        </references>
      </pivotArea>
    </format>
    <format dxfId="19">
      <pivotArea collapsedLevelsAreSubtotals="1" fieldPosition="0">
        <references count="1">
          <reference field="3" count="1">
            <x v="7"/>
          </reference>
        </references>
      </pivotArea>
    </format>
    <format dxfId="18">
      <pivotArea collapsedLevelsAreSubtotals="1" fieldPosition="0">
        <references count="2">
          <reference field="2" count="1">
            <x v="0"/>
          </reference>
          <reference field="3" count="1" selected="0">
            <x v="7"/>
          </reference>
        </references>
      </pivotArea>
    </format>
    <format dxfId="17">
      <pivotArea collapsedLevelsAreSubtotals="1" fieldPosition="0">
        <references count="1">
          <reference field="3" count="1">
            <x v="8"/>
          </reference>
        </references>
      </pivotArea>
    </format>
    <format dxfId="16">
      <pivotArea collapsedLevelsAreSubtotals="1" fieldPosition="0">
        <references count="2">
          <reference field="2" count="1">
            <x v="1"/>
          </reference>
          <reference field="3" count="1" selected="0">
            <x v="8"/>
          </reference>
        </references>
      </pivotArea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fieldPosition="0">
        <references count="2">
          <reference field="2" count="1">
            <x v="0"/>
          </reference>
          <reference field="3" count="1" selected="0">
            <x v="0"/>
          </reference>
        </references>
      </pivotArea>
    </format>
    <format dxfId="12">
      <pivotArea dataOnly="0" labelOnly="1" fieldPosition="0">
        <references count="2">
          <reference field="2" count="2">
            <x v="0"/>
            <x v="1"/>
          </reference>
          <reference field="3" count="1" selected="0">
            <x v="1"/>
          </reference>
        </references>
      </pivotArea>
    </format>
    <format dxfId="11">
      <pivotArea dataOnly="0" labelOnly="1" fieldPosition="0">
        <references count="2">
          <reference field="2" count="1">
            <x v="0"/>
          </reference>
          <reference field="3" count="1" selected="0">
            <x v="2"/>
          </reference>
        </references>
      </pivotArea>
    </format>
    <format dxfId="10">
      <pivotArea dataOnly="0" labelOnly="1" fieldPosition="0">
        <references count="2">
          <reference field="2" count="0"/>
          <reference field="3" count="1" selected="0">
            <x v="3"/>
          </reference>
        </references>
      </pivotArea>
    </format>
    <format dxfId="9">
      <pivotArea dataOnly="0" labelOnly="1" fieldPosition="0">
        <references count="2">
          <reference field="2" count="1">
            <x v="0"/>
          </reference>
          <reference field="3" count="1" selected="0">
            <x v="4"/>
          </reference>
        </references>
      </pivotArea>
    </format>
    <format dxfId="8">
      <pivotArea dataOnly="0" labelOnly="1" fieldPosition="0">
        <references count="2">
          <reference field="2" count="1">
            <x v="0"/>
          </reference>
          <reference field="3" count="1" selected="0">
            <x v="5"/>
          </reference>
        </references>
      </pivotArea>
    </format>
    <format dxfId="7">
      <pivotArea dataOnly="0" labelOnly="1" fieldPosition="0">
        <references count="2">
          <reference field="2" count="1">
            <x v="0"/>
          </reference>
          <reference field="3" count="1" selected="0">
            <x v="6"/>
          </reference>
        </references>
      </pivotArea>
    </format>
    <format dxfId="6">
      <pivotArea dataOnly="0" labelOnly="1" fieldPosition="0">
        <references count="2">
          <reference field="2" count="1">
            <x v="0"/>
          </reference>
          <reference field="3" count="1" selected="0">
            <x v="7"/>
          </reference>
        </references>
      </pivotArea>
    </format>
    <format dxfId="5">
      <pivotArea dataOnly="0" labelOnly="1" fieldPosition="0">
        <references count="2">
          <reference field="2" count="1">
            <x v="1"/>
          </reference>
          <reference field="3" count="1" selected="0">
            <x v="8"/>
          </reference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3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3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D073D-F2CE-42B6-AA5B-BD9BF75B96C4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C18:D22" firstHeaderRow="1" firstDataRow="1" firstDataCol="1"/>
  <pivotFields count="13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Net Wt_x000a_(kg)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EC08-2411-4730-9C62-C8D5D75C607B}">
  <sheetPr>
    <tabColor rgb="FF7030A0"/>
  </sheetPr>
  <dimension ref="A1:C12"/>
  <sheetViews>
    <sheetView view="pageBreakPreview" zoomScale="110" zoomScaleNormal="100" zoomScaleSheetLayoutView="110" workbookViewId="0">
      <selection activeCell="C13" sqref="C13"/>
    </sheetView>
  </sheetViews>
  <sheetFormatPr defaultRowHeight="14.5" x14ac:dyDescent="0.35"/>
  <cols>
    <col min="1" max="1" width="15.453125" customWidth="1"/>
    <col min="2" max="2" width="9.81640625" style="25" bestFit="1" customWidth="1"/>
    <col min="3" max="3" width="8.7265625" style="25"/>
  </cols>
  <sheetData>
    <row r="1" spans="1:3" x14ac:dyDescent="0.35">
      <c r="A1" s="23" t="s">
        <v>57</v>
      </c>
      <c r="B1" s="23" t="s">
        <v>58</v>
      </c>
      <c r="C1" s="23" t="s">
        <v>59</v>
      </c>
    </row>
    <row r="2" spans="1:3" x14ac:dyDescent="0.35">
      <c r="A2" s="27" t="s">
        <v>67</v>
      </c>
      <c r="B2" s="24">
        <f>SEGU7372565!M23</f>
        <v>24540</v>
      </c>
      <c r="C2" s="24">
        <f>SEGU7372565!G23</f>
        <v>192</v>
      </c>
    </row>
    <row r="3" spans="1:3" x14ac:dyDescent="0.35">
      <c r="A3" s="27" t="s">
        <v>68</v>
      </c>
      <c r="B3" s="24">
        <f>SEGU7372565!M23</f>
        <v>24540</v>
      </c>
      <c r="C3" s="24">
        <f>SEGU7372565!G23</f>
        <v>192</v>
      </c>
    </row>
    <row r="4" spans="1:3" x14ac:dyDescent="0.35">
      <c r="A4" s="27" t="s">
        <v>69</v>
      </c>
      <c r="B4" s="24">
        <f>TCLU7579931!M23</f>
        <v>22940</v>
      </c>
      <c r="C4" s="24">
        <f>TCLU7579931!G23</f>
        <v>56</v>
      </c>
    </row>
    <row r="5" spans="1:3" x14ac:dyDescent="0.35">
      <c r="B5" s="24"/>
      <c r="C5" s="24"/>
    </row>
    <row r="6" spans="1:3" x14ac:dyDescent="0.35">
      <c r="B6" s="24"/>
      <c r="C6" s="24"/>
    </row>
    <row r="7" spans="1:3" x14ac:dyDescent="0.35">
      <c r="B7" s="24"/>
      <c r="C7" s="24"/>
    </row>
    <row r="8" spans="1:3" x14ac:dyDescent="0.35">
      <c r="B8" s="24"/>
      <c r="C8" s="24"/>
    </row>
    <row r="9" spans="1:3" x14ac:dyDescent="0.35">
      <c r="B9" s="24"/>
      <c r="C9" s="24"/>
    </row>
    <row r="10" spans="1:3" x14ac:dyDescent="0.35">
      <c r="B10" s="24"/>
      <c r="C10" s="24"/>
    </row>
    <row r="11" spans="1:3" x14ac:dyDescent="0.35">
      <c r="B11" s="24"/>
      <c r="C11" s="24"/>
    </row>
    <row r="12" spans="1:3" x14ac:dyDescent="0.35">
      <c r="B12" s="24"/>
      <c r="C12" s="24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A74E-7E49-4D48-9A5E-3BC91C03F0AC}">
  <sheetPr>
    <tabColor theme="9" tint="0.79998168889431442"/>
  </sheetPr>
  <dimension ref="A1:C15"/>
  <sheetViews>
    <sheetView workbookViewId="0">
      <selection activeCell="C15" sqref="C15"/>
    </sheetView>
  </sheetViews>
  <sheetFormatPr defaultRowHeight="14.5" x14ac:dyDescent="0.35"/>
  <cols>
    <col min="1" max="1" width="8.90625" bestFit="1" customWidth="1"/>
  </cols>
  <sheetData>
    <row r="1" spans="1:3" x14ac:dyDescent="0.35">
      <c r="A1" t="s">
        <v>106</v>
      </c>
    </row>
    <row r="2" spans="1:3" x14ac:dyDescent="0.35">
      <c r="A2" s="76">
        <v>23362</v>
      </c>
    </row>
    <row r="3" spans="1:3" x14ac:dyDescent="0.35">
      <c r="A3" s="76">
        <v>13650</v>
      </c>
    </row>
    <row r="4" spans="1:3" x14ac:dyDescent="0.35">
      <c r="A4" s="76">
        <v>6713</v>
      </c>
    </row>
    <row r="5" spans="1:3" x14ac:dyDescent="0.35">
      <c r="A5" s="76">
        <v>4826</v>
      </c>
    </row>
    <row r="6" spans="1:3" x14ac:dyDescent="0.35">
      <c r="A6" s="76">
        <v>3400</v>
      </c>
    </row>
    <row r="7" spans="1:3" x14ac:dyDescent="0.35">
      <c r="A7" s="76">
        <v>1560</v>
      </c>
    </row>
    <row r="8" spans="1:3" x14ac:dyDescent="0.35">
      <c r="A8" s="76">
        <v>3514</v>
      </c>
    </row>
    <row r="9" spans="1:3" x14ac:dyDescent="0.35">
      <c r="A9" s="76">
        <v>1126</v>
      </c>
    </row>
    <row r="10" spans="1:3" x14ac:dyDescent="0.35">
      <c r="A10" s="76">
        <v>912</v>
      </c>
    </row>
    <row r="11" spans="1:3" x14ac:dyDescent="0.35">
      <c r="A11" s="76">
        <v>1408</v>
      </c>
    </row>
    <row r="12" spans="1:3" x14ac:dyDescent="0.35">
      <c r="A12">
        <f>SUM(A2:A11)</f>
        <v>60471</v>
      </c>
    </row>
    <row r="13" spans="1:3" x14ac:dyDescent="0.35">
      <c r="A13" s="77">
        <f>SUM(SEGU7371949!M17:M18)</f>
        <v>1749</v>
      </c>
    </row>
    <row r="14" spans="1:3" x14ac:dyDescent="0.35">
      <c r="A14" s="77">
        <f>SEGU7371949!M16</f>
        <v>10800</v>
      </c>
    </row>
    <row r="15" spans="1:3" x14ac:dyDescent="0.35">
      <c r="A15">
        <f>SUM(A12:A14)</f>
        <v>73020</v>
      </c>
      <c r="B15">
        <v>71460</v>
      </c>
      <c r="C15">
        <f>A15-B15</f>
        <v>1560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C847-5678-4F43-A853-05D21CF94614}">
  <sheetPr>
    <tabColor rgb="FFFF0000"/>
    <pageSetUpPr fitToPage="1"/>
  </sheetPr>
  <dimension ref="A1:S23"/>
  <sheetViews>
    <sheetView topLeftCell="A2" zoomScale="85" zoomScaleNormal="85" workbookViewId="0">
      <selection activeCell="I22" sqref="I22"/>
    </sheetView>
  </sheetViews>
  <sheetFormatPr defaultRowHeight="14.5" x14ac:dyDescent="0.35"/>
  <cols>
    <col min="1" max="1" width="4.7265625" bestFit="1" customWidth="1"/>
    <col min="2" max="2" width="8.1796875" bestFit="1" customWidth="1"/>
    <col min="3" max="3" width="15.453125" bestFit="1" customWidth="1"/>
    <col min="4" max="4" width="17.26953125" bestFit="1" customWidth="1"/>
    <col min="5" max="5" width="13.90625" bestFit="1" customWidth="1"/>
    <col min="6" max="6" width="5" bestFit="1" customWidth="1"/>
    <col min="7" max="7" width="4" bestFit="1" customWidth="1"/>
    <col min="8" max="8" width="5" bestFit="1" customWidth="1"/>
    <col min="9" max="9" width="7.1796875" bestFit="1" customWidth="1"/>
    <col min="10" max="10" width="6.453125" bestFit="1" customWidth="1"/>
    <col min="11" max="12" width="5.26953125" bestFit="1" customWidth="1"/>
    <col min="13" max="13" width="8.81640625" bestFit="1" customWidth="1"/>
    <col min="15" max="15" width="23.81640625" bestFit="1" customWidth="1"/>
    <col min="16" max="17" width="7.1796875" bestFit="1" customWidth="1"/>
    <col min="18" max="18" width="8" customWidth="1"/>
  </cols>
  <sheetData>
    <row r="1" spans="1:19" ht="58.5" thickBot="1" x14ac:dyDescent="0.4">
      <c r="A1" s="5" t="s">
        <v>26</v>
      </c>
      <c r="B1" s="12" t="s">
        <v>27</v>
      </c>
      <c r="C1" s="12" t="s">
        <v>94</v>
      </c>
      <c r="D1" s="38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63</v>
      </c>
      <c r="K1" s="12" t="s">
        <v>61</v>
      </c>
      <c r="L1" s="12" t="s">
        <v>62</v>
      </c>
      <c r="M1" s="12" t="s">
        <v>35</v>
      </c>
      <c r="O1" s="43" t="s">
        <v>95</v>
      </c>
      <c r="P1" s="44" t="s">
        <v>97</v>
      </c>
      <c r="Q1" s="44" t="s">
        <v>98</v>
      </c>
      <c r="R1" s="44" t="s">
        <v>101</v>
      </c>
      <c r="S1" s="11" t="s">
        <v>99</v>
      </c>
    </row>
    <row r="2" spans="1:19" x14ac:dyDescent="0.35">
      <c r="A2" s="15">
        <v>1</v>
      </c>
      <c r="B2" s="54" t="s">
        <v>74</v>
      </c>
      <c r="C2" s="55" t="s">
        <v>67</v>
      </c>
      <c r="D2" s="56" t="s">
        <v>70</v>
      </c>
      <c r="E2" s="57">
        <v>722870900019</v>
      </c>
      <c r="F2" s="56" t="s">
        <v>71</v>
      </c>
      <c r="G2" s="56">
        <v>32</v>
      </c>
      <c r="H2" s="56" t="s">
        <v>59</v>
      </c>
      <c r="I2" s="56" t="s">
        <v>56</v>
      </c>
      <c r="J2" s="56">
        <v>4</v>
      </c>
      <c r="K2" s="56"/>
      <c r="L2" s="56"/>
      <c r="M2" s="56">
        <f>SEGU7372565!M13</f>
        <v>13949</v>
      </c>
      <c r="O2" s="41" t="s">
        <v>90</v>
      </c>
      <c r="P2" s="40">
        <v>1</v>
      </c>
      <c r="Q2" s="40">
        <v>1408</v>
      </c>
      <c r="R2" s="40">
        <v>1408</v>
      </c>
      <c r="S2" s="40">
        <f>R2-GETPIVOTDATA("Toplam Net Wt
(kg)",$O$1,"Description of Goods","10x50 Flat Steel Bar")</f>
        <v>0</v>
      </c>
    </row>
    <row r="3" spans="1:19" x14ac:dyDescent="0.35">
      <c r="A3" s="15">
        <v>2</v>
      </c>
      <c r="B3" s="54" t="s">
        <v>75</v>
      </c>
      <c r="C3" s="55" t="s">
        <v>67</v>
      </c>
      <c r="D3" s="56" t="s">
        <v>72</v>
      </c>
      <c r="E3" s="57">
        <v>722870900019</v>
      </c>
      <c r="F3" s="56" t="s">
        <v>71</v>
      </c>
      <c r="G3" s="56">
        <v>24</v>
      </c>
      <c r="H3" s="56" t="s">
        <v>59</v>
      </c>
      <c r="I3" s="56" t="s">
        <v>56</v>
      </c>
      <c r="J3" s="56">
        <v>2</v>
      </c>
      <c r="K3" s="56"/>
      <c r="L3" s="56"/>
      <c r="M3" s="56">
        <f>SEGU7372565!M14</f>
        <v>5765</v>
      </c>
      <c r="O3" s="42" t="s">
        <v>68</v>
      </c>
      <c r="P3" s="40">
        <v>1</v>
      </c>
      <c r="Q3" s="40">
        <v>1408</v>
      </c>
      <c r="R3" s="40"/>
      <c r="S3" s="40"/>
    </row>
    <row r="4" spans="1:19" x14ac:dyDescent="0.35">
      <c r="A4" s="15">
        <v>3</v>
      </c>
      <c r="B4" s="54" t="s">
        <v>76</v>
      </c>
      <c r="C4" s="55" t="s">
        <v>67</v>
      </c>
      <c r="D4" s="56" t="s">
        <v>73</v>
      </c>
      <c r="E4" s="57">
        <v>722870900019</v>
      </c>
      <c r="F4" s="56" t="s">
        <v>71</v>
      </c>
      <c r="G4" s="56">
        <v>110</v>
      </c>
      <c r="H4" s="56" t="s">
        <v>59</v>
      </c>
      <c r="I4" s="56" t="s">
        <v>56</v>
      </c>
      <c r="J4" s="56">
        <v>2</v>
      </c>
      <c r="K4" s="56"/>
      <c r="L4" s="56"/>
      <c r="M4" s="56">
        <f>SEGU7372565!M15</f>
        <v>3850</v>
      </c>
      <c r="O4" s="41" t="s">
        <v>72</v>
      </c>
      <c r="P4" s="40">
        <v>3</v>
      </c>
      <c r="Q4" s="40">
        <v>6713</v>
      </c>
      <c r="R4" s="40">
        <v>6713</v>
      </c>
      <c r="S4" s="40">
        <f>R4-GETPIVOTDATA("Toplam Net Wt
(kg)",$O$1,"Description of Goods","180 NPI Steel Beam")</f>
        <v>0</v>
      </c>
    </row>
    <row r="5" spans="1:19" x14ac:dyDescent="0.35">
      <c r="A5" s="15">
        <v>4</v>
      </c>
      <c r="B5" s="54" t="s">
        <v>77</v>
      </c>
      <c r="C5" s="55" t="s">
        <v>67</v>
      </c>
      <c r="D5" s="56" t="s">
        <v>73</v>
      </c>
      <c r="E5" s="57">
        <v>722870900019</v>
      </c>
      <c r="F5" s="56" t="s">
        <v>71</v>
      </c>
      <c r="G5" s="56">
        <v>26</v>
      </c>
      <c r="H5" s="56" t="s">
        <v>59</v>
      </c>
      <c r="I5" s="56" t="s">
        <v>56</v>
      </c>
      <c r="J5" s="56">
        <v>1</v>
      </c>
      <c r="K5" s="56"/>
      <c r="L5" s="56"/>
      <c r="M5" s="56">
        <f>SEGU7372565!M16</f>
        <v>976</v>
      </c>
      <c r="O5" s="42" t="s">
        <v>68</v>
      </c>
      <c r="P5" s="40">
        <v>1</v>
      </c>
      <c r="Q5" s="40">
        <v>948</v>
      </c>
      <c r="R5" s="40"/>
      <c r="S5" s="40"/>
    </row>
    <row r="6" spans="1:19" x14ac:dyDescent="0.35">
      <c r="A6" s="15">
        <v>1</v>
      </c>
      <c r="B6" s="58" t="s">
        <v>91</v>
      </c>
      <c r="C6" s="58" t="s">
        <v>68</v>
      </c>
      <c r="D6" s="59" t="s">
        <v>70</v>
      </c>
      <c r="E6" s="60">
        <v>722870900019</v>
      </c>
      <c r="F6" s="58" t="s">
        <v>71</v>
      </c>
      <c r="G6" s="61">
        <v>8</v>
      </c>
      <c r="H6" s="58" t="s">
        <v>59</v>
      </c>
      <c r="I6" s="58" t="s">
        <v>56</v>
      </c>
      <c r="J6" s="61">
        <v>1</v>
      </c>
      <c r="K6" s="61"/>
      <c r="L6" s="61"/>
      <c r="M6" s="62">
        <f>SEGU7371949!M13</f>
        <v>3523</v>
      </c>
      <c r="O6" s="42" t="s">
        <v>67</v>
      </c>
      <c r="P6" s="40">
        <v>2</v>
      </c>
      <c r="Q6" s="40">
        <v>5765</v>
      </c>
      <c r="R6" s="40"/>
      <c r="S6" s="40"/>
    </row>
    <row r="7" spans="1:19" x14ac:dyDescent="0.35">
      <c r="A7" s="15">
        <v>2</v>
      </c>
      <c r="B7" s="58" t="s">
        <v>92</v>
      </c>
      <c r="C7" s="58" t="s">
        <v>68</v>
      </c>
      <c r="D7" s="59" t="s">
        <v>72</v>
      </c>
      <c r="E7" s="60">
        <v>722870900019</v>
      </c>
      <c r="F7" s="58" t="s">
        <v>71</v>
      </c>
      <c r="G7" s="61">
        <v>6</v>
      </c>
      <c r="H7" s="58" t="s">
        <v>59</v>
      </c>
      <c r="I7" s="58" t="s">
        <v>56</v>
      </c>
      <c r="J7" s="61">
        <v>1</v>
      </c>
      <c r="K7" s="61"/>
      <c r="L7" s="61"/>
      <c r="M7" s="62">
        <f>SEGU7371949!M14</f>
        <v>948</v>
      </c>
      <c r="O7" s="41" t="s">
        <v>85</v>
      </c>
      <c r="P7" s="40">
        <v>2</v>
      </c>
      <c r="Q7" s="40">
        <v>1749</v>
      </c>
      <c r="R7" s="40"/>
      <c r="S7" s="40"/>
    </row>
    <row r="8" spans="1:19" x14ac:dyDescent="0.35">
      <c r="A8" s="15">
        <v>3</v>
      </c>
      <c r="B8" s="58" t="s">
        <v>78</v>
      </c>
      <c r="C8" s="58" t="s">
        <v>68</v>
      </c>
      <c r="D8" s="59" t="s">
        <v>81</v>
      </c>
      <c r="E8" s="60">
        <v>722870900019</v>
      </c>
      <c r="F8" s="58" t="s">
        <v>71</v>
      </c>
      <c r="G8" s="61">
        <v>840</v>
      </c>
      <c r="H8" s="58" t="s">
        <v>59</v>
      </c>
      <c r="I8" s="58" t="s">
        <v>56</v>
      </c>
      <c r="J8" s="61">
        <v>2</v>
      </c>
      <c r="K8" s="61"/>
      <c r="L8" s="61"/>
      <c r="M8" s="62">
        <f>SEGU7371949!M15</f>
        <v>3514</v>
      </c>
      <c r="O8" s="42" t="s">
        <v>68</v>
      </c>
      <c r="P8" s="40">
        <v>2</v>
      </c>
      <c r="Q8" s="40">
        <v>1749</v>
      </c>
      <c r="R8" s="40"/>
      <c r="S8" s="40"/>
    </row>
    <row r="9" spans="1:19" x14ac:dyDescent="0.35">
      <c r="A9" s="45">
        <v>4</v>
      </c>
      <c r="B9" s="63" t="s">
        <v>79</v>
      </c>
      <c r="C9" s="63" t="s">
        <v>68</v>
      </c>
      <c r="D9" s="64" t="s">
        <v>83</v>
      </c>
      <c r="E9" s="65">
        <v>722870900019</v>
      </c>
      <c r="F9" s="63" t="s">
        <v>71</v>
      </c>
      <c r="G9" s="66">
        <v>600</v>
      </c>
      <c r="H9" s="63" t="s">
        <v>59</v>
      </c>
      <c r="I9" s="63" t="s">
        <v>56</v>
      </c>
      <c r="J9" s="66">
        <v>7</v>
      </c>
      <c r="K9" s="66"/>
      <c r="L9" s="66"/>
      <c r="M9" s="67">
        <f>SEGU7371949!M16</f>
        <v>10800</v>
      </c>
      <c r="O9" s="41" t="s">
        <v>70</v>
      </c>
      <c r="P9" s="40">
        <v>12</v>
      </c>
      <c r="Q9" s="40">
        <v>40412</v>
      </c>
      <c r="R9" s="40">
        <v>40412</v>
      </c>
      <c r="S9" s="40">
        <f>R9-GETPIVOTDATA("Toplam Net Wt
(kg)",$O$1,"Description of Goods","240 NPI Steel Beam")</f>
        <v>0</v>
      </c>
    </row>
    <row r="10" spans="1:19" x14ac:dyDescent="0.35">
      <c r="A10" s="45">
        <v>5</v>
      </c>
      <c r="B10" s="63" t="s">
        <v>80</v>
      </c>
      <c r="C10" s="63" t="s">
        <v>68</v>
      </c>
      <c r="D10" s="64" t="s">
        <v>85</v>
      </c>
      <c r="E10" s="65">
        <v>722870900019</v>
      </c>
      <c r="F10" s="63" t="s">
        <v>71</v>
      </c>
      <c r="G10" s="66">
        <v>162</v>
      </c>
      <c r="H10" s="63" t="s">
        <v>59</v>
      </c>
      <c r="I10" s="63" t="s">
        <v>56</v>
      </c>
      <c r="J10" s="66">
        <v>1</v>
      </c>
      <c r="K10" s="66"/>
      <c r="L10" s="66"/>
      <c r="M10" s="67">
        <f>SEGU7371949!M17</f>
        <v>1338</v>
      </c>
      <c r="O10" s="42" t="s">
        <v>68</v>
      </c>
      <c r="P10" s="40">
        <v>1</v>
      </c>
      <c r="Q10" s="40">
        <v>3523</v>
      </c>
      <c r="R10" s="40"/>
      <c r="S10" s="40"/>
    </row>
    <row r="11" spans="1:19" x14ac:dyDescent="0.35">
      <c r="A11" s="45">
        <v>6</v>
      </c>
      <c r="B11" s="63" t="s">
        <v>82</v>
      </c>
      <c r="C11" s="63" t="s">
        <v>68</v>
      </c>
      <c r="D11" s="64" t="s">
        <v>85</v>
      </c>
      <c r="E11" s="65">
        <v>722870900019</v>
      </c>
      <c r="F11" s="63" t="s">
        <v>71</v>
      </c>
      <c r="G11" s="66">
        <v>38</v>
      </c>
      <c r="H11" s="63" t="s">
        <v>59</v>
      </c>
      <c r="I11" s="63" t="s">
        <v>56</v>
      </c>
      <c r="J11" s="66">
        <v>1</v>
      </c>
      <c r="K11" s="66"/>
      <c r="L11" s="66"/>
      <c r="M11" s="67">
        <f>SEGU7371949!M18</f>
        <v>411</v>
      </c>
      <c r="O11" s="42" t="s">
        <v>67</v>
      </c>
      <c r="P11" s="40">
        <v>4</v>
      </c>
      <c r="Q11" s="40">
        <v>13949</v>
      </c>
      <c r="R11" s="40"/>
      <c r="S11" s="40"/>
    </row>
    <row r="12" spans="1:19" x14ac:dyDescent="0.35">
      <c r="A12" s="15">
        <v>7</v>
      </c>
      <c r="B12" s="58" t="s">
        <v>84</v>
      </c>
      <c r="C12" s="58" t="s">
        <v>68</v>
      </c>
      <c r="D12" s="59" t="s">
        <v>88</v>
      </c>
      <c r="E12" s="60">
        <v>722870900019</v>
      </c>
      <c r="F12" s="58" t="s">
        <v>71</v>
      </c>
      <c r="G12" s="61">
        <v>96</v>
      </c>
      <c r="H12" s="58" t="s">
        <v>59</v>
      </c>
      <c r="I12" s="58" t="s">
        <v>56</v>
      </c>
      <c r="J12" s="61">
        <v>1</v>
      </c>
      <c r="K12" s="61"/>
      <c r="L12" s="61"/>
      <c r="M12" s="62">
        <f>SEGU7371949!M19</f>
        <v>1126</v>
      </c>
      <c r="O12" s="42" t="s">
        <v>69</v>
      </c>
      <c r="P12" s="40">
        <v>7</v>
      </c>
      <c r="Q12" s="40">
        <v>22940</v>
      </c>
      <c r="R12" s="40"/>
      <c r="S12" s="40"/>
    </row>
    <row r="13" spans="1:19" x14ac:dyDescent="0.35">
      <c r="A13" s="15">
        <v>8</v>
      </c>
      <c r="B13" s="58" t="s">
        <v>86</v>
      </c>
      <c r="C13" s="58" t="s">
        <v>68</v>
      </c>
      <c r="D13" s="59" t="s">
        <v>89</v>
      </c>
      <c r="E13" s="60">
        <v>722870900019</v>
      </c>
      <c r="F13" s="58" t="s">
        <v>71</v>
      </c>
      <c r="G13" s="61">
        <v>40</v>
      </c>
      <c r="H13" s="58" t="s">
        <v>59</v>
      </c>
      <c r="I13" s="58" t="s">
        <v>56</v>
      </c>
      <c r="J13" s="61">
        <v>1</v>
      </c>
      <c r="K13" s="61"/>
      <c r="L13" s="61"/>
      <c r="M13" s="62">
        <f>SEGU7371949!M20</f>
        <v>912</v>
      </c>
      <c r="O13" s="41" t="s">
        <v>81</v>
      </c>
      <c r="P13" s="40">
        <v>2</v>
      </c>
      <c r="Q13" s="40">
        <v>3514</v>
      </c>
      <c r="R13" s="40">
        <v>3514</v>
      </c>
      <c r="S13" s="40">
        <f>R13-GETPIVOTDATA("Toplam Net Wt
(kg)",$O$1,"Description of Goods","3x30 Flat Steel Bar")</f>
        <v>0</v>
      </c>
    </row>
    <row r="14" spans="1:19" x14ac:dyDescent="0.35">
      <c r="A14" s="15">
        <v>9</v>
      </c>
      <c r="B14" s="58" t="s">
        <v>87</v>
      </c>
      <c r="C14" s="58" t="s">
        <v>68</v>
      </c>
      <c r="D14" s="59" t="s">
        <v>90</v>
      </c>
      <c r="E14" s="60">
        <v>722870900019</v>
      </c>
      <c r="F14" s="58" t="s">
        <v>71</v>
      </c>
      <c r="G14" s="61">
        <v>60</v>
      </c>
      <c r="H14" s="58" t="s">
        <v>59</v>
      </c>
      <c r="I14" s="58" t="s">
        <v>56</v>
      </c>
      <c r="J14" s="61">
        <v>1</v>
      </c>
      <c r="K14" s="61"/>
      <c r="L14" s="61"/>
      <c r="M14" s="62">
        <f>SEGU7371949!M21</f>
        <v>1408</v>
      </c>
      <c r="O14" s="42" t="s">
        <v>68</v>
      </c>
      <c r="P14" s="40">
        <v>2</v>
      </c>
      <c r="Q14" s="40">
        <v>3514</v>
      </c>
      <c r="R14" s="40"/>
      <c r="S14" s="40"/>
    </row>
    <row r="15" spans="1:19" x14ac:dyDescent="0.35">
      <c r="A15" s="15">
        <v>1</v>
      </c>
      <c r="B15" s="68" t="s">
        <v>93</v>
      </c>
      <c r="C15" s="68" t="s">
        <v>69</v>
      </c>
      <c r="D15" s="69" t="s">
        <v>70</v>
      </c>
      <c r="E15" s="70">
        <v>722870900019</v>
      </c>
      <c r="F15" s="68" t="s">
        <v>71</v>
      </c>
      <c r="G15" s="71">
        <v>56</v>
      </c>
      <c r="H15" s="68" t="s">
        <v>59</v>
      </c>
      <c r="I15" s="68" t="s">
        <v>56</v>
      </c>
      <c r="J15" s="71">
        <v>7</v>
      </c>
      <c r="K15" s="71"/>
      <c r="L15" s="71"/>
      <c r="M15" s="72">
        <f>TCLU7579931!M13</f>
        <v>22940</v>
      </c>
      <c r="O15" s="41" t="s">
        <v>83</v>
      </c>
      <c r="P15" s="40">
        <v>7</v>
      </c>
      <c r="Q15" s="40">
        <v>10800</v>
      </c>
      <c r="R15" s="40"/>
      <c r="S15" s="40"/>
    </row>
    <row r="16" spans="1:19" x14ac:dyDescent="0.35">
      <c r="O16" s="42" t="s">
        <v>68</v>
      </c>
      <c r="P16" s="40">
        <v>7</v>
      </c>
      <c r="Q16" s="40">
        <v>10800</v>
      </c>
      <c r="R16" s="40"/>
      <c r="S16" s="40"/>
    </row>
    <row r="17" spans="3:19" x14ac:dyDescent="0.35">
      <c r="O17" s="41" t="s">
        <v>89</v>
      </c>
      <c r="P17" s="40">
        <v>1</v>
      </c>
      <c r="Q17" s="40">
        <v>912</v>
      </c>
      <c r="R17" s="40">
        <v>912</v>
      </c>
      <c r="S17" s="40">
        <f>R17-GETPIVOTDATA("Toplam Net Wt
(kg)",$O$1,"Description of Goods","50 Steel Angle Bar")</f>
        <v>0</v>
      </c>
    </row>
    <row r="18" spans="3:19" x14ac:dyDescent="0.35">
      <c r="C18" s="36" t="s">
        <v>95</v>
      </c>
      <c r="D18" t="s">
        <v>98</v>
      </c>
      <c r="E18" s="25" t="s">
        <v>100</v>
      </c>
      <c r="F18" s="39" t="s">
        <v>99</v>
      </c>
      <c r="O18" s="42" t="s">
        <v>68</v>
      </c>
      <c r="P18" s="40">
        <v>1</v>
      </c>
      <c r="Q18" s="40">
        <v>912</v>
      </c>
      <c r="R18" s="40"/>
      <c r="S18" s="40"/>
    </row>
    <row r="19" spans="3:19" x14ac:dyDescent="0.35">
      <c r="C19" s="37" t="s">
        <v>68</v>
      </c>
      <c r="D19">
        <v>23980</v>
      </c>
      <c r="E19" s="25">
        <f>27810-3830</f>
        <v>23980</v>
      </c>
      <c r="F19" s="25">
        <f>GETPIVOTDATA("Net Wt
(kg)",$C$18,"KONTEYNER","SEGU7371949")-E19</f>
        <v>0</v>
      </c>
      <c r="O19" s="41" t="s">
        <v>88</v>
      </c>
      <c r="P19" s="40">
        <v>1</v>
      </c>
      <c r="Q19" s="40">
        <v>1126</v>
      </c>
      <c r="R19" s="40">
        <v>1126</v>
      </c>
      <c r="S19" s="40">
        <f>R19-GETPIVOTDATA("Toplam Net Wt
(kg)",$O$1,"Description of Goods","5x50 Flat Steel Bar")</f>
        <v>0</v>
      </c>
    </row>
    <row r="20" spans="3:19" x14ac:dyDescent="0.35">
      <c r="C20" s="37" t="s">
        <v>67</v>
      </c>
      <c r="D20">
        <v>24540</v>
      </c>
      <c r="E20" s="25">
        <f>28370-3830</f>
        <v>24540</v>
      </c>
      <c r="F20" s="25">
        <f>GETPIVOTDATA("Net Wt
(kg)",$C$18,"KONTEYNER","SEGU7372565")-E20</f>
        <v>0</v>
      </c>
      <c r="O20" s="42" t="s">
        <v>68</v>
      </c>
      <c r="P20" s="40">
        <v>1</v>
      </c>
      <c r="Q20" s="40">
        <v>1126</v>
      </c>
      <c r="R20" s="40"/>
      <c r="S20" s="40"/>
    </row>
    <row r="21" spans="3:19" x14ac:dyDescent="0.35">
      <c r="C21" s="37" t="s">
        <v>69</v>
      </c>
      <c r="D21">
        <v>22940</v>
      </c>
      <c r="E21" s="25">
        <f>26750-3810</f>
        <v>22940</v>
      </c>
      <c r="F21" s="25">
        <f>GETPIVOTDATA("Net Wt
(kg)",$C$18,"KONTEYNER","TCLU7579931")-E21</f>
        <v>0</v>
      </c>
      <c r="O21" s="41" t="s">
        <v>73</v>
      </c>
      <c r="P21" s="40">
        <v>3</v>
      </c>
      <c r="Q21" s="40">
        <v>4826</v>
      </c>
      <c r="R21" s="40">
        <v>4826</v>
      </c>
      <c r="S21" s="40">
        <f>R21-GETPIVOTDATA("Toplam Net Wt
(kg)",$O$1,"Description of Goods","80 NPI Steel Beam")</f>
        <v>0</v>
      </c>
    </row>
    <row r="22" spans="3:19" x14ac:dyDescent="0.35">
      <c r="C22" s="37" t="s">
        <v>96</v>
      </c>
      <c r="D22">
        <v>71460</v>
      </c>
      <c r="E22" s="25">
        <f>SUM(E19:E21)</f>
        <v>71460</v>
      </c>
      <c r="F22" s="25">
        <f>SUM(F19:F21)</f>
        <v>0</v>
      </c>
      <c r="O22" s="42" t="s">
        <v>67</v>
      </c>
      <c r="P22" s="40">
        <v>3</v>
      </c>
      <c r="Q22" s="40">
        <v>4826</v>
      </c>
      <c r="R22" s="40"/>
      <c r="S22" s="40">
        <f>SUM(S2:S21)</f>
        <v>0</v>
      </c>
    </row>
    <row r="23" spans="3:19" x14ac:dyDescent="0.35">
      <c r="O23" s="37" t="s">
        <v>96</v>
      </c>
      <c r="P23">
        <v>32</v>
      </c>
      <c r="Q23">
        <v>71460</v>
      </c>
    </row>
  </sheetData>
  <pageMargins left="0.25" right="0.25" top="0.53" bottom="0.36" header="0.3" footer="0.3"/>
  <pageSetup paperSize="9" scale="79" fitToHeight="0"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4991-542F-422A-9597-6EB418350D23}">
  <sheetPr>
    <tabColor theme="9" tint="0.79998168889431442"/>
  </sheetPr>
  <dimension ref="A1:O39"/>
  <sheetViews>
    <sheetView showGridLines="0" tabSelected="1" view="pageBreakPreview" zoomScale="70" zoomScaleNormal="70" zoomScaleSheetLayoutView="70" workbookViewId="0">
      <selection activeCell="G17" sqref="G17"/>
    </sheetView>
  </sheetViews>
  <sheetFormatPr defaultColWidth="8.7265625" defaultRowHeight="14.5" x14ac:dyDescent="0.35"/>
  <cols>
    <col min="1" max="1" width="8" style="1" customWidth="1"/>
    <col min="2" max="2" width="13" style="1" customWidth="1"/>
    <col min="3" max="3" width="11.81640625" style="1" bestFit="1" customWidth="1"/>
    <col min="4" max="4" width="25.90625" style="1" customWidth="1"/>
    <col min="5" max="5" width="16.26953125" style="1" customWidth="1"/>
    <col min="6" max="6" width="7.453125" style="1" bestFit="1" customWidth="1"/>
    <col min="7" max="8" width="8" style="1" customWidth="1"/>
    <col min="9" max="9" width="12.26953125" style="1" customWidth="1"/>
    <col min="10" max="10" width="7.81640625" style="1" customWidth="1"/>
    <col min="11" max="11" width="8.26953125" style="1" customWidth="1"/>
    <col min="12" max="12" width="8.453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78" t="e" vm="1">
        <v>#VALUE!</v>
      </c>
      <c r="B1" s="79"/>
      <c r="C1" s="80"/>
      <c r="D1" s="87" t="s">
        <v>0</v>
      </c>
      <c r="E1" s="88"/>
      <c r="F1" s="88"/>
      <c r="G1" s="88"/>
      <c r="H1" s="88"/>
      <c r="I1" s="88"/>
      <c r="J1" s="88"/>
      <c r="K1" s="89"/>
      <c r="L1" s="96" t="s">
        <v>1</v>
      </c>
      <c r="M1" s="97"/>
      <c r="N1" s="98">
        <v>46098</v>
      </c>
      <c r="O1" s="99"/>
    </row>
    <row r="2" spans="1:15" ht="18" customHeight="1" x14ac:dyDescent="0.35">
      <c r="A2" s="81"/>
      <c r="B2" s="82"/>
      <c r="C2" s="83"/>
      <c r="D2" s="90"/>
      <c r="E2" s="91"/>
      <c r="F2" s="91"/>
      <c r="G2" s="91"/>
      <c r="H2" s="91"/>
      <c r="I2" s="91"/>
      <c r="J2" s="91"/>
      <c r="K2" s="92"/>
      <c r="L2" s="100" t="s">
        <v>2</v>
      </c>
      <c r="M2" s="101"/>
      <c r="N2" s="102" t="s">
        <v>3</v>
      </c>
      <c r="O2" s="103"/>
    </row>
    <row r="3" spans="1:15" ht="16.5" customHeight="1" x14ac:dyDescent="0.35">
      <c r="A3" s="81"/>
      <c r="B3" s="82"/>
      <c r="C3" s="83"/>
      <c r="D3" s="90"/>
      <c r="E3" s="91"/>
      <c r="F3" s="91"/>
      <c r="G3" s="91"/>
      <c r="H3" s="91"/>
      <c r="I3" s="91"/>
      <c r="J3" s="91"/>
      <c r="K3" s="92"/>
      <c r="L3" s="100" t="s">
        <v>4</v>
      </c>
      <c r="M3" s="101"/>
      <c r="N3" s="102" t="s">
        <v>5</v>
      </c>
      <c r="O3" s="103"/>
    </row>
    <row r="4" spans="1:15" ht="15.75" customHeight="1" thickBot="1" x14ac:dyDescent="0.4">
      <c r="A4" s="84"/>
      <c r="B4" s="85"/>
      <c r="C4" s="86"/>
      <c r="D4" s="93"/>
      <c r="E4" s="94"/>
      <c r="F4" s="94"/>
      <c r="G4" s="94"/>
      <c r="H4" s="94"/>
      <c r="I4" s="94"/>
      <c r="J4" s="94"/>
      <c r="K4" s="95"/>
      <c r="L4" s="104" t="s">
        <v>6</v>
      </c>
      <c r="M4" s="105"/>
      <c r="N4" s="106" t="s">
        <v>7</v>
      </c>
      <c r="O4" s="107"/>
    </row>
    <row r="5" spans="1:15" ht="19.899999999999999" customHeight="1" thickBot="1" x14ac:dyDescent="0.4">
      <c r="A5" s="108" t="s">
        <v>8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10"/>
    </row>
    <row r="6" spans="1:15" ht="22.15" customHeight="1" x14ac:dyDescent="0.35">
      <c r="A6" s="111" t="s">
        <v>9</v>
      </c>
      <c r="B6" s="112"/>
      <c r="C6" s="113" t="s">
        <v>65</v>
      </c>
      <c r="D6" s="113"/>
      <c r="E6" s="112" t="s">
        <v>10</v>
      </c>
      <c r="F6" s="112"/>
      <c r="G6" s="114">
        <v>46130</v>
      </c>
      <c r="H6" s="113"/>
      <c r="I6" s="112" t="s">
        <v>11</v>
      </c>
      <c r="J6" s="112"/>
      <c r="K6" s="113" t="s">
        <v>64</v>
      </c>
      <c r="L6" s="113"/>
      <c r="M6" s="112" t="s">
        <v>12</v>
      </c>
      <c r="N6" s="112"/>
      <c r="O6" s="10" t="s">
        <v>52</v>
      </c>
    </row>
    <row r="7" spans="1:15" ht="22.15" customHeight="1" x14ac:dyDescent="0.35">
      <c r="A7" s="111" t="s">
        <v>13</v>
      </c>
      <c r="B7" s="112"/>
      <c r="C7" s="113" t="s">
        <v>66</v>
      </c>
      <c r="D7" s="113"/>
      <c r="E7" s="113"/>
      <c r="F7" s="113"/>
      <c r="G7" s="113"/>
      <c r="H7" s="113"/>
      <c r="I7" s="112" t="s">
        <v>14</v>
      </c>
      <c r="J7" s="112"/>
      <c r="K7" s="117" t="s">
        <v>51</v>
      </c>
      <c r="L7" s="113"/>
      <c r="M7" s="113"/>
      <c r="N7" s="113"/>
      <c r="O7" s="118"/>
    </row>
    <row r="8" spans="1:15" ht="22.15" customHeight="1" x14ac:dyDescent="0.35">
      <c r="A8" s="111" t="s">
        <v>15</v>
      </c>
      <c r="B8" s="112"/>
      <c r="C8" s="113" t="s">
        <v>51</v>
      </c>
      <c r="D8" s="113"/>
      <c r="E8" s="113"/>
      <c r="F8" s="113"/>
      <c r="G8" s="113"/>
      <c r="H8" s="113"/>
      <c r="I8" s="112" t="s">
        <v>16</v>
      </c>
      <c r="J8" s="112"/>
      <c r="K8" s="117" t="s">
        <v>54</v>
      </c>
      <c r="L8" s="113"/>
      <c r="M8" s="112" t="s">
        <v>17</v>
      </c>
      <c r="N8" s="112"/>
      <c r="O8" s="10" t="s">
        <v>53</v>
      </c>
    </row>
    <row r="9" spans="1:15" ht="22.15" customHeight="1" x14ac:dyDescent="0.35">
      <c r="A9" s="111" t="s">
        <v>18</v>
      </c>
      <c r="B9" s="112"/>
      <c r="C9" s="113"/>
      <c r="D9" s="113"/>
      <c r="E9" s="112" t="s">
        <v>19</v>
      </c>
      <c r="F9" s="112"/>
      <c r="G9" s="117" t="s">
        <v>53</v>
      </c>
      <c r="H9" s="113"/>
      <c r="I9" s="112" t="s">
        <v>20</v>
      </c>
      <c r="J9" s="112"/>
      <c r="K9" s="113" t="s">
        <v>60</v>
      </c>
      <c r="L9" s="113"/>
      <c r="M9" s="112" t="s">
        <v>21</v>
      </c>
      <c r="N9" s="112"/>
      <c r="O9" s="2">
        <v>46166</v>
      </c>
    </row>
    <row r="10" spans="1:15" ht="22.15" customHeight="1" x14ac:dyDescent="0.35">
      <c r="A10" s="111" t="s">
        <v>22</v>
      </c>
      <c r="B10" s="112"/>
      <c r="C10" s="119" t="s">
        <v>67</v>
      </c>
      <c r="D10" s="113"/>
      <c r="E10" s="112" t="s">
        <v>23</v>
      </c>
      <c r="F10" s="112"/>
      <c r="G10" s="113"/>
      <c r="H10" s="113"/>
      <c r="I10" s="112" t="s">
        <v>24</v>
      </c>
      <c r="J10" s="112"/>
      <c r="K10" s="113"/>
      <c r="L10" s="113"/>
      <c r="M10" s="112" t="s">
        <v>25</v>
      </c>
      <c r="N10" s="112"/>
      <c r="O10" s="10" t="s">
        <v>55</v>
      </c>
    </row>
    <row r="11" spans="1:15" ht="15" thickBot="1" x14ac:dyDescent="0.4">
      <c r="A11" s="3"/>
      <c r="O11" s="4"/>
    </row>
    <row r="12" spans="1:15" ht="34.15" customHeight="1" thickBot="1" x14ac:dyDescent="0.4">
      <c r="A12" s="5" t="s">
        <v>26</v>
      </c>
      <c r="B12" s="12" t="s">
        <v>27</v>
      </c>
      <c r="C12" s="12" t="s">
        <v>28</v>
      </c>
      <c r="D12" s="12" t="s">
        <v>29</v>
      </c>
      <c r="E12" s="12" t="s">
        <v>30</v>
      </c>
      <c r="F12" s="12" t="s">
        <v>31</v>
      </c>
      <c r="G12" s="12" t="s">
        <v>32</v>
      </c>
      <c r="H12" s="12" t="s">
        <v>33</v>
      </c>
      <c r="I12" s="12" t="s">
        <v>34</v>
      </c>
      <c r="J12" s="12" t="s">
        <v>63</v>
      </c>
      <c r="K12" s="12" t="s">
        <v>61</v>
      </c>
      <c r="L12" s="12" t="s">
        <v>62</v>
      </c>
      <c r="M12" s="12" t="s">
        <v>35</v>
      </c>
      <c r="N12" s="12" t="s">
        <v>36</v>
      </c>
      <c r="O12" s="16" t="s">
        <v>37</v>
      </c>
    </row>
    <row r="13" spans="1:15" ht="21" customHeight="1" x14ac:dyDescent="0.35">
      <c r="A13" s="15">
        <v>1</v>
      </c>
      <c r="B13" s="14" t="s">
        <v>74</v>
      </c>
      <c r="C13" s="28" t="s">
        <v>67</v>
      </c>
      <c r="D13" s="11" t="s">
        <v>70</v>
      </c>
      <c r="E13" s="29">
        <v>722870900019</v>
      </c>
      <c r="F13" s="11" t="s">
        <v>71</v>
      </c>
      <c r="G13" s="11">
        <v>32</v>
      </c>
      <c r="H13" s="11" t="s">
        <v>59</v>
      </c>
      <c r="I13" s="11" t="s">
        <v>56</v>
      </c>
      <c r="J13" s="11">
        <v>4</v>
      </c>
      <c r="K13" s="11"/>
      <c r="L13" s="11"/>
      <c r="M13" s="11">
        <v>13949</v>
      </c>
      <c r="N13" s="17"/>
      <c r="O13" s="18" t="str">
        <f t="shared" ref="O13:O22" si="0">IF(COUNTA(J13:L13)=3,J13*K13*L13/1000000,"")</f>
        <v/>
      </c>
    </row>
    <row r="14" spans="1:15" ht="21" customHeight="1" x14ac:dyDescent="0.35">
      <c r="A14" s="15">
        <v>2</v>
      </c>
      <c r="B14" s="14" t="s">
        <v>105</v>
      </c>
      <c r="C14" s="28" t="s">
        <v>67</v>
      </c>
      <c r="D14" s="11" t="s">
        <v>72</v>
      </c>
      <c r="E14" s="29">
        <v>722870900019</v>
      </c>
      <c r="F14" s="11" t="s">
        <v>71</v>
      </c>
      <c r="G14" s="11">
        <v>24</v>
      </c>
      <c r="H14" s="11" t="s">
        <v>59</v>
      </c>
      <c r="I14" s="11" t="s">
        <v>56</v>
      </c>
      <c r="J14" s="11">
        <v>2</v>
      </c>
      <c r="K14" s="11"/>
      <c r="L14" s="11"/>
      <c r="M14" s="11">
        <v>5765</v>
      </c>
      <c r="N14" s="17"/>
      <c r="O14" s="18" t="str">
        <f t="shared" si="0"/>
        <v/>
      </c>
    </row>
    <row r="15" spans="1:15" ht="21" customHeight="1" x14ac:dyDescent="0.35">
      <c r="A15" s="15">
        <v>3</v>
      </c>
      <c r="B15" s="14" t="s">
        <v>76</v>
      </c>
      <c r="C15" s="28" t="s">
        <v>67</v>
      </c>
      <c r="D15" s="11" t="s">
        <v>73</v>
      </c>
      <c r="E15" s="29">
        <v>722870900019</v>
      </c>
      <c r="F15" s="11" t="s">
        <v>71</v>
      </c>
      <c r="G15" s="11">
        <v>110</v>
      </c>
      <c r="H15" s="11" t="s">
        <v>59</v>
      </c>
      <c r="I15" s="11" t="s">
        <v>56</v>
      </c>
      <c r="J15" s="11">
        <v>2</v>
      </c>
      <c r="K15" s="11"/>
      <c r="L15" s="11"/>
      <c r="M15" s="11">
        <v>3850</v>
      </c>
      <c r="N15" s="17"/>
      <c r="O15" s="18" t="str">
        <f t="shared" si="0"/>
        <v/>
      </c>
    </row>
    <row r="16" spans="1:15" ht="21" customHeight="1" x14ac:dyDescent="0.35">
      <c r="A16" s="15">
        <v>4</v>
      </c>
      <c r="B16" s="14" t="s">
        <v>77</v>
      </c>
      <c r="C16" s="28" t="s">
        <v>67</v>
      </c>
      <c r="D16" s="11" t="s">
        <v>73</v>
      </c>
      <c r="E16" s="29">
        <v>722870900019</v>
      </c>
      <c r="F16" s="11" t="s">
        <v>71</v>
      </c>
      <c r="G16" s="11">
        <v>26</v>
      </c>
      <c r="H16" s="11" t="s">
        <v>59</v>
      </c>
      <c r="I16" s="11" t="s">
        <v>56</v>
      </c>
      <c r="J16" s="11">
        <v>1</v>
      </c>
      <c r="K16" s="11"/>
      <c r="L16" s="11"/>
      <c r="M16" s="11">
        <v>976</v>
      </c>
      <c r="N16" s="17"/>
      <c r="O16" s="18" t="str">
        <f t="shared" si="0"/>
        <v/>
      </c>
    </row>
    <row r="17" spans="1:15" ht="21" customHeight="1" x14ac:dyDescent="0.35">
      <c r="A17" s="15">
        <v>5</v>
      </c>
      <c r="B17" s="14"/>
      <c r="C17" s="13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7"/>
      <c r="O17" s="18" t="str">
        <f t="shared" si="0"/>
        <v/>
      </c>
    </row>
    <row r="18" spans="1:15" ht="21" customHeight="1" x14ac:dyDescent="0.35">
      <c r="A18" s="15">
        <v>6</v>
      </c>
      <c r="B18" s="19"/>
      <c r="C18" s="1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20"/>
      <c r="O18" s="18" t="str">
        <f t="shared" si="0"/>
        <v/>
      </c>
    </row>
    <row r="19" spans="1:15" ht="21" customHeight="1" x14ac:dyDescent="0.35">
      <c r="A19" s="15">
        <v>7</v>
      </c>
      <c r="B19" s="19"/>
      <c r="C19" s="19"/>
      <c r="D19" s="19"/>
      <c r="E19" s="19"/>
      <c r="F19" s="19"/>
      <c r="G19" s="20"/>
      <c r="H19" s="19"/>
      <c r="I19" s="19"/>
      <c r="J19" s="21"/>
      <c r="K19" s="21"/>
      <c r="L19" s="21"/>
      <c r="M19" s="20"/>
      <c r="N19" s="20"/>
      <c r="O19" s="22" t="str">
        <f t="shared" si="0"/>
        <v/>
      </c>
    </row>
    <row r="20" spans="1:15" ht="21" customHeight="1" x14ac:dyDescent="0.35">
      <c r="A20" s="15">
        <v>8</v>
      </c>
      <c r="B20" s="19"/>
      <c r="C20" s="19"/>
      <c r="D20" s="19"/>
      <c r="E20" s="19"/>
      <c r="F20" s="19"/>
      <c r="G20" s="20"/>
      <c r="H20" s="19"/>
      <c r="I20" s="19"/>
      <c r="J20" s="21"/>
      <c r="K20" s="21"/>
      <c r="L20" s="21"/>
      <c r="M20" s="20"/>
      <c r="N20" s="20"/>
      <c r="O20" s="22" t="str">
        <f t="shared" si="0"/>
        <v/>
      </c>
    </row>
    <row r="21" spans="1:15" ht="21" customHeight="1" x14ac:dyDescent="0.35">
      <c r="A21" s="15">
        <v>9</v>
      </c>
      <c r="B21" s="19"/>
      <c r="C21" s="19"/>
      <c r="D21" s="19"/>
      <c r="E21" s="19"/>
      <c r="F21" s="19"/>
      <c r="G21" s="20"/>
      <c r="H21" s="19"/>
      <c r="I21" s="19"/>
      <c r="J21" s="21"/>
      <c r="K21" s="21"/>
      <c r="L21" s="21"/>
      <c r="M21" s="20"/>
      <c r="N21" s="20"/>
      <c r="O21" s="22" t="str">
        <f t="shared" si="0"/>
        <v/>
      </c>
    </row>
    <row r="22" spans="1:15" ht="21" customHeight="1" thickBot="1" x14ac:dyDescent="0.4">
      <c r="A22" s="15">
        <v>10</v>
      </c>
      <c r="B22" s="19"/>
      <c r="C22" s="19"/>
      <c r="D22" s="19"/>
      <c r="E22" s="19"/>
      <c r="F22" s="19"/>
      <c r="G22" s="20"/>
      <c r="H22" s="19"/>
      <c r="I22" s="19"/>
      <c r="J22" s="21"/>
      <c r="K22" s="21"/>
      <c r="L22" s="21"/>
      <c r="M22" s="20"/>
      <c r="N22" s="20"/>
      <c r="O22" s="22" t="str">
        <f t="shared" si="0"/>
        <v/>
      </c>
    </row>
    <row r="23" spans="1:15" ht="22.15" customHeight="1" thickBot="1" x14ac:dyDescent="0.4">
      <c r="A23" s="115" t="s">
        <v>104</v>
      </c>
      <c r="B23" s="116"/>
      <c r="C23" s="116"/>
      <c r="D23" s="116"/>
      <c r="E23" s="116"/>
      <c r="F23" s="116"/>
      <c r="G23" s="53">
        <f>SUM(G13:G22)</f>
        <v>192</v>
      </c>
      <c r="H23" s="52"/>
      <c r="I23" s="74"/>
      <c r="J23" s="52">
        <f>SUM(J13:J22)</f>
        <v>9</v>
      </c>
      <c r="K23" s="52"/>
      <c r="L23" s="52"/>
      <c r="M23" s="73">
        <f>SUM(M13:M22)</f>
        <v>24540</v>
      </c>
      <c r="N23" s="73">
        <f>SUM(N13:N22)</f>
        <v>0</v>
      </c>
      <c r="O23" s="75">
        <f>SUM(O13:O22)</f>
        <v>0</v>
      </c>
    </row>
    <row r="24" spans="1:15" x14ac:dyDescent="0.35">
      <c r="A24" s="3"/>
      <c r="O24" s="4"/>
    </row>
    <row r="25" spans="1:15" s="50" customFormat="1" ht="30.5" customHeight="1" x14ac:dyDescent="0.4">
      <c r="A25" s="120" t="s">
        <v>103</v>
      </c>
      <c r="B25" s="121"/>
      <c r="C25" s="46">
        <f>J23</f>
        <v>9</v>
      </c>
      <c r="D25" s="121" t="s">
        <v>102</v>
      </c>
      <c r="E25" s="121"/>
      <c r="F25" s="48">
        <f>G23</f>
        <v>192</v>
      </c>
      <c r="G25" s="121" t="s">
        <v>38</v>
      </c>
      <c r="H25" s="121"/>
      <c r="I25" s="47">
        <f>SUM(M13:M22)</f>
        <v>24540</v>
      </c>
      <c r="J25" s="121" t="s">
        <v>39</v>
      </c>
      <c r="K25" s="121"/>
      <c r="L25" s="48">
        <f>SUM(N13:N22)</f>
        <v>0</v>
      </c>
      <c r="M25" s="125" t="s">
        <v>40</v>
      </c>
      <c r="N25" s="125"/>
      <c r="O25" s="49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122" t="s">
        <v>41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4"/>
    </row>
    <row r="28" spans="1:15" ht="24" customHeight="1" thickBot="1" x14ac:dyDescent="0.4">
      <c r="A28" s="126" t="s">
        <v>42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4"/>
    </row>
    <row r="29" spans="1:15" ht="24" customHeight="1" thickBot="1" x14ac:dyDescent="0.4">
      <c r="A29" s="127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4"/>
    </row>
    <row r="30" spans="1:15" ht="15" thickBot="1" x14ac:dyDescent="0.4">
      <c r="A30" s="3"/>
      <c r="O30" s="4"/>
    </row>
    <row r="31" spans="1:15" ht="19.899999999999999" customHeight="1" thickBot="1" x14ac:dyDescent="0.4">
      <c r="A31" s="122" t="s">
        <v>43</v>
      </c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4"/>
    </row>
    <row r="32" spans="1:15" ht="22.15" customHeight="1" thickBot="1" x14ac:dyDescent="0.4">
      <c r="A32" s="128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30"/>
    </row>
    <row r="33" spans="1:15" ht="19.899999999999999" customHeight="1" x14ac:dyDescent="0.35">
      <c r="A33" s="137" t="s">
        <v>44</v>
      </c>
      <c r="B33" s="138"/>
      <c r="C33" s="138"/>
      <c r="D33" s="139" t="s">
        <v>45</v>
      </c>
      <c r="E33" s="138"/>
      <c r="F33" s="138"/>
      <c r="G33" s="139" t="s">
        <v>46</v>
      </c>
      <c r="H33" s="138"/>
      <c r="I33" s="138"/>
      <c r="J33" s="139" t="s">
        <v>47</v>
      </c>
      <c r="K33" s="138"/>
      <c r="L33" s="138"/>
      <c r="M33" s="139" t="s">
        <v>48</v>
      </c>
      <c r="N33" s="138"/>
      <c r="O33" s="140"/>
    </row>
    <row r="34" spans="1:15" ht="19.899999999999999" customHeight="1" x14ac:dyDescent="0.35">
      <c r="A34" s="6"/>
      <c r="B34" s="7"/>
      <c r="C34" s="7"/>
      <c r="D34" s="8"/>
      <c r="E34" s="7"/>
      <c r="F34" s="7"/>
      <c r="G34" s="8"/>
      <c r="H34" s="7"/>
      <c r="I34" s="7"/>
      <c r="J34" s="8"/>
      <c r="K34" s="7"/>
      <c r="L34" s="7"/>
      <c r="M34" s="8"/>
      <c r="N34" s="7"/>
      <c r="O34" s="9"/>
    </row>
    <row r="35" spans="1:15" ht="19.899999999999999" customHeight="1" x14ac:dyDescent="0.35">
      <c r="A35" s="6"/>
      <c r="B35" s="7"/>
      <c r="C35" s="7"/>
      <c r="D35" s="8"/>
      <c r="E35" s="7"/>
      <c r="F35" s="7"/>
      <c r="G35" s="8"/>
      <c r="H35" s="7"/>
      <c r="I35" s="7"/>
      <c r="J35" s="8"/>
      <c r="K35" s="7"/>
      <c r="L35" s="7"/>
      <c r="M35" s="8"/>
      <c r="N35" s="7"/>
      <c r="O35" s="9"/>
    </row>
    <row r="36" spans="1:15" ht="19.899999999999999" customHeight="1" thickBot="1" x14ac:dyDescent="0.4">
      <c r="A36" s="6"/>
      <c r="B36" s="7"/>
      <c r="C36" s="7"/>
      <c r="D36" s="8"/>
      <c r="E36" s="7"/>
      <c r="F36" s="7"/>
      <c r="G36" s="8"/>
      <c r="H36" s="7"/>
      <c r="I36" s="7"/>
      <c r="J36" s="8"/>
      <c r="K36" s="7"/>
      <c r="L36" s="7"/>
      <c r="M36" s="8"/>
      <c r="N36" s="7"/>
      <c r="O36" s="9"/>
    </row>
    <row r="37" spans="1:15" ht="18.5" x14ac:dyDescent="0.35">
      <c r="A37" s="141" t="s">
        <v>49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3"/>
    </row>
    <row r="38" spans="1:15" ht="14.5" customHeight="1" x14ac:dyDescent="0.35">
      <c r="A38" s="131" t="s">
        <v>50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3"/>
    </row>
    <row r="39" spans="1:15" ht="15" thickBot="1" x14ac:dyDescent="0.4">
      <c r="A39" s="134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6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6FE6-24F1-4D41-9937-004ACEDF3906}">
  <sheetPr>
    <tabColor theme="9" tint="0.79998168889431442"/>
  </sheetPr>
  <dimension ref="A1:O39"/>
  <sheetViews>
    <sheetView showGridLines="0" view="pageBreakPreview" topLeftCell="A12" zoomScale="70" zoomScaleNormal="70" zoomScaleSheetLayoutView="70" workbookViewId="0">
      <selection activeCell="S24" sqref="S24"/>
    </sheetView>
  </sheetViews>
  <sheetFormatPr defaultColWidth="8.7265625"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26.453125" style="1" customWidth="1"/>
    <col min="5" max="5" width="17.81640625" style="1" customWidth="1"/>
    <col min="6" max="6" width="9.26953125" style="1" bestFit="1" customWidth="1"/>
    <col min="7" max="8" width="8" style="1" customWidth="1"/>
    <col min="9" max="9" width="13.1796875" style="1" bestFit="1" customWidth="1"/>
    <col min="10" max="10" width="7.81640625" style="1" customWidth="1"/>
    <col min="11" max="11" width="8.26953125" style="1" customWidth="1"/>
    <col min="12" max="12" width="8.453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78" t="e" vm="1">
        <v>#VALUE!</v>
      </c>
      <c r="B1" s="79"/>
      <c r="C1" s="80"/>
      <c r="D1" s="87" t="s">
        <v>0</v>
      </c>
      <c r="E1" s="88"/>
      <c r="F1" s="88"/>
      <c r="G1" s="88"/>
      <c r="H1" s="88"/>
      <c r="I1" s="88"/>
      <c r="J1" s="88"/>
      <c r="K1" s="89"/>
      <c r="L1" s="96" t="s">
        <v>1</v>
      </c>
      <c r="M1" s="97"/>
      <c r="N1" s="98">
        <v>46098</v>
      </c>
      <c r="O1" s="99"/>
    </row>
    <row r="2" spans="1:15" ht="18" customHeight="1" x14ac:dyDescent="0.35">
      <c r="A2" s="81"/>
      <c r="B2" s="82"/>
      <c r="C2" s="83"/>
      <c r="D2" s="90"/>
      <c r="E2" s="91"/>
      <c r="F2" s="91"/>
      <c r="G2" s="91"/>
      <c r="H2" s="91"/>
      <c r="I2" s="91"/>
      <c r="J2" s="91"/>
      <c r="K2" s="92"/>
      <c r="L2" s="100" t="s">
        <v>2</v>
      </c>
      <c r="M2" s="101"/>
      <c r="N2" s="102" t="s">
        <v>3</v>
      </c>
      <c r="O2" s="103"/>
    </row>
    <row r="3" spans="1:15" ht="16.5" customHeight="1" x14ac:dyDescent="0.35">
      <c r="A3" s="81"/>
      <c r="B3" s="82"/>
      <c r="C3" s="83"/>
      <c r="D3" s="90"/>
      <c r="E3" s="91"/>
      <c r="F3" s="91"/>
      <c r="G3" s="91"/>
      <c r="H3" s="91"/>
      <c r="I3" s="91"/>
      <c r="J3" s="91"/>
      <c r="K3" s="92"/>
      <c r="L3" s="100" t="s">
        <v>4</v>
      </c>
      <c r="M3" s="101"/>
      <c r="N3" s="102" t="s">
        <v>5</v>
      </c>
      <c r="O3" s="103"/>
    </row>
    <row r="4" spans="1:15" ht="15.75" customHeight="1" thickBot="1" x14ac:dyDescent="0.4">
      <c r="A4" s="84"/>
      <c r="B4" s="85"/>
      <c r="C4" s="86"/>
      <c r="D4" s="93"/>
      <c r="E4" s="94"/>
      <c r="F4" s="94"/>
      <c r="G4" s="94"/>
      <c r="H4" s="94"/>
      <c r="I4" s="94"/>
      <c r="J4" s="94"/>
      <c r="K4" s="95"/>
      <c r="L4" s="104" t="s">
        <v>6</v>
      </c>
      <c r="M4" s="105"/>
      <c r="N4" s="106" t="s">
        <v>7</v>
      </c>
      <c r="O4" s="107"/>
    </row>
    <row r="5" spans="1:15" ht="19.899999999999999" customHeight="1" thickBot="1" x14ac:dyDescent="0.4">
      <c r="A5" s="108" t="s">
        <v>8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10"/>
    </row>
    <row r="6" spans="1:15" ht="22.15" customHeight="1" x14ac:dyDescent="0.35">
      <c r="A6" s="111" t="s">
        <v>9</v>
      </c>
      <c r="B6" s="112"/>
      <c r="C6" s="113" t="s">
        <v>65</v>
      </c>
      <c r="D6" s="113"/>
      <c r="E6" s="112" t="s">
        <v>10</v>
      </c>
      <c r="F6" s="112"/>
      <c r="G6" s="114">
        <v>46130</v>
      </c>
      <c r="H6" s="113"/>
      <c r="I6" s="112" t="s">
        <v>11</v>
      </c>
      <c r="J6" s="112"/>
      <c r="K6" s="113" t="s">
        <v>64</v>
      </c>
      <c r="L6" s="113"/>
      <c r="M6" s="112" t="s">
        <v>12</v>
      </c>
      <c r="N6" s="112"/>
      <c r="O6" s="10" t="s">
        <v>52</v>
      </c>
    </row>
    <row r="7" spans="1:15" ht="22.15" customHeight="1" x14ac:dyDescent="0.35">
      <c r="A7" s="111" t="s">
        <v>13</v>
      </c>
      <c r="B7" s="112"/>
      <c r="C7" s="113" t="s">
        <v>66</v>
      </c>
      <c r="D7" s="113"/>
      <c r="E7" s="113"/>
      <c r="F7" s="113"/>
      <c r="G7" s="113"/>
      <c r="H7" s="113"/>
      <c r="I7" s="112" t="s">
        <v>14</v>
      </c>
      <c r="J7" s="112"/>
      <c r="K7" s="117" t="s">
        <v>51</v>
      </c>
      <c r="L7" s="113"/>
      <c r="M7" s="113"/>
      <c r="N7" s="113"/>
      <c r="O7" s="118"/>
    </row>
    <row r="8" spans="1:15" ht="22.15" customHeight="1" x14ac:dyDescent="0.35">
      <c r="A8" s="111" t="s">
        <v>15</v>
      </c>
      <c r="B8" s="112"/>
      <c r="C8" s="117" t="s">
        <v>51</v>
      </c>
      <c r="D8" s="113"/>
      <c r="E8" s="113"/>
      <c r="F8" s="113"/>
      <c r="G8" s="113"/>
      <c r="H8" s="113"/>
      <c r="I8" s="112" t="s">
        <v>16</v>
      </c>
      <c r="J8" s="112"/>
      <c r="K8" s="117" t="s">
        <v>54</v>
      </c>
      <c r="L8" s="113"/>
      <c r="M8" s="112" t="s">
        <v>17</v>
      </c>
      <c r="N8" s="112"/>
      <c r="O8" s="10" t="s">
        <v>53</v>
      </c>
    </row>
    <row r="9" spans="1:15" ht="22.15" customHeight="1" x14ac:dyDescent="0.35">
      <c r="A9" s="111" t="s">
        <v>18</v>
      </c>
      <c r="B9" s="112"/>
      <c r="C9" s="113"/>
      <c r="D9" s="113"/>
      <c r="E9" s="112" t="s">
        <v>19</v>
      </c>
      <c r="F9" s="112"/>
      <c r="G9" s="117" t="s">
        <v>53</v>
      </c>
      <c r="H9" s="113"/>
      <c r="I9" s="112" t="s">
        <v>20</v>
      </c>
      <c r="J9" s="112"/>
      <c r="K9" s="113" t="s">
        <v>60</v>
      </c>
      <c r="L9" s="113"/>
      <c r="M9" s="112" t="s">
        <v>21</v>
      </c>
      <c r="N9" s="112"/>
      <c r="O9" s="2">
        <v>46166</v>
      </c>
    </row>
    <row r="10" spans="1:15" ht="22.15" customHeight="1" x14ac:dyDescent="0.35">
      <c r="A10" s="111" t="s">
        <v>22</v>
      </c>
      <c r="B10" s="112"/>
      <c r="C10" s="119" t="s">
        <v>68</v>
      </c>
      <c r="D10" s="113"/>
      <c r="E10" s="112" t="s">
        <v>23</v>
      </c>
      <c r="F10" s="112"/>
      <c r="G10" s="113"/>
      <c r="H10" s="113"/>
      <c r="I10" s="112" t="s">
        <v>24</v>
      </c>
      <c r="J10" s="112"/>
      <c r="K10" s="113"/>
      <c r="L10" s="113"/>
      <c r="M10" s="112" t="s">
        <v>25</v>
      </c>
      <c r="N10" s="112"/>
      <c r="O10" s="10" t="s">
        <v>55</v>
      </c>
    </row>
    <row r="11" spans="1:15" ht="15" thickBot="1" x14ac:dyDescent="0.4">
      <c r="A11" s="3"/>
      <c r="O11" s="4"/>
    </row>
    <row r="12" spans="1:15" ht="34.15" customHeight="1" thickBot="1" x14ac:dyDescent="0.4">
      <c r="A12" s="5" t="s">
        <v>26</v>
      </c>
      <c r="B12" s="12" t="s">
        <v>27</v>
      </c>
      <c r="C12" s="12" t="s">
        <v>28</v>
      </c>
      <c r="D12" s="12" t="s">
        <v>29</v>
      </c>
      <c r="E12" s="12" t="s">
        <v>30</v>
      </c>
      <c r="F12" s="12" t="s">
        <v>31</v>
      </c>
      <c r="G12" s="12" t="s">
        <v>32</v>
      </c>
      <c r="H12" s="12" t="s">
        <v>33</v>
      </c>
      <c r="I12" s="12" t="s">
        <v>34</v>
      </c>
      <c r="J12" s="12" t="s">
        <v>63</v>
      </c>
      <c r="K12" s="12" t="s">
        <v>61</v>
      </c>
      <c r="L12" s="12" t="s">
        <v>62</v>
      </c>
      <c r="M12" s="12" t="s">
        <v>35</v>
      </c>
      <c r="N12" s="12" t="s">
        <v>36</v>
      </c>
      <c r="O12" s="16" t="s">
        <v>37</v>
      </c>
    </row>
    <row r="13" spans="1:15" ht="21" customHeight="1" x14ac:dyDescent="0.35">
      <c r="A13" s="15">
        <v>1</v>
      </c>
      <c r="B13" s="30" t="s">
        <v>91</v>
      </c>
      <c r="C13" s="30" t="s">
        <v>68</v>
      </c>
      <c r="D13" s="30" t="s">
        <v>70</v>
      </c>
      <c r="E13" s="31">
        <v>722870900019</v>
      </c>
      <c r="F13" s="30" t="s">
        <v>71</v>
      </c>
      <c r="G13" s="32">
        <v>8</v>
      </c>
      <c r="H13" s="30" t="s">
        <v>59</v>
      </c>
      <c r="I13" s="30" t="s">
        <v>56</v>
      </c>
      <c r="J13" s="32">
        <v>1</v>
      </c>
      <c r="K13" s="32"/>
      <c r="L13" s="32"/>
      <c r="M13" s="33">
        <v>3523</v>
      </c>
      <c r="N13" s="33"/>
      <c r="O13" s="34" t="str">
        <f t="shared" ref="O13:O22" si="0">IF(COUNTA(J13:L13)=3,J13*K13*L13/1000000,"")</f>
        <v/>
      </c>
    </row>
    <row r="14" spans="1:15" ht="21" customHeight="1" x14ac:dyDescent="0.35">
      <c r="A14" s="15">
        <v>2</v>
      </c>
      <c r="B14" s="30" t="s">
        <v>92</v>
      </c>
      <c r="C14" s="30" t="s">
        <v>68</v>
      </c>
      <c r="D14" s="30" t="s">
        <v>72</v>
      </c>
      <c r="E14" s="31">
        <v>722870900019</v>
      </c>
      <c r="F14" s="30" t="s">
        <v>71</v>
      </c>
      <c r="G14" s="32">
        <v>6</v>
      </c>
      <c r="H14" s="30" t="s">
        <v>59</v>
      </c>
      <c r="I14" s="30" t="s">
        <v>56</v>
      </c>
      <c r="J14" s="32">
        <v>1</v>
      </c>
      <c r="K14" s="32"/>
      <c r="L14" s="32"/>
      <c r="M14" s="33">
        <v>948</v>
      </c>
      <c r="N14" s="33"/>
      <c r="O14" s="34" t="str">
        <f t="shared" si="0"/>
        <v/>
      </c>
    </row>
    <row r="15" spans="1:15" ht="21" customHeight="1" x14ac:dyDescent="0.35">
      <c r="A15" s="15">
        <v>3</v>
      </c>
      <c r="B15" s="30" t="s">
        <v>78</v>
      </c>
      <c r="C15" s="30" t="s">
        <v>68</v>
      </c>
      <c r="D15" s="30" t="s">
        <v>81</v>
      </c>
      <c r="E15" s="31">
        <v>722870900019</v>
      </c>
      <c r="F15" s="30" t="s">
        <v>71</v>
      </c>
      <c r="G15" s="32">
        <v>840</v>
      </c>
      <c r="H15" s="30" t="s">
        <v>59</v>
      </c>
      <c r="I15" s="30" t="s">
        <v>56</v>
      </c>
      <c r="J15" s="32">
        <v>2</v>
      </c>
      <c r="K15" s="32"/>
      <c r="L15" s="32"/>
      <c r="M15" s="33">
        <v>3514</v>
      </c>
      <c r="N15" s="33"/>
      <c r="O15" s="34" t="str">
        <f t="shared" si="0"/>
        <v/>
      </c>
    </row>
    <row r="16" spans="1:15" ht="21" customHeight="1" x14ac:dyDescent="0.35">
      <c r="A16" s="15">
        <v>4</v>
      </c>
      <c r="B16" s="30" t="s">
        <v>79</v>
      </c>
      <c r="C16" s="30" t="s">
        <v>68</v>
      </c>
      <c r="D16" s="30" t="s">
        <v>83</v>
      </c>
      <c r="E16" s="31">
        <v>722870900019</v>
      </c>
      <c r="F16" s="30" t="s">
        <v>71</v>
      </c>
      <c r="G16" s="32">
        <v>600</v>
      </c>
      <c r="H16" s="30" t="s">
        <v>59</v>
      </c>
      <c r="I16" s="30" t="s">
        <v>56</v>
      </c>
      <c r="J16" s="32">
        <v>7</v>
      </c>
      <c r="K16" s="32"/>
      <c r="L16" s="32"/>
      <c r="M16" s="33">
        <v>10800</v>
      </c>
      <c r="N16" s="33"/>
      <c r="O16" s="34" t="str">
        <f t="shared" si="0"/>
        <v/>
      </c>
    </row>
    <row r="17" spans="1:15" ht="21" customHeight="1" x14ac:dyDescent="0.35">
      <c r="A17" s="15">
        <v>5</v>
      </c>
      <c r="B17" s="30" t="s">
        <v>80</v>
      </c>
      <c r="C17" s="30" t="s">
        <v>68</v>
      </c>
      <c r="D17" s="30" t="s">
        <v>85</v>
      </c>
      <c r="E17" s="31">
        <v>722870900019</v>
      </c>
      <c r="F17" s="30" t="s">
        <v>71</v>
      </c>
      <c r="G17" s="32">
        <v>162</v>
      </c>
      <c r="H17" s="30" t="s">
        <v>59</v>
      </c>
      <c r="I17" s="30" t="s">
        <v>56</v>
      </c>
      <c r="J17" s="32">
        <v>1</v>
      </c>
      <c r="K17" s="32"/>
      <c r="L17" s="32"/>
      <c r="M17" s="33">
        <v>1338</v>
      </c>
      <c r="N17" s="33"/>
      <c r="O17" s="34" t="str">
        <f t="shared" si="0"/>
        <v/>
      </c>
    </row>
    <row r="18" spans="1:15" ht="21" customHeight="1" x14ac:dyDescent="0.35">
      <c r="A18" s="15">
        <v>6</v>
      </c>
      <c r="B18" s="30" t="s">
        <v>82</v>
      </c>
      <c r="C18" s="30" t="s">
        <v>68</v>
      </c>
      <c r="D18" s="30" t="s">
        <v>85</v>
      </c>
      <c r="E18" s="31">
        <v>722870900019</v>
      </c>
      <c r="F18" s="30" t="s">
        <v>71</v>
      </c>
      <c r="G18" s="32">
        <v>38</v>
      </c>
      <c r="H18" s="30" t="s">
        <v>59</v>
      </c>
      <c r="I18" s="30" t="s">
        <v>56</v>
      </c>
      <c r="J18" s="32">
        <v>1</v>
      </c>
      <c r="K18" s="32"/>
      <c r="L18" s="32"/>
      <c r="M18" s="33">
        <v>411</v>
      </c>
      <c r="N18" s="33"/>
      <c r="O18" s="34" t="str">
        <f t="shared" si="0"/>
        <v/>
      </c>
    </row>
    <row r="19" spans="1:15" ht="21" customHeight="1" x14ac:dyDescent="0.35">
      <c r="A19" s="15">
        <v>7</v>
      </c>
      <c r="B19" s="30" t="s">
        <v>84</v>
      </c>
      <c r="C19" s="30" t="s">
        <v>68</v>
      </c>
      <c r="D19" s="30" t="s">
        <v>88</v>
      </c>
      <c r="E19" s="31">
        <v>722870900019</v>
      </c>
      <c r="F19" s="30" t="s">
        <v>71</v>
      </c>
      <c r="G19" s="32">
        <v>96</v>
      </c>
      <c r="H19" s="30" t="s">
        <v>59</v>
      </c>
      <c r="I19" s="30" t="s">
        <v>56</v>
      </c>
      <c r="J19" s="32">
        <v>1</v>
      </c>
      <c r="K19" s="32"/>
      <c r="L19" s="32"/>
      <c r="M19" s="33">
        <v>1126</v>
      </c>
      <c r="N19" s="33"/>
      <c r="O19" s="34" t="str">
        <f t="shared" si="0"/>
        <v/>
      </c>
    </row>
    <row r="20" spans="1:15" ht="21" customHeight="1" x14ac:dyDescent="0.35">
      <c r="A20" s="15">
        <v>8</v>
      </c>
      <c r="B20" s="30" t="s">
        <v>86</v>
      </c>
      <c r="C20" s="30" t="s">
        <v>68</v>
      </c>
      <c r="D20" s="30" t="s">
        <v>89</v>
      </c>
      <c r="E20" s="31">
        <v>722870900019</v>
      </c>
      <c r="F20" s="30" t="s">
        <v>71</v>
      </c>
      <c r="G20" s="32">
        <v>40</v>
      </c>
      <c r="H20" s="30" t="s">
        <v>59</v>
      </c>
      <c r="I20" s="30" t="s">
        <v>56</v>
      </c>
      <c r="J20" s="32">
        <v>1</v>
      </c>
      <c r="K20" s="32"/>
      <c r="L20" s="32"/>
      <c r="M20" s="33">
        <v>912</v>
      </c>
      <c r="N20" s="33"/>
      <c r="O20" s="34" t="str">
        <f t="shared" si="0"/>
        <v/>
      </c>
    </row>
    <row r="21" spans="1:15" ht="21" customHeight="1" x14ac:dyDescent="0.35">
      <c r="A21" s="15">
        <v>9</v>
      </c>
      <c r="B21" s="30" t="s">
        <v>87</v>
      </c>
      <c r="C21" s="30" t="s">
        <v>68</v>
      </c>
      <c r="D21" s="30" t="s">
        <v>90</v>
      </c>
      <c r="E21" s="31">
        <v>722870900019</v>
      </c>
      <c r="F21" s="30" t="s">
        <v>71</v>
      </c>
      <c r="G21" s="32">
        <v>60</v>
      </c>
      <c r="H21" s="30" t="s">
        <v>59</v>
      </c>
      <c r="I21" s="30" t="s">
        <v>56</v>
      </c>
      <c r="J21" s="32">
        <v>1</v>
      </c>
      <c r="K21" s="32"/>
      <c r="L21" s="32"/>
      <c r="M21" s="33">
        <v>1408</v>
      </c>
      <c r="N21" s="33"/>
      <c r="O21" s="34" t="str">
        <f t="shared" si="0"/>
        <v/>
      </c>
    </row>
    <row r="22" spans="1:15" ht="21" customHeight="1" thickBot="1" x14ac:dyDescent="0.4">
      <c r="A22" s="15">
        <v>10</v>
      </c>
      <c r="B22" s="19"/>
      <c r="C22" s="19"/>
      <c r="D22" s="19"/>
      <c r="E22" s="19"/>
      <c r="F22" s="19"/>
      <c r="G22" s="20"/>
      <c r="H22" s="19"/>
      <c r="I22" s="19"/>
      <c r="J22" s="21"/>
      <c r="K22" s="21"/>
      <c r="L22" s="21"/>
      <c r="M22" s="20"/>
      <c r="N22" s="20"/>
      <c r="O22" s="22" t="str">
        <f t="shared" si="0"/>
        <v/>
      </c>
    </row>
    <row r="23" spans="1:15" ht="22.15" customHeight="1" thickBot="1" x14ac:dyDescent="0.4">
      <c r="A23" s="144" t="s">
        <v>104</v>
      </c>
      <c r="B23" s="145"/>
      <c r="C23" s="145"/>
      <c r="D23" s="145"/>
      <c r="E23" s="145"/>
      <c r="F23" s="145"/>
      <c r="G23" s="53">
        <f>SUM(G13:G22)</f>
        <v>1850</v>
      </c>
      <c r="H23" s="52"/>
      <c r="I23" s="74"/>
      <c r="J23" s="53">
        <f>SUM(J13:J22)</f>
        <v>16</v>
      </c>
      <c r="K23" s="52"/>
      <c r="L23" s="52"/>
      <c r="M23" s="73">
        <f>SUM(M13:M22)</f>
        <v>23980</v>
      </c>
      <c r="N23" s="73">
        <f>SUM(N13:N22)</f>
        <v>0</v>
      </c>
      <c r="O23" s="75">
        <f>SUM(O13:O22)</f>
        <v>0</v>
      </c>
    </row>
    <row r="24" spans="1:15" x14ac:dyDescent="0.35">
      <c r="A24" s="3"/>
      <c r="O24" s="4"/>
    </row>
    <row r="25" spans="1:15" s="50" customFormat="1" ht="30.5" customHeight="1" x14ac:dyDescent="0.4">
      <c r="A25" s="120" t="s">
        <v>103</v>
      </c>
      <c r="B25" s="121"/>
      <c r="C25" s="51">
        <f>J23</f>
        <v>16</v>
      </c>
      <c r="D25" s="121" t="s">
        <v>102</v>
      </c>
      <c r="E25" s="121"/>
      <c r="F25" s="51">
        <f>G23</f>
        <v>1850</v>
      </c>
      <c r="G25" s="121" t="s">
        <v>38</v>
      </c>
      <c r="H25" s="121"/>
      <c r="I25" s="47">
        <f>M23</f>
        <v>23980</v>
      </c>
      <c r="J25" s="121" t="s">
        <v>39</v>
      </c>
      <c r="K25" s="121"/>
      <c r="L25" s="48">
        <f>SUM(N13:N22)</f>
        <v>0</v>
      </c>
      <c r="M25" s="125" t="s">
        <v>40</v>
      </c>
      <c r="N25" s="125"/>
      <c r="O25" s="49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122" t="s">
        <v>41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4"/>
    </row>
    <row r="28" spans="1:15" ht="24" customHeight="1" thickBot="1" x14ac:dyDescent="0.4">
      <c r="A28" s="126" t="s">
        <v>42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4"/>
    </row>
    <row r="29" spans="1:15" ht="24" customHeight="1" thickBot="1" x14ac:dyDescent="0.4">
      <c r="A29" s="127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4"/>
    </row>
    <row r="30" spans="1:15" ht="15" thickBot="1" x14ac:dyDescent="0.4">
      <c r="A30" s="3"/>
      <c r="O30" s="4"/>
    </row>
    <row r="31" spans="1:15" ht="19.899999999999999" customHeight="1" thickBot="1" x14ac:dyDescent="0.4">
      <c r="A31" s="122" t="s">
        <v>43</v>
      </c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4"/>
    </row>
    <row r="32" spans="1:15" ht="22.15" customHeight="1" thickBot="1" x14ac:dyDescent="0.4">
      <c r="A32" s="128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30"/>
    </row>
    <row r="33" spans="1:15" ht="19.899999999999999" customHeight="1" x14ac:dyDescent="0.35">
      <c r="A33" s="137" t="s">
        <v>44</v>
      </c>
      <c r="B33" s="138"/>
      <c r="C33" s="138"/>
      <c r="D33" s="139" t="s">
        <v>45</v>
      </c>
      <c r="E33" s="138"/>
      <c r="F33" s="138"/>
      <c r="G33" s="139" t="s">
        <v>46</v>
      </c>
      <c r="H33" s="138"/>
      <c r="I33" s="138"/>
      <c r="J33" s="139" t="s">
        <v>47</v>
      </c>
      <c r="K33" s="138"/>
      <c r="L33" s="138"/>
      <c r="M33" s="139" t="s">
        <v>48</v>
      </c>
      <c r="N33" s="138"/>
      <c r="O33" s="140"/>
    </row>
    <row r="34" spans="1:15" ht="19.899999999999999" customHeight="1" x14ac:dyDescent="0.35">
      <c r="A34" s="6"/>
      <c r="B34" s="7"/>
      <c r="C34" s="7"/>
      <c r="D34" s="8"/>
      <c r="E34" s="7"/>
      <c r="F34" s="7"/>
      <c r="G34" s="8"/>
      <c r="H34" s="7"/>
      <c r="I34" s="7"/>
      <c r="J34" s="8"/>
      <c r="K34" s="7"/>
      <c r="L34" s="7"/>
      <c r="M34" s="8"/>
      <c r="N34" s="7"/>
      <c r="O34" s="9"/>
    </row>
    <row r="35" spans="1:15" ht="19.899999999999999" customHeight="1" x14ac:dyDescent="0.35">
      <c r="A35" s="6"/>
      <c r="B35" s="7"/>
      <c r="C35" s="7"/>
      <c r="D35" s="8"/>
      <c r="E35" s="7"/>
      <c r="F35" s="7"/>
      <c r="G35" s="8"/>
      <c r="H35" s="7"/>
      <c r="I35" s="7"/>
      <c r="J35" s="8"/>
      <c r="K35" s="7"/>
      <c r="L35" s="7"/>
      <c r="M35" s="8"/>
      <c r="N35" s="7"/>
      <c r="O35" s="9"/>
    </row>
    <row r="36" spans="1:15" ht="19.899999999999999" customHeight="1" thickBot="1" x14ac:dyDescent="0.4">
      <c r="A36" s="6"/>
      <c r="B36" s="7"/>
      <c r="C36" s="7"/>
      <c r="D36" s="8"/>
      <c r="E36" s="7"/>
      <c r="F36" s="7"/>
      <c r="G36" s="8"/>
      <c r="H36" s="7"/>
      <c r="I36" s="7"/>
      <c r="J36" s="8"/>
      <c r="K36" s="7"/>
      <c r="L36" s="7"/>
      <c r="M36" s="8"/>
      <c r="N36" s="7"/>
      <c r="O36" s="9"/>
    </row>
    <row r="37" spans="1:15" ht="18.5" x14ac:dyDescent="0.35">
      <c r="A37" s="141" t="s">
        <v>49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3"/>
    </row>
    <row r="38" spans="1:15" ht="14.5" customHeight="1" x14ac:dyDescent="0.35">
      <c r="A38" s="131" t="s">
        <v>50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3"/>
    </row>
    <row r="39" spans="1:15" ht="15" thickBot="1" x14ac:dyDescent="0.4">
      <c r="A39" s="134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6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honeticPr fontId="20" type="noConversion"/>
  <pageMargins left="0.7" right="0.7" top="0.75" bottom="0.75" header="0.3" footer="0.3"/>
  <pageSetup paperSize="9" scale="48" orientation="portrait" r:id="rId1"/>
  <ignoredErrors>
    <ignoredError sqref="O13:O18" formulaRange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2B18-BE7B-4540-968D-D921B98C65E0}">
  <sheetPr>
    <tabColor theme="9" tint="0.79998168889431442"/>
  </sheetPr>
  <dimension ref="A1:O39"/>
  <sheetViews>
    <sheetView showGridLines="0" view="pageBreakPreview" topLeftCell="A12" zoomScale="70" zoomScaleNormal="70" zoomScaleSheetLayoutView="70" workbookViewId="0">
      <selection activeCell="S22" sqref="S22"/>
    </sheetView>
  </sheetViews>
  <sheetFormatPr defaultColWidth="8.7265625"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26.453125" style="1" customWidth="1"/>
    <col min="5" max="5" width="15.7265625" style="1" bestFit="1" customWidth="1"/>
    <col min="6" max="6" width="6.54296875" style="1" bestFit="1" customWidth="1"/>
    <col min="7" max="8" width="8" style="1" customWidth="1"/>
    <col min="9" max="9" width="13.1796875" style="1" bestFit="1" customWidth="1"/>
    <col min="10" max="10" width="7.81640625" style="1" customWidth="1"/>
    <col min="11" max="11" width="8.26953125" style="1" customWidth="1"/>
    <col min="12" max="12" width="8.453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78" t="e" vm="1">
        <v>#VALUE!</v>
      </c>
      <c r="B1" s="79"/>
      <c r="C1" s="80"/>
      <c r="D1" s="87" t="s">
        <v>0</v>
      </c>
      <c r="E1" s="88"/>
      <c r="F1" s="88"/>
      <c r="G1" s="88"/>
      <c r="H1" s="88"/>
      <c r="I1" s="88"/>
      <c r="J1" s="88"/>
      <c r="K1" s="89"/>
      <c r="L1" s="96" t="s">
        <v>1</v>
      </c>
      <c r="M1" s="97"/>
      <c r="N1" s="98">
        <v>46098</v>
      </c>
      <c r="O1" s="99"/>
    </row>
    <row r="2" spans="1:15" ht="18" customHeight="1" x14ac:dyDescent="0.35">
      <c r="A2" s="81"/>
      <c r="B2" s="82"/>
      <c r="C2" s="83"/>
      <c r="D2" s="90"/>
      <c r="E2" s="91"/>
      <c r="F2" s="91"/>
      <c r="G2" s="91"/>
      <c r="H2" s="91"/>
      <c r="I2" s="91"/>
      <c r="J2" s="91"/>
      <c r="K2" s="92"/>
      <c r="L2" s="100" t="s">
        <v>2</v>
      </c>
      <c r="M2" s="101"/>
      <c r="N2" s="102" t="s">
        <v>3</v>
      </c>
      <c r="O2" s="103"/>
    </row>
    <row r="3" spans="1:15" ht="16.5" customHeight="1" x14ac:dyDescent="0.35">
      <c r="A3" s="81"/>
      <c r="B3" s="82"/>
      <c r="C3" s="83"/>
      <c r="D3" s="90"/>
      <c r="E3" s="91"/>
      <c r="F3" s="91"/>
      <c r="G3" s="91"/>
      <c r="H3" s="91"/>
      <c r="I3" s="91"/>
      <c r="J3" s="91"/>
      <c r="K3" s="92"/>
      <c r="L3" s="100" t="s">
        <v>4</v>
      </c>
      <c r="M3" s="101"/>
      <c r="N3" s="102" t="s">
        <v>5</v>
      </c>
      <c r="O3" s="103"/>
    </row>
    <row r="4" spans="1:15" ht="15.75" customHeight="1" thickBot="1" x14ac:dyDescent="0.4">
      <c r="A4" s="84"/>
      <c r="B4" s="85"/>
      <c r="C4" s="86"/>
      <c r="D4" s="93"/>
      <c r="E4" s="94"/>
      <c r="F4" s="94"/>
      <c r="G4" s="94"/>
      <c r="H4" s="94"/>
      <c r="I4" s="94"/>
      <c r="J4" s="94"/>
      <c r="K4" s="95"/>
      <c r="L4" s="104" t="s">
        <v>6</v>
      </c>
      <c r="M4" s="105"/>
      <c r="N4" s="106" t="s">
        <v>7</v>
      </c>
      <c r="O4" s="107"/>
    </row>
    <row r="5" spans="1:15" ht="19.899999999999999" customHeight="1" thickBot="1" x14ac:dyDescent="0.4">
      <c r="A5" s="108" t="s">
        <v>8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10"/>
    </row>
    <row r="6" spans="1:15" ht="22.15" customHeight="1" x14ac:dyDescent="0.35">
      <c r="A6" s="111" t="s">
        <v>9</v>
      </c>
      <c r="B6" s="112"/>
      <c r="C6" s="113" t="s">
        <v>65</v>
      </c>
      <c r="D6" s="113"/>
      <c r="E6" s="112" t="s">
        <v>10</v>
      </c>
      <c r="F6" s="112"/>
      <c r="G6" s="114">
        <v>46130</v>
      </c>
      <c r="H6" s="113"/>
      <c r="I6" s="112" t="s">
        <v>11</v>
      </c>
      <c r="J6" s="112"/>
      <c r="K6" s="113" t="s">
        <v>64</v>
      </c>
      <c r="L6" s="113"/>
      <c r="M6" s="112" t="s">
        <v>12</v>
      </c>
      <c r="N6" s="112"/>
      <c r="O6" s="10" t="s">
        <v>52</v>
      </c>
    </row>
    <row r="7" spans="1:15" ht="22.15" customHeight="1" x14ac:dyDescent="0.35">
      <c r="A7" s="111" t="s">
        <v>13</v>
      </c>
      <c r="B7" s="112"/>
      <c r="C7" s="113" t="s">
        <v>66</v>
      </c>
      <c r="D7" s="113"/>
      <c r="E7" s="113"/>
      <c r="F7" s="113"/>
      <c r="G7" s="113"/>
      <c r="H7" s="113"/>
      <c r="I7" s="112" t="s">
        <v>14</v>
      </c>
      <c r="J7" s="112"/>
      <c r="K7" s="117" t="s">
        <v>51</v>
      </c>
      <c r="L7" s="113"/>
      <c r="M7" s="113"/>
      <c r="N7" s="113"/>
      <c r="O7" s="118"/>
    </row>
    <row r="8" spans="1:15" ht="22.15" customHeight="1" x14ac:dyDescent="0.35">
      <c r="A8" s="111" t="s">
        <v>15</v>
      </c>
      <c r="B8" s="112"/>
      <c r="C8" s="117" t="s">
        <v>51</v>
      </c>
      <c r="D8" s="113"/>
      <c r="E8" s="113"/>
      <c r="F8" s="113"/>
      <c r="G8" s="113"/>
      <c r="H8" s="113"/>
      <c r="I8" s="112" t="s">
        <v>16</v>
      </c>
      <c r="J8" s="112"/>
      <c r="K8" s="117" t="s">
        <v>54</v>
      </c>
      <c r="L8" s="113"/>
      <c r="M8" s="112" t="s">
        <v>17</v>
      </c>
      <c r="N8" s="112"/>
      <c r="O8" s="10" t="s">
        <v>53</v>
      </c>
    </row>
    <row r="9" spans="1:15" ht="22.15" customHeight="1" x14ac:dyDescent="0.35">
      <c r="A9" s="111" t="s">
        <v>18</v>
      </c>
      <c r="B9" s="112"/>
      <c r="C9" s="113"/>
      <c r="D9" s="113"/>
      <c r="E9" s="112" t="s">
        <v>19</v>
      </c>
      <c r="F9" s="112"/>
      <c r="G9" s="117" t="s">
        <v>53</v>
      </c>
      <c r="H9" s="113"/>
      <c r="I9" s="112" t="s">
        <v>20</v>
      </c>
      <c r="J9" s="112"/>
      <c r="K9" s="113" t="s">
        <v>60</v>
      </c>
      <c r="L9" s="113"/>
      <c r="M9" s="112" t="s">
        <v>21</v>
      </c>
      <c r="N9" s="112"/>
      <c r="O9" s="2">
        <v>46166</v>
      </c>
    </row>
    <row r="10" spans="1:15" ht="22.15" customHeight="1" x14ac:dyDescent="0.35">
      <c r="A10" s="111" t="s">
        <v>22</v>
      </c>
      <c r="B10" s="112"/>
      <c r="C10" s="119" t="s">
        <v>69</v>
      </c>
      <c r="D10" s="113"/>
      <c r="E10" s="112" t="s">
        <v>23</v>
      </c>
      <c r="F10" s="112"/>
      <c r="G10" s="113"/>
      <c r="H10" s="113"/>
      <c r="I10" s="112" t="s">
        <v>24</v>
      </c>
      <c r="J10" s="112"/>
      <c r="K10" s="113"/>
      <c r="L10" s="113"/>
      <c r="M10" s="112" t="s">
        <v>25</v>
      </c>
      <c r="N10" s="112"/>
      <c r="O10" s="10" t="s">
        <v>55</v>
      </c>
    </row>
    <row r="11" spans="1:15" ht="15" thickBot="1" x14ac:dyDescent="0.4">
      <c r="A11" s="3"/>
      <c r="O11" s="4"/>
    </row>
    <row r="12" spans="1:15" ht="34.15" customHeight="1" thickBot="1" x14ac:dyDescent="0.4">
      <c r="A12" s="5" t="s">
        <v>26</v>
      </c>
      <c r="B12" s="12" t="s">
        <v>27</v>
      </c>
      <c r="C12" s="12" t="s">
        <v>28</v>
      </c>
      <c r="D12" s="12" t="s">
        <v>29</v>
      </c>
      <c r="E12" s="12" t="s">
        <v>30</v>
      </c>
      <c r="F12" s="12" t="s">
        <v>31</v>
      </c>
      <c r="G12" s="12" t="s">
        <v>32</v>
      </c>
      <c r="H12" s="12" t="s">
        <v>33</v>
      </c>
      <c r="I12" s="12" t="s">
        <v>34</v>
      </c>
      <c r="J12" s="12" t="s">
        <v>63</v>
      </c>
      <c r="K12" s="12" t="s">
        <v>61</v>
      </c>
      <c r="L12" s="12" t="s">
        <v>62</v>
      </c>
      <c r="M12" s="12" t="s">
        <v>35</v>
      </c>
      <c r="N12" s="12" t="s">
        <v>36</v>
      </c>
      <c r="O12" s="16" t="s">
        <v>37</v>
      </c>
    </row>
    <row r="13" spans="1:15" ht="25.5" customHeight="1" x14ac:dyDescent="0.35">
      <c r="A13" s="15">
        <v>1</v>
      </c>
      <c r="B13" s="30" t="s">
        <v>93</v>
      </c>
      <c r="C13" s="30" t="s">
        <v>69</v>
      </c>
      <c r="D13" s="30" t="s">
        <v>70</v>
      </c>
      <c r="E13" s="31">
        <v>722870900019</v>
      </c>
      <c r="F13" s="30" t="s">
        <v>71</v>
      </c>
      <c r="G13" s="32">
        <v>56</v>
      </c>
      <c r="H13" s="30" t="s">
        <v>59</v>
      </c>
      <c r="I13" s="30" t="s">
        <v>56</v>
      </c>
      <c r="J13" s="32">
        <v>7</v>
      </c>
      <c r="K13" s="32"/>
      <c r="L13" s="32"/>
      <c r="M13" s="35">
        <v>22940</v>
      </c>
      <c r="N13" s="33"/>
      <c r="O13" s="34" t="str">
        <f t="shared" ref="O13" si="0">IF(COUNTA(J13:L13)=3,J13*K13*L13/1000000,"")</f>
        <v/>
      </c>
    </row>
    <row r="14" spans="1:15" ht="25.5" customHeight="1" x14ac:dyDescent="0.35">
      <c r="A14" s="15">
        <v>2</v>
      </c>
      <c r="B14" s="14"/>
      <c r="C14" s="13"/>
      <c r="D14" s="26"/>
      <c r="E14" s="11"/>
      <c r="F14" s="11"/>
      <c r="G14" s="11"/>
      <c r="H14" s="11"/>
      <c r="I14" s="11"/>
      <c r="J14" s="11"/>
      <c r="K14" s="11"/>
      <c r="L14" s="11"/>
      <c r="M14" s="11"/>
      <c r="N14" s="17"/>
      <c r="O14" s="18" t="str">
        <f t="shared" ref="O14:O22" si="1">IF(COUNTA(J14:L14)=3,J14*K14*L14/1000000,"")</f>
        <v/>
      </c>
    </row>
    <row r="15" spans="1:15" ht="21" customHeight="1" x14ac:dyDescent="0.35">
      <c r="A15" s="15">
        <v>3</v>
      </c>
      <c r="B15" s="14"/>
      <c r="C15" s="13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7"/>
      <c r="O15" s="18" t="str">
        <f t="shared" si="1"/>
        <v/>
      </c>
    </row>
    <row r="16" spans="1:15" ht="21" customHeight="1" x14ac:dyDescent="0.35">
      <c r="A16" s="15">
        <v>4</v>
      </c>
      <c r="B16" s="14"/>
      <c r="C16" s="13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7"/>
      <c r="O16" s="18" t="str">
        <f t="shared" si="1"/>
        <v/>
      </c>
    </row>
    <row r="17" spans="1:15" ht="21" customHeight="1" x14ac:dyDescent="0.35">
      <c r="A17" s="15">
        <v>5</v>
      </c>
      <c r="B17" s="14"/>
      <c r="C17" s="13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7"/>
      <c r="O17" s="18" t="str">
        <f t="shared" si="1"/>
        <v/>
      </c>
    </row>
    <row r="18" spans="1:15" ht="21" customHeight="1" x14ac:dyDescent="0.35">
      <c r="A18" s="15">
        <v>6</v>
      </c>
      <c r="B18" s="19"/>
      <c r="C18" s="1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20"/>
      <c r="O18" s="18" t="str">
        <f t="shared" si="1"/>
        <v/>
      </c>
    </row>
    <row r="19" spans="1:15" ht="21" customHeight="1" x14ac:dyDescent="0.35">
      <c r="A19" s="15">
        <v>7</v>
      </c>
      <c r="B19" s="19"/>
      <c r="C19" s="19"/>
      <c r="D19" s="19"/>
      <c r="E19" s="19"/>
      <c r="F19" s="19"/>
      <c r="G19" s="20"/>
      <c r="H19" s="19"/>
      <c r="I19" s="19"/>
      <c r="J19" s="21"/>
      <c r="K19" s="21"/>
      <c r="L19" s="21"/>
      <c r="M19" s="20"/>
      <c r="N19" s="20"/>
      <c r="O19" s="22" t="str">
        <f t="shared" si="1"/>
        <v/>
      </c>
    </row>
    <row r="20" spans="1:15" ht="21" customHeight="1" x14ac:dyDescent="0.35">
      <c r="A20" s="15">
        <v>8</v>
      </c>
      <c r="B20" s="19"/>
      <c r="C20" s="19"/>
      <c r="D20" s="19"/>
      <c r="E20" s="19"/>
      <c r="F20" s="19"/>
      <c r="G20" s="20"/>
      <c r="H20" s="19"/>
      <c r="I20" s="19"/>
      <c r="J20" s="21"/>
      <c r="K20" s="21"/>
      <c r="L20" s="21"/>
      <c r="M20" s="20"/>
      <c r="N20" s="20"/>
      <c r="O20" s="22" t="str">
        <f t="shared" si="1"/>
        <v/>
      </c>
    </row>
    <row r="21" spans="1:15" ht="21" customHeight="1" x14ac:dyDescent="0.35">
      <c r="A21" s="15">
        <v>9</v>
      </c>
      <c r="B21" s="19"/>
      <c r="C21" s="19"/>
      <c r="D21" s="19"/>
      <c r="E21" s="19"/>
      <c r="F21" s="19"/>
      <c r="G21" s="20"/>
      <c r="H21" s="19"/>
      <c r="I21" s="19"/>
      <c r="J21" s="21"/>
      <c r="K21" s="21"/>
      <c r="L21" s="21"/>
      <c r="M21" s="20"/>
      <c r="N21" s="20"/>
      <c r="O21" s="22" t="str">
        <f t="shared" si="1"/>
        <v/>
      </c>
    </row>
    <row r="22" spans="1:15" ht="21" customHeight="1" thickBot="1" x14ac:dyDescent="0.4">
      <c r="A22" s="15">
        <v>10</v>
      </c>
      <c r="B22" s="19"/>
      <c r="C22" s="19"/>
      <c r="D22" s="19"/>
      <c r="E22" s="19"/>
      <c r="F22" s="19"/>
      <c r="G22" s="20"/>
      <c r="H22" s="19"/>
      <c r="I22" s="19"/>
      <c r="J22" s="21"/>
      <c r="K22" s="21"/>
      <c r="L22" s="21"/>
      <c r="M22" s="20"/>
      <c r="N22" s="20"/>
      <c r="O22" s="22" t="str">
        <f t="shared" si="1"/>
        <v/>
      </c>
    </row>
    <row r="23" spans="1:15" ht="22.15" customHeight="1" thickBot="1" x14ac:dyDescent="0.4">
      <c r="A23" s="144" t="s">
        <v>104</v>
      </c>
      <c r="B23" s="145"/>
      <c r="C23" s="145"/>
      <c r="D23" s="145"/>
      <c r="E23" s="145"/>
      <c r="F23" s="145"/>
      <c r="G23" s="53">
        <f>SUM(G13:G22)</f>
        <v>56</v>
      </c>
      <c r="H23" s="52"/>
      <c r="I23" s="74"/>
      <c r="J23" s="53">
        <f>SUM(J13:J22)</f>
        <v>7</v>
      </c>
      <c r="K23" s="52"/>
      <c r="L23" s="52"/>
      <c r="M23" s="73">
        <f>SUM(M13:M22)</f>
        <v>22940</v>
      </c>
      <c r="N23" s="73">
        <f>SUM(N13:N22)</f>
        <v>0</v>
      </c>
      <c r="O23" s="75">
        <f>SUM(O13:O22)</f>
        <v>0</v>
      </c>
    </row>
    <row r="24" spans="1:15" x14ac:dyDescent="0.35">
      <c r="A24" s="3"/>
      <c r="O24" s="4"/>
    </row>
    <row r="25" spans="1:15" s="50" customFormat="1" ht="30.5" customHeight="1" x14ac:dyDescent="0.4">
      <c r="A25" s="120" t="s">
        <v>103</v>
      </c>
      <c r="B25" s="121"/>
      <c r="C25" s="46">
        <f>J23</f>
        <v>7</v>
      </c>
      <c r="D25" s="121" t="s">
        <v>102</v>
      </c>
      <c r="E25" s="121"/>
      <c r="F25" s="51">
        <f>G23</f>
        <v>56</v>
      </c>
      <c r="G25" s="121" t="s">
        <v>38</v>
      </c>
      <c r="H25" s="121"/>
      <c r="I25" s="47">
        <f>M23</f>
        <v>22940</v>
      </c>
      <c r="J25" s="121" t="s">
        <v>39</v>
      </c>
      <c r="K25" s="121"/>
      <c r="L25" s="48">
        <f>SUM(N13:N22)</f>
        <v>0</v>
      </c>
      <c r="M25" s="125" t="s">
        <v>40</v>
      </c>
      <c r="N25" s="125"/>
      <c r="O25" s="49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122" t="s">
        <v>41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4"/>
    </row>
    <row r="28" spans="1:15" ht="24" customHeight="1" thickBot="1" x14ac:dyDescent="0.4">
      <c r="A28" s="126" t="s">
        <v>42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4"/>
    </row>
    <row r="29" spans="1:15" ht="24" customHeight="1" thickBot="1" x14ac:dyDescent="0.4">
      <c r="A29" s="127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4"/>
    </row>
    <row r="30" spans="1:15" ht="15" thickBot="1" x14ac:dyDescent="0.4">
      <c r="A30" s="3"/>
      <c r="O30" s="4"/>
    </row>
    <row r="31" spans="1:15" ht="19.899999999999999" customHeight="1" thickBot="1" x14ac:dyDescent="0.4">
      <c r="A31" s="122" t="s">
        <v>43</v>
      </c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4"/>
    </row>
    <row r="32" spans="1:15" ht="22.15" customHeight="1" thickBot="1" x14ac:dyDescent="0.4">
      <c r="A32" s="128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30"/>
    </row>
    <row r="33" spans="1:15" ht="19.899999999999999" customHeight="1" x14ac:dyDescent="0.35">
      <c r="A33" s="137" t="s">
        <v>44</v>
      </c>
      <c r="B33" s="138"/>
      <c r="C33" s="138"/>
      <c r="D33" s="139" t="s">
        <v>45</v>
      </c>
      <c r="E33" s="138"/>
      <c r="F33" s="138"/>
      <c r="G33" s="139" t="s">
        <v>46</v>
      </c>
      <c r="H33" s="138"/>
      <c r="I33" s="138"/>
      <c r="J33" s="139" t="s">
        <v>47</v>
      </c>
      <c r="K33" s="138"/>
      <c r="L33" s="138"/>
      <c r="M33" s="139" t="s">
        <v>48</v>
      </c>
      <c r="N33" s="138"/>
      <c r="O33" s="140"/>
    </row>
    <row r="34" spans="1:15" ht="19.899999999999999" customHeight="1" x14ac:dyDescent="0.35">
      <c r="A34" s="6"/>
      <c r="B34" s="7"/>
      <c r="C34" s="7"/>
      <c r="D34" s="8"/>
      <c r="E34" s="7"/>
      <c r="F34" s="7"/>
      <c r="G34" s="8"/>
      <c r="H34" s="7"/>
      <c r="I34" s="7"/>
      <c r="J34" s="8"/>
      <c r="K34" s="7"/>
      <c r="L34" s="7"/>
      <c r="M34" s="8"/>
      <c r="N34" s="7"/>
      <c r="O34" s="9"/>
    </row>
    <row r="35" spans="1:15" ht="19.899999999999999" customHeight="1" x14ac:dyDescent="0.35">
      <c r="A35" s="6"/>
      <c r="B35" s="7"/>
      <c r="C35" s="7"/>
      <c r="D35" s="8"/>
      <c r="E35" s="7"/>
      <c r="F35" s="7"/>
      <c r="G35" s="8"/>
      <c r="H35" s="7"/>
      <c r="I35" s="7"/>
      <c r="J35" s="8"/>
      <c r="K35" s="7"/>
      <c r="L35" s="7"/>
      <c r="M35" s="8"/>
      <c r="N35" s="7"/>
      <c r="O35" s="9"/>
    </row>
    <row r="36" spans="1:15" ht="19.899999999999999" customHeight="1" thickBot="1" x14ac:dyDescent="0.4">
      <c r="A36" s="6"/>
      <c r="B36" s="7"/>
      <c r="C36" s="7"/>
      <c r="D36" s="8"/>
      <c r="E36" s="7"/>
      <c r="F36" s="7"/>
      <c r="G36" s="8"/>
      <c r="H36" s="7"/>
      <c r="I36" s="7"/>
      <c r="J36" s="8"/>
      <c r="K36" s="7"/>
      <c r="L36" s="7"/>
      <c r="M36" s="8"/>
      <c r="N36" s="7"/>
      <c r="O36" s="9"/>
    </row>
    <row r="37" spans="1:15" ht="18.5" x14ac:dyDescent="0.35">
      <c r="A37" s="141" t="s">
        <v>49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3"/>
    </row>
    <row r="38" spans="1:15" ht="14.5" customHeight="1" x14ac:dyDescent="0.35">
      <c r="A38" s="131" t="s">
        <v>50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3"/>
    </row>
    <row r="39" spans="1:15" ht="15" thickBot="1" x14ac:dyDescent="0.4">
      <c r="A39" s="134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6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4</vt:i4>
      </vt:variant>
    </vt:vector>
  </HeadingPairs>
  <TitlesOfParts>
    <vt:vector size="10" baseType="lpstr">
      <vt:lpstr>sum</vt:lpstr>
      <vt:lpstr>Sayfa1</vt:lpstr>
      <vt:lpstr>Sayfa2</vt:lpstr>
      <vt:lpstr>SEGU7372565</vt:lpstr>
      <vt:lpstr>SEGU7371949</vt:lpstr>
      <vt:lpstr>TCLU7579931</vt:lpstr>
      <vt:lpstr>sum!Yazdırma_Alanı</vt:lpstr>
      <vt:lpstr>SEGU7371949!Yazdırma_Başlıkları</vt:lpstr>
      <vt:lpstr>SEGU7372565!Yazdırma_Başlıkları</vt:lpstr>
      <vt:lpstr>TCLU7579931!Yazdırma_Başlıkları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ADIGÜZEL</dc:creator>
  <cp:lastModifiedBy>Burcu ADIGÜZEL</cp:lastModifiedBy>
  <cp:lastPrinted>2026-04-21T07:29:53Z</cp:lastPrinted>
  <dcterms:created xsi:type="dcterms:W3CDTF">2026-03-13T12:45:47Z</dcterms:created>
  <dcterms:modified xsi:type="dcterms:W3CDTF">2026-05-31T19:49:16Z</dcterms:modified>
</cp:coreProperties>
</file>