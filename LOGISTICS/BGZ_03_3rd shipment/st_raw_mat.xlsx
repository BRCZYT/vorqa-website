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vimpo-my.sharepoint.com/personal/satinalma_vimpo_com/Documents/Masaüstü/039-VMP-S01064-ATP_5000m3_Libya/4-Logistics/BGZ_03_3rd shipment/"/>
    </mc:Choice>
  </mc:AlternateContent>
  <xr:revisionPtr revIDLastSave="403" documentId="13_ncr:1_{560BC11B-B40F-48E3-91DC-0026C30BDDC3}" xr6:coauthVersionLast="47" xr6:coauthVersionMax="47" xr10:uidLastSave="{7DF5F9D9-F40E-4CFC-9C5C-12F0D82A9A43}"/>
  <bookViews>
    <workbookView xWindow="-110" yWindow="-110" windowWidth="19420" windowHeight="10300" xr2:uid="{CB0D34B4-5C57-4F9C-BD2C-158D6AB9C86F}"/>
  </bookViews>
  <sheets>
    <sheet name="st.mat.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  <c r="D6" i="1"/>
  <c r="D7" i="1"/>
  <c r="D8" i="1"/>
  <c r="D9" i="1"/>
  <c r="D10" i="1"/>
  <c r="D4" i="1"/>
  <c r="D3" i="1"/>
  <c r="D2" i="1"/>
  <c r="K4" i="1" l="1"/>
  <c r="K3" i="1"/>
  <c r="K2" i="1"/>
  <c r="G3" i="1"/>
  <c r="G4" i="1"/>
  <c r="G5" i="1"/>
  <c r="G6" i="1"/>
  <c r="G7" i="1"/>
  <c r="G8" i="1"/>
  <c r="G9" i="1"/>
  <c r="G10" i="1"/>
  <c r="G2" i="1"/>
  <c r="I11" i="1"/>
  <c r="I12" i="1" l="1"/>
  <c r="I13" i="1" s="1"/>
  <c r="G11" i="1"/>
  <c r="G12" i="1" l="1"/>
  <c r="G13" i="1" s="1"/>
</calcChain>
</file>

<file path=xl/sharedStrings.xml><?xml version="1.0" encoding="utf-8"?>
<sst xmlns="http://schemas.openxmlformats.org/spreadsheetml/2006/main" count="75" uniqueCount="31">
  <si>
    <t>Ölçü Birimi</t>
  </si>
  <si>
    <t>Malzeme</t>
  </si>
  <si>
    <t>1 Paket içeriği (adet)</t>
  </si>
  <si>
    <t>Paket sayısı</t>
  </si>
  <si>
    <t>-</t>
  </si>
  <si>
    <t>Paket en (cm)</t>
  </si>
  <si>
    <t>Malz en (cm)</t>
  </si>
  <si>
    <t>Malz yük. (cm)</t>
  </si>
  <si>
    <t>Paket yük. (cm)</t>
  </si>
  <si>
    <t>TOPLAM</t>
  </si>
  <si>
    <t>Paket Ağırlığı</t>
  </si>
  <si>
    <t>per cont</t>
  </si>
  <si>
    <t>60x40x2 mm Kutu Profil L: 6mt</t>
  </si>
  <si>
    <t>240 NPI Profil L:12 mt</t>
  </si>
  <si>
    <t>180 NPI Profil L: 12 mt</t>
  </si>
  <si>
    <t>80 NPI Profil L: 6mt</t>
  </si>
  <si>
    <t>40x20x2 mm Kutu Profil L: 6mt</t>
  </si>
  <si>
    <t>30x3 mm Silme L: 6mt</t>
  </si>
  <si>
    <t>50x5 mm Silme L: 6mt</t>
  </si>
  <si>
    <t>50x50x5 mm Köşebent L: 6mt</t>
  </si>
  <si>
    <t>10x50 mm Lama Demiri L: 6mt</t>
  </si>
  <si>
    <t>Miktar 1</t>
  </si>
  <si>
    <t>Miktar 2</t>
  </si>
  <si>
    <t>Ölçü birimi</t>
  </si>
  <si>
    <t>metre</t>
  </si>
  <si>
    <t>adet</t>
  </si>
  <si>
    <t>Birim ağırlık  
(kg/6mt)</t>
  </si>
  <si>
    <t>Toplam Ağırlık (kg)</t>
  </si>
  <si>
    <t>Toplam Ağırlık 
(sa)</t>
  </si>
  <si>
    <t>fark</t>
  </si>
  <si>
    <t>Birim ağırlık  
(kg/mt)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</si>
</sst>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Aptos Narrow"/>
      <family val="2"/>
      <charset val="162"/>
      <scheme val="minor"/>
    </font>
    <font>
      <b/>
      <sz val="11"/>
      <name val="Aptos Narrow"/>
      <family val="2"/>
      <scheme val="minor"/>
    </font>
    <font>
      <sz val="10"/>
      <name val="Aptos Narrow"/>
      <family val="2"/>
      <scheme val="minor"/>
    </font>
    <font>
      <b/>
      <sz val="10"/>
      <color rgb="FFFF0000"/>
      <name val="Aptos Narrow"/>
      <family val="2"/>
      <scheme val="minor"/>
    </font>
    <font>
      <sz val="11"/>
      <name val="Aptos Narrow"/>
      <family val="2"/>
      <scheme val="minor"/>
    </font>
    <font>
      <b/>
      <sz val="10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/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49" fontId="4" fillId="2" borderId="0" xfId="0" applyNumberFormat="1" applyFont="1" applyFill="1"/>
    <xf numFmtId="49" fontId="5" fillId="2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25774</xdr:colOff>
      <xdr:row>0</xdr:row>
      <xdr:rowOff>239423</xdr:rowOff>
    </xdr:from>
    <xdr:to>
      <xdr:col>23</xdr:col>
      <xdr:colOff>249170</xdr:colOff>
      <xdr:row>8</xdr:row>
      <xdr:rowOff>200200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45D9AD8B-D1D2-D4C5-BD0A-B86F67B149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70950" y="239423"/>
          <a:ext cx="4511513" cy="21347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D1FE5-A23F-4899-8C16-D6BC1E6FE394}">
  <dimension ref="A1:P13"/>
  <sheetViews>
    <sheetView tabSelected="1" zoomScale="85" zoomScaleNormal="85" workbookViewId="0">
      <selection activeCell="O14" sqref="O14"/>
    </sheetView>
  </sheetViews>
  <sheetFormatPr defaultRowHeight="14.5" x14ac:dyDescent="0.35"/>
  <cols>
    <col min="1" max="1" width="30.26953125" customWidth="1"/>
    <col min="2" max="2" width="6.08984375" bestFit="1" customWidth="1"/>
    <col min="3" max="3" width="5.26953125" bestFit="1" customWidth="1"/>
    <col min="4" max="4" width="5.6328125" customWidth="1"/>
    <col min="5" max="5" width="6.7265625" customWidth="1"/>
    <col min="6" max="6" width="9.81640625" hidden="1" customWidth="1"/>
    <col min="7" max="8" width="8.81640625" hidden="1" customWidth="1"/>
    <col min="9" max="9" width="8.81640625" customWidth="1"/>
    <col min="10" max="10" width="6.36328125" bestFit="1" customWidth="1"/>
    <col min="11" max="11" width="6.7265625" bestFit="1" customWidth="1"/>
    <col min="12" max="12" width="5.1796875" bestFit="1" customWidth="1"/>
    <col min="13" max="14" width="5.08984375" bestFit="1" customWidth="1"/>
    <col min="15" max="16" width="4.36328125" bestFit="1" customWidth="1"/>
  </cols>
  <sheetData>
    <row r="1" spans="1:16" s="5" customFormat="1" ht="39.5" customHeight="1" x14ac:dyDescent="0.35">
      <c r="A1" s="6" t="s">
        <v>1</v>
      </c>
      <c r="B1" s="6" t="s">
        <v>21</v>
      </c>
      <c r="C1" s="6" t="s">
        <v>0</v>
      </c>
      <c r="D1" s="6" t="s">
        <v>22</v>
      </c>
      <c r="E1" s="6" t="s">
        <v>23</v>
      </c>
      <c r="F1" s="6" t="s">
        <v>26</v>
      </c>
      <c r="G1" s="6" t="s">
        <v>27</v>
      </c>
      <c r="H1" s="6" t="s">
        <v>30</v>
      </c>
      <c r="I1" s="6" t="s">
        <v>28</v>
      </c>
      <c r="J1" s="6" t="s">
        <v>2</v>
      </c>
      <c r="K1" s="6" t="s">
        <v>10</v>
      </c>
      <c r="L1" s="6" t="s">
        <v>3</v>
      </c>
      <c r="M1" s="6" t="s">
        <v>5</v>
      </c>
      <c r="N1" s="6" t="s">
        <v>8</v>
      </c>
      <c r="O1" s="6" t="s">
        <v>6</v>
      </c>
      <c r="P1" s="6" t="s">
        <v>7</v>
      </c>
    </row>
    <row r="2" spans="1:16" s="1" customFormat="1" ht="19" customHeight="1" x14ac:dyDescent="0.35">
      <c r="A2" s="4" t="s">
        <v>13</v>
      </c>
      <c r="B2" s="3">
        <v>96</v>
      </c>
      <c r="C2" s="2" t="s">
        <v>25</v>
      </c>
      <c r="D2" s="2">
        <f>B2*12</f>
        <v>1152</v>
      </c>
      <c r="E2" s="2" t="s">
        <v>24</v>
      </c>
      <c r="F2" s="2">
        <v>434.37</v>
      </c>
      <c r="G2" s="2">
        <f>B2*F2</f>
        <v>41699.520000000004</v>
      </c>
      <c r="H2" s="2"/>
      <c r="I2" s="2">
        <v>41700</v>
      </c>
      <c r="J2" s="2">
        <v>8</v>
      </c>
      <c r="K2" s="2">
        <f>J2*F2</f>
        <v>3474.96</v>
      </c>
      <c r="L2" s="2">
        <v>12</v>
      </c>
      <c r="M2" s="2">
        <v>50</v>
      </c>
      <c r="N2" s="2">
        <v>100</v>
      </c>
      <c r="O2" s="2" t="s">
        <v>4</v>
      </c>
      <c r="P2" s="2" t="s">
        <v>4</v>
      </c>
    </row>
    <row r="3" spans="1:16" s="1" customFormat="1" ht="19" customHeight="1" x14ac:dyDescent="0.35">
      <c r="A3" s="11" t="s">
        <v>14</v>
      </c>
      <c r="B3" s="3">
        <v>30</v>
      </c>
      <c r="C3" s="2" t="s">
        <v>25</v>
      </c>
      <c r="D3" s="2">
        <f>B3*12</f>
        <v>360</v>
      </c>
      <c r="E3" s="2" t="s">
        <v>24</v>
      </c>
      <c r="F3" s="2">
        <v>263.3</v>
      </c>
      <c r="G3" s="2">
        <f t="shared" ref="G3:G10" si="0">B3*F3</f>
        <v>7899</v>
      </c>
      <c r="H3" s="2"/>
      <c r="I3" s="2">
        <v>7900</v>
      </c>
      <c r="J3" s="2">
        <v>12</v>
      </c>
      <c r="K3" s="2">
        <f>J3*F3</f>
        <v>3159.6000000000004</v>
      </c>
      <c r="L3" s="2">
        <v>2</v>
      </c>
      <c r="M3" s="2">
        <v>50</v>
      </c>
      <c r="N3" s="2">
        <v>80</v>
      </c>
      <c r="O3" s="2" t="s">
        <v>4</v>
      </c>
      <c r="P3" s="2" t="s">
        <v>4</v>
      </c>
    </row>
    <row r="4" spans="1:16" s="1" customFormat="1" ht="19" customHeight="1" x14ac:dyDescent="0.35">
      <c r="A4" s="11" t="s">
        <v>15</v>
      </c>
      <c r="B4" s="3">
        <v>136</v>
      </c>
      <c r="C4" s="2" t="s">
        <v>25</v>
      </c>
      <c r="D4" s="2">
        <f>6*B4</f>
        <v>816</v>
      </c>
      <c r="E4" s="2" t="s">
        <v>24</v>
      </c>
      <c r="F4" s="2">
        <v>35.6</v>
      </c>
      <c r="G4" s="2">
        <f t="shared" si="0"/>
        <v>4841.6000000000004</v>
      </c>
      <c r="H4" s="2"/>
      <c r="I4" s="2">
        <v>4850</v>
      </c>
      <c r="J4" s="2">
        <v>55</v>
      </c>
      <c r="K4" s="2">
        <f>F4*J4</f>
        <v>1958</v>
      </c>
      <c r="L4" s="2">
        <v>2</v>
      </c>
      <c r="M4" s="2">
        <v>25</v>
      </c>
      <c r="N4" s="2">
        <v>50</v>
      </c>
      <c r="O4" s="2">
        <v>4.5</v>
      </c>
      <c r="P4" s="2">
        <v>8</v>
      </c>
    </row>
    <row r="5" spans="1:16" s="1" customFormat="1" ht="19" customHeight="1" x14ac:dyDescent="0.35">
      <c r="A5" s="11" t="s">
        <v>12</v>
      </c>
      <c r="B5" s="3">
        <v>600</v>
      </c>
      <c r="C5" s="2" t="s">
        <v>25</v>
      </c>
      <c r="D5" s="2">
        <f t="shared" ref="D5:D10" si="1">6*B5</f>
        <v>3600</v>
      </c>
      <c r="E5" s="2" t="s">
        <v>24</v>
      </c>
      <c r="F5" s="2">
        <v>18.100000000000001</v>
      </c>
      <c r="G5" s="2">
        <f t="shared" si="0"/>
        <v>10860</v>
      </c>
      <c r="H5" s="2"/>
      <c r="I5" s="2">
        <v>10836</v>
      </c>
      <c r="J5" s="2" t="s">
        <v>4</v>
      </c>
      <c r="K5" s="2"/>
      <c r="L5" s="2" t="s">
        <v>4</v>
      </c>
      <c r="M5" s="2" t="s">
        <v>4</v>
      </c>
      <c r="N5" s="2" t="s">
        <v>4</v>
      </c>
      <c r="O5" s="2">
        <v>4</v>
      </c>
      <c r="P5" s="2">
        <v>6</v>
      </c>
    </row>
    <row r="6" spans="1:16" s="1" customFormat="1" ht="19" customHeight="1" x14ac:dyDescent="0.35">
      <c r="A6" s="11" t="s">
        <v>16</v>
      </c>
      <c r="B6" s="3">
        <v>200</v>
      </c>
      <c r="C6" s="2" t="s">
        <v>25</v>
      </c>
      <c r="D6" s="2">
        <f t="shared" si="1"/>
        <v>1200</v>
      </c>
      <c r="E6" s="2" t="s">
        <v>24</v>
      </c>
      <c r="F6" s="2">
        <v>10.6</v>
      </c>
      <c r="G6" s="2">
        <f t="shared" si="0"/>
        <v>2120</v>
      </c>
      <c r="H6" s="2"/>
      <c r="I6" s="2">
        <v>2180</v>
      </c>
      <c r="J6" s="2" t="s">
        <v>4</v>
      </c>
      <c r="K6" s="2"/>
      <c r="L6" s="2" t="s">
        <v>4</v>
      </c>
      <c r="M6" s="2" t="s">
        <v>4</v>
      </c>
      <c r="N6" s="2" t="s">
        <v>4</v>
      </c>
      <c r="O6" s="2">
        <v>2</v>
      </c>
      <c r="P6" s="2">
        <v>4</v>
      </c>
    </row>
    <row r="7" spans="1:16" s="1" customFormat="1" ht="19" customHeight="1" x14ac:dyDescent="0.35">
      <c r="A7" s="11" t="s">
        <v>17</v>
      </c>
      <c r="B7" s="3">
        <v>840</v>
      </c>
      <c r="C7" s="2" t="s">
        <v>25</v>
      </c>
      <c r="D7" s="2">
        <f t="shared" si="1"/>
        <v>5040</v>
      </c>
      <c r="E7" s="2" t="s">
        <v>24</v>
      </c>
      <c r="F7" s="2">
        <v>4.24</v>
      </c>
      <c r="G7" s="2">
        <f t="shared" si="0"/>
        <v>3561.6000000000004</v>
      </c>
      <c r="H7" s="2"/>
      <c r="I7" s="2">
        <v>3530</v>
      </c>
      <c r="J7" s="2" t="s">
        <v>4</v>
      </c>
      <c r="K7" s="2"/>
      <c r="L7" s="2" t="s">
        <v>4</v>
      </c>
      <c r="M7" s="2" t="s">
        <v>4</v>
      </c>
      <c r="N7" s="2" t="s">
        <v>4</v>
      </c>
      <c r="O7" s="2">
        <v>3</v>
      </c>
      <c r="P7" s="2">
        <v>0.3</v>
      </c>
    </row>
    <row r="8" spans="1:16" s="1" customFormat="1" ht="19" customHeight="1" x14ac:dyDescent="0.35">
      <c r="A8" s="11" t="s">
        <v>18</v>
      </c>
      <c r="B8" s="3">
        <v>96</v>
      </c>
      <c r="C8" s="2" t="s">
        <v>25</v>
      </c>
      <c r="D8" s="2">
        <f t="shared" si="1"/>
        <v>576</v>
      </c>
      <c r="E8" s="2" t="s">
        <v>24</v>
      </c>
      <c r="F8" s="2">
        <v>11.78</v>
      </c>
      <c r="G8" s="2">
        <f t="shared" si="0"/>
        <v>1130.8799999999999</v>
      </c>
      <c r="H8" s="2"/>
      <c r="I8" s="2">
        <v>1150</v>
      </c>
      <c r="J8" s="2" t="s">
        <v>4</v>
      </c>
      <c r="K8" s="2"/>
      <c r="L8" s="2" t="s">
        <v>4</v>
      </c>
      <c r="M8" s="2" t="s">
        <v>4</v>
      </c>
      <c r="N8" s="2" t="s">
        <v>4</v>
      </c>
      <c r="O8" s="2">
        <v>5</v>
      </c>
      <c r="P8" s="2">
        <v>0.5</v>
      </c>
    </row>
    <row r="9" spans="1:16" s="1" customFormat="1" ht="19" customHeight="1" x14ac:dyDescent="0.35">
      <c r="A9" s="12" t="s">
        <v>19</v>
      </c>
      <c r="B9" s="3">
        <v>40</v>
      </c>
      <c r="C9" s="2" t="s">
        <v>25</v>
      </c>
      <c r="D9" s="2">
        <f t="shared" si="1"/>
        <v>240</v>
      </c>
      <c r="E9" s="2" t="s">
        <v>24</v>
      </c>
      <c r="F9" s="2">
        <v>22.37</v>
      </c>
      <c r="G9" s="2">
        <f t="shared" si="0"/>
        <v>894.80000000000007</v>
      </c>
      <c r="H9" s="2"/>
      <c r="I9" s="2">
        <v>900</v>
      </c>
      <c r="J9" s="2" t="s">
        <v>4</v>
      </c>
      <c r="K9" s="2"/>
      <c r="L9" s="2" t="s">
        <v>4</v>
      </c>
      <c r="M9" s="2" t="s">
        <v>4</v>
      </c>
      <c r="N9" s="2" t="s">
        <v>4</v>
      </c>
      <c r="O9" s="2">
        <v>5</v>
      </c>
      <c r="P9" s="2">
        <v>5</v>
      </c>
    </row>
    <row r="10" spans="1:16" s="1" customFormat="1" ht="19" customHeight="1" x14ac:dyDescent="0.35">
      <c r="A10" s="12" t="s">
        <v>20</v>
      </c>
      <c r="B10" s="3">
        <v>60</v>
      </c>
      <c r="C10" s="2" t="s">
        <v>25</v>
      </c>
      <c r="D10" s="2">
        <f t="shared" si="1"/>
        <v>360</v>
      </c>
      <c r="E10" s="2" t="s">
        <v>24</v>
      </c>
      <c r="F10" s="2">
        <v>23.55</v>
      </c>
      <c r="G10" s="2">
        <f t="shared" si="0"/>
        <v>1413</v>
      </c>
      <c r="H10" s="2"/>
      <c r="I10" s="2">
        <v>1425</v>
      </c>
      <c r="J10" s="2" t="s">
        <v>4</v>
      </c>
      <c r="K10" s="2"/>
      <c r="L10" s="2" t="s">
        <v>4</v>
      </c>
      <c r="M10" s="2" t="s">
        <v>4</v>
      </c>
      <c r="N10" s="2" t="s">
        <v>4</v>
      </c>
      <c r="O10" s="2">
        <v>5</v>
      </c>
      <c r="P10" s="2">
        <v>1</v>
      </c>
    </row>
    <row r="11" spans="1:16" s="1" customFormat="1" ht="19" customHeight="1" x14ac:dyDescent="0.35">
      <c r="A11"/>
      <c r="B11"/>
      <c r="C11"/>
      <c r="D11"/>
      <c r="E11" s="3" t="s">
        <v>9</v>
      </c>
      <c r="F11" s="9" t="s">
        <v>9</v>
      </c>
      <c r="G11" s="9">
        <f>SUM(G2:G10)</f>
        <v>74420.400000000009</v>
      </c>
      <c r="H11" s="9"/>
      <c r="I11" s="10">
        <f>SUM(I2:I10)</f>
        <v>74471</v>
      </c>
      <c r="J11"/>
      <c r="K11"/>
      <c r="L11"/>
      <c r="M11"/>
      <c r="N11"/>
      <c r="O11"/>
      <c r="P11"/>
    </row>
    <row r="12" spans="1:16" s="1" customFormat="1" ht="19" customHeight="1" x14ac:dyDescent="0.35">
      <c r="A12"/>
      <c r="B12"/>
      <c r="C12"/>
      <c r="D12"/>
      <c r="E12"/>
      <c r="F12" s="7" t="s">
        <v>11</v>
      </c>
      <c r="G12" s="7">
        <f>G11/3</f>
        <v>24806.800000000003</v>
      </c>
      <c r="H12" s="7"/>
      <c r="I12" s="8">
        <f>I11/3</f>
        <v>24823.666666666668</v>
      </c>
      <c r="J12"/>
      <c r="K12"/>
      <c r="L12"/>
      <c r="M12"/>
      <c r="N12"/>
      <c r="O12"/>
      <c r="P12"/>
    </row>
    <row r="13" spans="1:16" x14ac:dyDescent="0.35">
      <c r="F13" s="7" t="s">
        <v>29</v>
      </c>
      <c r="G13" s="7">
        <f>G12-37000</f>
        <v>-12193.199999999997</v>
      </c>
      <c r="H13" s="7"/>
      <c r="I13" s="8">
        <f>I12-37000</f>
        <v>-12176.333333333332</v>
      </c>
    </row>
  </sheetData>
  <protectedRanges>
    <protectedRange algorithmName="SHA-512" hashValue="K4+4yZd0RhXEtsHfj98TrL7ZtIuw2hOCcqpg8oENky7Mmtjd9zaW34H1PDuhYjlxkr5O4bRbzKoXgmdBlczw3g==" saltValue="hpRhFBnulTT3VeVePvCuUg==" spinCount="100000" sqref="A9:A10 C2:I2 I5:I10 F3:I3 F4:H10 C3:E10" name="PROJE OFİSİ"/>
    <protectedRange algorithmName="SHA-512" hashValue="jEUMdggTDLQFCxrKCCnMQ/T2MzXSyHtOPtm/AhAFn9X9+Lfb50YZB4dmftFgWrdISbRTmnP2NTOH1Mzpn4HeBA==" saltValue="2NW3q98r4PgEjZ06GHzBJA==" spinCount="100000" sqref="A2:A8" name="SATINALMA_1_4"/>
    <protectedRange algorithmName="SHA-512" hashValue="K4+4yZd0RhXEtsHfj98TrL7ZtIuw2hOCcqpg8oENky7Mmtjd9zaW34H1PDuhYjlxkr5O4bRbzKoXgmdBlczw3g==" saltValue="hpRhFBnulTT3VeVePvCuUg==" spinCount="100000" sqref="B2:B10" name="PROJE OFİSİ_1"/>
  </protectedRange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st.mat.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64197</dc:creator>
  <cp:lastModifiedBy>Burcu ADIGÜZEL</cp:lastModifiedBy>
  <dcterms:created xsi:type="dcterms:W3CDTF">2026-03-13T15:09:53Z</dcterms:created>
  <dcterms:modified xsi:type="dcterms:W3CDTF">2026-04-21T06:32:44Z</dcterms:modified>
</cp:coreProperties>
</file>