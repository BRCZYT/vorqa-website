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procurement_vimpo_com/Documents/Masaüstü/00---039-VMP-S01064-ATP_5000m3_Libya/4-Logistics/BGZ_05_5th shipment_FGL261190EXY/"/>
    </mc:Choice>
  </mc:AlternateContent>
  <xr:revisionPtr revIDLastSave="44" documentId="13_ncr:1_{D51552C1-0CE3-4BB2-B342-37B7C0829347}" xr6:coauthVersionLast="47" xr6:coauthVersionMax="47" xr10:uidLastSave="{CF980827-3169-41ED-A5B1-CDC1280FEEB5}"/>
  <bookViews>
    <workbookView xWindow="-110" yWindow="-110" windowWidth="19420" windowHeight="10300" activeTab="1" xr2:uid="{00000000-000D-0000-FFFF-FFFF00000000}"/>
  </bookViews>
  <sheets>
    <sheet name="SUM" sheetId="10" r:id="rId1"/>
    <sheet name="MSKU0169927" sheetId="1" r:id="rId2"/>
    <sheet name="SEKU4688446" sheetId="4" r:id="rId3"/>
    <sheet name="MSKU8411180" sheetId="5" r:id="rId4"/>
    <sheet name="MRKU3697839" sheetId="6" r:id="rId5"/>
    <sheet name="MSKU1803342" sheetId="8" r:id="rId6"/>
    <sheet name="MRKU5495565" sheetId="7" r:id="rId7"/>
    <sheet name="TCKU7404556" sheetId="9" r:id="rId8"/>
  </sheets>
  <definedNames>
    <definedName name="_xlnm._FilterDatabase" localSheetId="4" hidden="1">MRKU3697839!$A$12:$O$17</definedName>
    <definedName name="_xlnm._FilterDatabase" localSheetId="6" hidden="1">MRKU5495565!$A$12:$O$17</definedName>
    <definedName name="_xlnm._FilterDatabase" localSheetId="1" hidden="1">MSKU0169927!$A$12:$O$17</definedName>
    <definedName name="_xlnm._FilterDatabase" localSheetId="5" hidden="1">MSKU1803342!$A$12:$O$17</definedName>
    <definedName name="_xlnm._FilterDatabase" localSheetId="3" hidden="1">MSKU8411180!$A$12:$O$17</definedName>
    <definedName name="_xlnm._FilterDatabase" localSheetId="2" hidden="1">SEKU4688446!$A$12:$O$17</definedName>
    <definedName name="_xlnm._FilterDatabase" localSheetId="7" hidden="1">TCKU7404556!$A$12:$O$17</definedName>
    <definedName name="_xlnm.Print_Titles" localSheetId="4">MRKU3697839!$1:$12</definedName>
    <definedName name="_xlnm.Print_Titles" localSheetId="6">MRKU5495565!$1:$12</definedName>
    <definedName name="_xlnm.Print_Titles" localSheetId="1">MSKU0169927!$1:$12</definedName>
    <definedName name="_xlnm.Print_Titles" localSheetId="5">MSKU1803342!$1:$12</definedName>
    <definedName name="_xlnm.Print_Titles" localSheetId="3">MSKU8411180!$1:$12</definedName>
    <definedName name="_xlnm.Print_Titles" localSheetId="2">SEKU4688446!$1:$12</definedName>
    <definedName name="_xlnm.Print_Titles" localSheetId="7">TCKU7404556!$1:$12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C8" i="10"/>
  <c r="A8" i="10"/>
  <c r="C7" i="10"/>
  <c r="B7" i="10"/>
  <c r="A7" i="10"/>
  <c r="C6" i="10"/>
  <c r="B6" i="10"/>
  <c r="A6" i="10"/>
  <c r="C5" i="10"/>
  <c r="B5" i="10"/>
  <c r="A5" i="10"/>
  <c r="C4" i="10"/>
  <c r="B4" i="10"/>
  <c r="A4" i="10"/>
  <c r="C3" i="10"/>
  <c r="B3" i="10"/>
  <c r="A3" i="10"/>
  <c r="A2" i="10"/>
  <c r="L20" i="9"/>
  <c r="I20" i="9"/>
  <c r="F20" i="9"/>
  <c r="C20" i="9"/>
  <c r="N18" i="9"/>
  <c r="M18" i="9"/>
  <c r="G18" i="9"/>
  <c r="O17" i="9"/>
  <c r="O16" i="9"/>
  <c r="O15" i="9"/>
  <c r="O14" i="9"/>
  <c r="O13" i="9"/>
  <c r="O20" i="9" s="1"/>
  <c r="L20" i="8"/>
  <c r="I20" i="8"/>
  <c r="F20" i="8"/>
  <c r="C20" i="8"/>
  <c r="N18" i="8"/>
  <c r="M18" i="8"/>
  <c r="G18" i="8"/>
  <c r="O17" i="8"/>
  <c r="O16" i="8"/>
  <c r="O15" i="8"/>
  <c r="O14" i="8"/>
  <c r="O13" i="8"/>
  <c r="O20" i="8" s="1"/>
  <c r="L20" i="7"/>
  <c r="I20" i="7"/>
  <c r="F20" i="7"/>
  <c r="C20" i="7"/>
  <c r="N18" i="7"/>
  <c r="M18" i="7"/>
  <c r="G18" i="7"/>
  <c r="O17" i="7"/>
  <c r="O16" i="7"/>
  <c r="O15" i="7"/>
  <c r="O14" i="7"/>
  <c r="O13" i="7"/>
  <c r="O20" i="7" s="1"/>
  <c r="L20" i="6"/>
  <c r="I20" i="6"/>
  <c r="F20" i="6"/>
  <c r="C20" i="6"/>
  <c r="N18" i="6"/>
  <c r="M18" i="6"/>
  <c r="G18" i="6"/>
  <c r="O17" i="6"/>
  <c r="O16" i="6"/>
  <c r="O15" i="6"/>
  <c r="O14" i="6"/>
  <c r="O13" i="6"/>
  <c r="O20" i="6" s="1"/>
  <c r="L20" i="5"/>
  <c r="I20" i="5"/>
  <c r="F20" i="5"/>
  <c r="C20" i="5"/>
  <c r="N18" i="5"/>
  <c r="M18" i="5"/>
  <c r="G18" i="5"/>
  <c r="O17" i="5"/>
  <c r="O16" i="5"/>
  <c r="O20" i="5" s="1"/>
  <c r="O15" i="5"/>
  <c r="O14" i="5"/>
  <c r="O13" i="5"/>
  <c r="O18" i="5" s="1"/>
  <c r="L20" i="4"/>
  <c r="I20" i="4"/>
  <c r="F20" i="4"/>
  <c r="C20" i="4"/>
  <c r="N18" i="4"/>
  <c r="M18" i="4"/>
  <c r="G18" i="4"/>
  <c r="O17" i="4"/>
  <c r="O16" i="4"/>
  <c r="O15" i="4"/>
  <c r="O18" i="4" s="1"/>
  <c r="O14" i="4"/>
  <c r="O13" i="4"/>
  <c r="O20" i="4" s="1"/>
  <c r="O18" i="9" l="1"/>
  <c r="O18" i="8"/>
  <c r="O18" i="7"/>
  <c r="O18" i="6"/>
  <c r="L20" i="1"/>
  <c r="I20" i="1"/>
  <c r="C2" i="10" s="1"/>
  <c r="C10" i="10" s="1"/>
  <c r="F20" i="1"/>
  <c r="B2" i="10" s="1"/>
  <c r="B10" i="10" s="1"/>
  <c r="C20" i="1"/>
  <c r="N18" i="1"/>
  <c r="M18" i="1"/>
  <c r="G18" i="1"/>
  <c r="O17" i="1"/>
  <c r="O16" i="1"/>
  <c r="O15" i="1"/>
  <c r="O14" i="1"/>
  <c r="O13" i="1"/>
  <c r="O20" i="1" l="1"/>
  <c r="O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1" authorId="0" shapeId="0" xr:uid="{02C9B969-EA82-4695-84D1-AD1DBCBFD860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1" authorId="0" shapeId="0" xr:uid="{776A0B27-85FB-48C7-A77C-49D5BFA86AD7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1" authorId="0" shapeId="0" xr:uid="{A551C803-C297-4906-8F35-6934A523D422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1" authorId="0" shapeId="0" xr:uid="{E0F0A3C9-74EF-489D-9F0D-DE57BD615881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1" authorId="0" shapeId="0" xr:uid="{E2F592AF-6AC1-4756-957A-CB649DB5E68B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1" authorId="0" shapeId="0" xr:uid="{F45D9E91-688B-4570-B8FB-0C0EF8645949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<sst xmlns="http://schemas.openxmlformats.org/spreadsheetml/2006/main" count="459" uniqueCount="74">
  <si>
    <t>PACKING LIST
ÇEKİ LİSTESİ</t>
  </si>
  <si>
    <t>DOCUMENT &amp; SHIPMENT INFORMATION / BELGE VE SEVKİYAT BİLGİLERİ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</si>
  <si>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</si>
  <si>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</si>
  <si>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</si>
  <si>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</si>
  <si>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</si>
  <si>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</si>
  <si>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</si>
  <si>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</si>
  <si>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</si>
  <si>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</si>
  <si>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</si>
  <si>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</si>
  <si>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</si>
  <si>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</si>
  <si>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</si>
  <si>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</si>
  <si>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</si>
  <si>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</si>
  <si>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</si>
  <si>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</si>
  <si>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</si>
  <si>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</si>
  <si>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</si>
  <si>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</si>
  <si>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</si>
  <si>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</si>
  <si>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</si>
  <si>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</si>
  <si>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</si>
  <si>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</si>
  <si>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</si>
  <si>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</si>
  <si>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</si>
  <si>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</si>
  <si>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</si>
  <si>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</si>
  <si>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</si>
  <si>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Order No. / Sipariş No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</si>
  <si>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</si>
  <si>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</si>
  <si>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Yayın Tarihi</t>
  </si>
  <si>
    <t>Doküman No</t>
  </si>
  <si>
    <t>Revizyon Tarihi</t>
  </si>
  <si>
    <t>Revizyon No</t>
  </si>
  <si>
    <t>-</t>
  </si>
  <si>
    <t>00</t>
  </si>
  <si>
    <t>P07-F07</t>
  </si>
  <si>
    <t>VMP-S01064-B5</t>
  </si>
  <si>
    <t>CIF</t>
  </si>
  <si>
    <t>TÜRKİYE</t>
  </si>
  <si>
    <t>MERSİN</t>
  </si>
  <si>
    <t>JPO VENUS 631S</t>
  </si>
  <si>
    <t>BENGHAZI</t>
  </si>
  <si>
    <t>MSKU0169927</t>
  </si>
  <si>
    <t>Type 650 Stone Wool Industrial Blanket, 100 mm thick × 1,000 mm wide × 3,000 mm long, density 80 kg/m³, faced with galvanized wire mesh, A1 non-combustible, 3 m² per roll.</t>
  </si>
  <si>
    <t>6806.10.00.00.19</t>
  </si>
  <si>
    <t>Turkey</t>
  </si>
  <si>
    <t>Bag</t>
  </si>
  <si>
    <t>Roll</t>
  </si>
  <si>
    <t>SEKU4688446</t>
  </si>
  <si>
    <t>MSKU8411180</t>
  </si>
  <si>
    <t>MRKU3697839</t>
  </si>
  <si>
    <t>MRKU5495565</t>
  </si>
  <si>
    <t>MSKU1803342</t>
  </si>
  <si>
    <t>TCKU7404556</t>
  </si>
  <si>
    <t>CONTAINER</t>
  </si>
  <si>
    <t>QYT</t>
  </si>
  <si>
    <t>WEIGHT</t>
  </si>
  <si>
    <t>TOTAL</t>
  </si>
  <si>
    <t>VİMPO MAKİNE A.Ş.</t>
  </si>
  <si>
    <t>ATP / Africa Road for Asphalt and Petroleum Insulation Industries</t>
  </si>
  <si>
    <t>IHR2026000000060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</si>
</sst>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b/>
      <sz val="14"/>
      <color rgb="FF666666"/>
      <name val="Calibri"/>
      <family val="2"/>
      <charset val="162"/>
    </font>
    <font>
      <b/>
      <sz val="14"/>
      <color rgb="FF1F4E78"/>
      <name val="Calibri"/>
      <family val="2"/>
      <charset val="162"/>
    </font>
    <font>
      <sz val="10"/>
      <color rgb="FF666666"/>
      <name val="Calibri"/>
      <family val="2"/>
      <charset val="162"/>
    </font>
    <font>
      <b/>
      <sz val="18"/>
      <color rgb="FF1F4E78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b/>
      <sz val="1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7CC"/>
      </patternFill>
    </fill>
  </fills>
  <borders count="31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7" fillId="6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0" fontId="7" fillId="6" borderId="9" xfId="0" applyFont="1" applyFill="1" applyBorder="1" applyAlignment="1">
      <alignment horizontal="left" vertical="center" wrapText="1"/>
    </xf>
    <xf numFmtId="165" fontId="7" fillId="6" borderId="9" xfId="0" applyNumberFormat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10" fillId="6" borderId="18" xfId="0" applyNumberFormat="1" applyFont="1" applyFill="1" applyBorder="1" applyAlignment="1">
      <alignment horizontal="left" vertical="center" wrapText="1"/>
    </xf>
    <xf numFmtId="14" fontId="10" fillId="6" borderId="19" xfId="0" applyNumberFormat="1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center" wrapText="1"/>
    </xf>
    <xf numFmtId="49" fontId="10" fillId="6" borderId="20" xfId="0" applyNumberFormat="1" applyFont="1" applyFill="1" applyBorder="1" applyAlignment="1">
      <alignment horizontal="left" vertical="center" wrapText="1"/>
    </xf>
    <xf numFmtId="49" fontId="10" fillId="6" borderId="21" xfId="0" applyNumberFormat="1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/>
    </xf>
    <xf numFmtId="0" fontId="0" fillId="0" borderId="1" xfId="0" applyBorder="1"/>
    <xf numFmtId="0" fontId="7" fillId="6" borderId="9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165" fontId="7" fillId="6" borderId="2" xfId="0" applyNumberFormat="1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3" fontId="10" fillId="6" borderId="28" xfId="0" applyNumberFormat="1" applyFont="1" applyFill="1" applyBorder="1" applyAlignment="1">
      <alignment horizontal="left" vertical="center"/>
    </xf>
    <xf numFmtId="3" fontId="10" fillId="6" borderId="22" xfId="0" applyNumberFormat="1" applyFont="1" applyFill="1" applyBorder="1" applyAlignment="1">
      <alignment horizontal="left" vertical="center"/>
    </xf>
    <xf numFmtId="3" fontId="10" fillId="6" borderId="29" xfId="0" applyNumberFormat="1" applyFont="1" applyFill="1" applyBorder="1" applyAlignment="1">
      <alignment horizontal="left" vertical="center"/>
    </xf>
    <xf numFmtId="3" fontId="10" fillId="6" borderId="23" xfId="0" applyNumberFormat="1" applyFont="1" applyFill="1" applyBorder="1" applyAlignment="1">
      <alignment horizontal="left" vertical="center"/>
    </xf>
    <xf numFmtId="3" fontId="10" fillId="6" borderId="30" xfId="0" applyNumberFormat="1" applyFont="1" applyFill="1" applyBorder="1" applyAlignment="1">
      <alignment horizontal="left" vertical="center"/>
    </xf>
    <xf numFmtId="3" fontId="10" fillId="6" borderId="2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3AA2386-0872-B609-B92E-9C91901E06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7F0F4C9-381D-C088-0B6B-43AC545168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2A321FD9-81D2-B4FD-8B76-B91E330BFA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39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8CFC342-6BDE-C0CB-F7D4-8426F7390E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FA7D8B83-CFB3-05A3-0E23-C6D7D0C7C3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6CB522EE-4AF3-2AF6-5510-BD589AAA06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8E45052A-8603-3544-D021-0920A8B780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2CE688FA-CC3E-47C6-870D-0A344A4DE0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5FC271A-631D-82C6-4883-7F2A111B67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6047CB3B-E871-4C54-812E-D42CC8EF52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9051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A7B5D15D-60EB-4691-AEC8-61C292D06C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86725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122AD606-DB48-4D72-8943-41DD295D4D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66BDF16-FFA5-4CB5-A87F-B2A1A96CCB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A9E8D489-D541-BF7F-3C10-B09E9F5345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AA60C3F-7CBE-5924-3D35-1C157F102A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9ED158B5-6624-0B9B-3A7D-4E0BAC5DDE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7E25F99D-CE75-E53E-6EDA-B4ADF5447D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B9E1F163-CD51-4F88-A63B-114B593180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9051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FC3D92A-6A89-455C-A40C-9CC6202F45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86725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7D4349E0-90DB-4320-941E-0BA61B4C04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FEE43F30-0D4D-424B-BEA3-C128C496F1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6971A0B4-22E7-AC91-0B87-510F8AFD5D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9849C98-C4E6-26D7-3806-9D0CFD5EAF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323533E-4F78-481B-F75E-65564E752E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481498A-9A4B-A1BD-FAE2-4114726D83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EC1C1E01-166A-48FA-B7D2-9C175FE42A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9051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830F1CCF-C095-4B62-97CC-95263C0F16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86725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9B27A94-DA0C-4CC3-8CA9-A01D0EF4E6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2EE1802-8E18-4E05-806A-637C4D0349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51631C37-EA82-AE92-069E-BCC5DB74A4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5F30F349-FBAA-FA9D-0525-8A8DFB736B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EC71FD5-8B97-EF48-7423-9CB3C0E643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E84FC631-59DC-FFAA-7BBA-23EF9C6DC1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43E47182-8BDC-4C5D-9DDB-A75244AABC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9051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F87947B1-16F7-4DEC-BD46-526248FADA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86725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E8F6A26D-E78F-4BD3-BD56-5BDF21182F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1475DD26-53E1-455B-9F5C-2D6F57F30E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0E91CE88-EBE8-1A3C-1128-0BD3E2A689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DB692F1E-8470-C5F0-B8BF-AEF0930718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14A3ED4-65C9-A345-AF5D-47D4CB2C6F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973DEE2-977C-E174-D54B-EC48F27269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6D86F5FE-10C5-411F-8DC0-AF3726229E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9051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DEA7AC5-B008-49EE-A889-E9A31AE73A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86725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54D8FE1-803E-4FDB-A590-49CD0E7334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1112F00-0E41-4E90-B951-86CB5FAE5A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2FC14334-0A91-1ED0-89BF-4A93475516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6805EE5D-798B-CD11-5C0F-DC24A5C751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E62C13D-0389-8721-6E03-C007B34166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8891BBA-7687-8554-BC99-22AD56C0EB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946FD1EA-ED6E-4B65-955E-23647C6A8E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9051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31986B7C-6F78-4CEB-BB77-974B36F8E5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86725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93D44508-CB51-42D2-B196-6FD4EF60AE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17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CBE84A8-4437-43B4-84C3-B551AF8037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5867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42960ED-DF51-D50A-E634-F396DD352F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2982D220-B4CE-D890-9309-D24090DDEC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4CB72361-F270-F5F3-208B-306B7C67E2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4DBCC3DB-9CE4-A694-C422-9300AB191D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9700" cy="8204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B522-6D13-446B-9670-04D0C8ECA110}">
  <dimension ref="A1:C10"/>
  <sheetViews>
    <sheetView workbookViewId="0">
      <selection activeCell="F9" sqref="F9"/>
    </sheetView>
  </sheetViews>
  <sheetFormatPr defaultRowHeight="14.5" x14ac:dyDescent="0.35"/>
  <cols>
    <col min="1" max="1" width="12.7265625" style="23" bestFit="1" customWidth="1"/>
    <col min="2" max="3" width="8.7265625" style="23"/>
  </cols>
  <sheetData>
    <row r="1" spans="1:3" x14ac:dyDescent="0.35">
      <c r="A1" s="23" t="s">
        <v>67</v>
      </c>
      <c r="B1" s="23" t="s">
        <v>68</v>
      </c>
      <c r="C1" s="23" t="s">
        <v>69</v>
      </c>
    </row>
    <row r="2" spans="1:3" x14ac:dyDescent="0.35">
      <c r="A2" s="23" t="str">
        <f>MSKU0169927!C10</f>
        <v>MSKU0169927</v>
      </c>
      <c r="B2" s="24">
        <f>MSKU0169927!F20</f>
        <v>290</v>
      </c>
      <c r="C2" s="24">
        <f>MSKU0169927!I20</f>
        <v>7040</v>
      </c>
    </row>
    <row r="3" spans="1:3" x14ac:dyDescent="0.35">
      <c r="A3" s="23" t="str">
        <f>SEKU4688446!C10</f>
        <v>SEKU4688446</v>
      </c>
      <c r="B3" s="24">
        <f>SEKU4688446!G18</f>
        <v>290</v>
      </c>
      <c r="C3" s="24">
        <f>SEKU4688446!I20</f>
        <v>7140</v>
      </c>
    </row>
    <row r="4" spans="1:3" x14ac:dyDescent="0.35">
      <c r="A4" s="23" t="str">
        <f>MSKU8411180!C10</f>
        <v>MSKU8411180</v>
      </c>
      <c r="B4" s="24">
        <f>MSKU8411180!F20</f>
        <v>290</v>
      </c>
      <c r="C4" s="24">
        <f>MSKU8411180!I20</f>
        <v>6850</v>
      </c>
    </row>
    <row r="5" spans="1:3" x14ac:dyDescent="0.35">
      <c r="A5" s="23" t="str">
        <f>MRKU3697839!C10</f>
        <v>MRKU3697839</v>
      </c>
      <c r="B5" s="24">
        <f>MRKU3697839!F20</f>
        <v>287</v>
      </c>
      <c r="C5" s="24">
        <f>MRKU3697839!I20</f>
        <v>6860</v>
      </c>
    </row>
    <row r="6" spans="1:3" x14ac:dyDescent="0.35">
      <c r="A6" s="23" t="str">
        <f>MSKU1803342!C10</f>
        <v>MSKU1803342</v>
      </c>
      <c r="B6" s="24">
        <f>MSKU1803342!F20</f>
        <v>290</v>
      </c>
      <c r="C6" s="24">
        <f>MSKU1803342!I20</f>
        <v>6980</v>
      </c>
    </row>
    <row r="7" spans="1:3" x14ac:dyDescent="0.35">
      <c r="A7" s="23" t="str">
        <f>MRKU5495565!C10</f>
        <v>MRKU5495565</v>
      </c>
      <c r="B7" s="24">
        <f>MRKU5495565!F20</f>
        <v>290</v>
      </c>
      <c r="C7" s="24">
        <f>MRKU5495565!I20</f>
        <v>7000</v>
      </c>
    </row>
    <row r="8" spans="1:3" x14ac:dyDescent="0.35">
      <c r="A8" s="23" t="str">
        <f>TCKU7404556!C10</f>
        <v>TCKU7404556</v>
      </c>
      <c r="B8" s="24">
        <f>TCKU7404556!F20</f>
        <v>290</v>
      </c>
      <c r="C8" s="24">
        <f>TCKU7404556!I20</f>
        <v>6800</v>
      </c>
    </row>
    <row r="10" spans="1:3" x14ac:dyDescent="0.35">
      <c r="A10" s="23" t="s">
        <v>70</v>
      </c>
      <c r="B10" s="24">
        <f>SUM(B2:B8)</f>
        <v>2027</v>
      </c>
      <c r="C10" s="24">
        <f>SUM(C2:C8)</f>
        <v>48670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zoomScale="55" zoomScaleNormal="55" workbookViewId="0">
      <selection activeCell="G9" sqref="G9:H9"/>
    </sheetView>
  </sheetViews>
  <sheetFormatPr defaultRowHeight="14.5" x14ac:dyDescent="0.35"/>
  <cols>
    <col min="1" max="1" width="8" customWidth="1"/>
    <col min="2" max="2" width="11.81640625" customWidth="1"/>
    <col min="3" max="3" width="15.54296875" customWidth="1"/>
    <col min="4" max="4" width="28" customWidth="1"/>
    <col min="5" max="5" width="15.6328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40" t="e" vm="1">
        <v>#VALUE!</v>
      </c>
      <c r="B1" s="41"/>
      <c r="C1" s="42"/>
      <c r="D1" s="59" t="s">
        <v>0</v>
      </c>
      <c r="E1" s="60"/>
      <c r="F1" s="60"/>
      <c r="G1" s="60"/>
      <c r="H1" s="60"/>
      <c r="I1" s="60"/>
      <c r="J1" s="60"/>
      <c r="K1" s="61"/>
      <c r="L1" s="68" t="s">
        <v>42</v>
      </c>
      <c r="M1" s="69"/>
      <c r="N1" s="34">
        <v>46098</v>
      </c>
      <c r="O1" s="35"/>
    </row>
    <row r="2" spans="1:15" ht="18" customHeight="1" x14ac:dyDescent="0.35">
      <c r="A2" s="43"/>
      <c r="B2" s="44"/>
      <c r="C2" s="45"/>
      <c r="D2" s="62"/>
      <c r="E2" s="63"/>
      <c r="F2" s="63"/>
      <c r="G2" s="63"/>
      <c r="H2" s="63"/>
      <c r="I2" s="63"/>
      <c r="J2" s="63"/>
      <c r="K2" s="64"/>
      <c r="L2" s="70" t="s">
        <v>43</v>
      </c>
      <c r="M2" s="71"/>
      <c r="N2" s="36" t="s">
        <v>48</v>
      </c>
      <c r="O2" s="37"/>
    </row>
    <row r="3" spans="1:15" ht="16.5" customHeight="1" x14ac:dyDescent="0.35">
      <c r="A3" s="43"/>
      <c r="B3" s="44"/>
      <c r="C3" s="45"/>
      <c r="D3" s="62"/>
      <c r="E3" s="63"/>
      <c r="F3" s="63"/>
      <c r="G3" s="63"/>
      <c r="H3" s="63"/>
      <c r="I3" s="63"/>
      <c r="J3" s="63"/>
      <c r="K3" s="64"/>
      <c r="L3" s="70" t="s">
        <v>44</v>
      </c>
      <c r="M3" s="71"/>
      <c r="N3" s="36" t="s">
        <v>46</v>
      </c>
      <c r="O3" s="37"/>
    </row>
    <row r="4" spans="1:15" ht="15.75" customHeight="1" thickBot="1" x14ac:dyDescent="0.4">
      <c r="A4" s="46"/>
      <c r="B4" s="47"/>
      <c r="C4" s="48"/>
      <c r="D4" s="65"/>
      <c r="E4" s="66"/>
      <c r="F4" s="66"/>
      <c r="G4" s="66"/>
      <c r="H4" s="66"/>
      <c r="I4" s="66"/>
      <c r="J4" s="66"/>
      <c r="K4" s="67"/>
      <c r="L4" s="72" t="s">
        <v>45</v>
      </c>
      <c r="M4" s="73"/>
      <c r="N4" s="38" t="s">
        <v>47</v>
      </c>
      <c r="O4" s="39"/>
    </row>
    <row r="5" spans="1:15" ht="19.899999999999999" customHeight="1" thickBot="1" x14ac:dyDescent="0.4">
      <c r="A5" s="55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22.15" customHeight="1" x14ac:dyDescent="0.35">
      <c r="A6" s="50" t="s">
        <v>39</v>
      </c>
      <c r="B6" s="49"/>
      <c r="C6" s="51" t="s">
        <v>49</v>
      </c>
      <c r="D6" s="51"/>
      <c r="E6" s="49" t="s">
        <v>2</v>
      </c>
      <c r="F6" s="49"/>
      <c r="G6" s="58">
        <v>46230</v>
      </c>
      <c r="H6" s="51"/>
      <c r="I6" s="49" t="s">
        <v>3</v>
      </c>
      <c r="J6" s="49"/>
      <c r="K6" s="51" t="s">
        <v>73</v>
      </c>
      <c r="L6" s="51"/>
      <c r="M6" s="49" t="s">
        <v>4</v>
      </c>
      <c r="N6" s="49"/>
      <c r="O6" s="11" t="s">
        <v>50</v>
      </c>
    </row>
    <row r="7" spans="1:15" ht="22.15" customHeight="1" x14ac:dyDescent="0.35">
      <c r="A7" s="50" t="s">
        <v>5</v>
      </c>
      <c r="B7" s="49"/>
      <c r="C7" s="51" t="s">
        <v>71</v>
      </c>
      <c r="D7" s="51"/>
      <c r="E7" s="51"/>
      <c r="F7" s="51"/>
      <c r="G7" s="51"/>
      <c r="H7" s="51"/>
      <c r="I7" s="49" t="s">
        <v>6</v>
      </c>
      <c r="J7" s="49"/>
      <c r="K7" s="51" t="s">
        <v>72</v>
      </c>
      <c r="L7" s="51"/>
      <c r="M7" s="51"/>
      <c r="N7" s="51"/>
      <c r="O7" s="54"/>
    </row>
    <row r="8" spans="1:15" ht="22.15" customHeight="1" x14ac:dyDescent="0.35">
      <c r="A8" s="50" t="s">
        <v>7</v>
      </c>
      <c r="B8" s="49"/>
      <c r="C8" s="51"/>
      <c r="D8" s="51"/>
      <c r="E8" s="51"/>
      <c r="F8" s="51"/>
      <c r="G8" s="51"/>
      <c r="H8" s="51"/>
      <c r="I8" s="49" t="s">
        <v>8</v>
      </c>
      <c r="J8" s="49"/>
      <c r="K8" s="51" t="s">
        <v>51</v>
      </c>
      <c r="L8" s="51"/>
      <c r="M8" s="49" t="s">
        <v>9</v>
      </c>
      <c r="N8" s="49"/>
      <c r="O8" s="11" t="s">
        <v>54</v>
      </c>
    </row>
    <row r="9" spans="1:15" ht="22.15" customHeight="1" x14ac:dyDescent="0.35">
      <c r="A9" s="50" t="s">
        <v>10</v>
      </c>
      <c r="B9" s="49"/>
      <c r="C9" s="51" t="s">
        <v>52</v>
      </c>
      <c r="D9" s="51"/>
      <c r="E9" s="49" t="s">
        <v>11</v>
      </c>
      <c r="F9" s="49"/>
      <c r="G9" s="51" t="s">
        <v>54</v>
      </c>
      <c r="H9" s="51"/>
      <c r="I9" s="49" t="s">
        <v>12</v>
      </c>
      <c r="J9" s="49"/>
      <c r="K9" s="51" t="s">
        <v>53</v>
      </c>
      <c r="L9" s="51"/>
      <c r="M9" s="49" t="s">
        <v>13</v>
      </c>
      <c r="N9" s="49"/>
      <c r="O9" s="12">
        <v>46259</v>
      </c>
    </row>
    <row r="10" spans="1:15" ht="22.15" customHeight="1" x14ac:dyDescent="0.35">
      <c r="A10" s="50" t="s">
        <v>14</v>
      </c>
      <c r="B10" s="49"/>
      <c r="C10" s="51" t="s">
        <v>55</v>
      </c>
      <c r="D10" s="51"/>
      <c r="E10" s="49" t="s">
        <v>15</v>
      </c>
      <c r="F10" s="49"/>
      <c r="G10" s="51"/>
      <c r="H10" s="51"/>
      <c r="I10" s="49" t="s">
        <v>16</v>
      </c>
      <c r="J10" s="49"/>
      <c r="K10" s="51"/>
      <c r="L10" s="51"/>
      <c r="M10" s="49" t="s">
        <v>17</v>
      </c>
      <c r="N10" s="49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88.5" customHeight="1" x14ac:dyDescent="0.35">
      <c r="A13" s="15">
        <v>1</v>
      </c>
      <c r="B13" s="19"/>
      <c r="C13" s="19"/>
      <c r="D13" s="19" t="s">
        <v>56</v>
      </c>
      <c r="E13" s="19" t="s">
        <v>57</v>
      </c>
      <c r="F13" s="19" t="s">
        <v>58</v>
      </c>
      <c r="G13" s="20">
        <v>290</v>
      </c>
      <c r="H13" s="19" t="s">
        <v>60</v>
      </c>
      <c r="I13" s="19" t="s">
        <v>59</v>
      </c>
      <c r="J13" s="21"/>
      <c r="K13" s="21"/>
      <c r="L13" s="21"/>
      <c r="M13" s="20">
        <v>7040</v>
      </c>
      <c r="N13" s="20"/>
      <c r="O13" s="22" t="str">
        <f t="shared" ref="O13:O17" si="0">IF(COUNTA(J13:L13)=3,J13*K13*L13/1000000,"")</f>
        <v/>
      </c>
    </row>
    <row r="14" spans="1:15" ht="32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32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32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32" customHeight="1" thickBot="1" x14ac:dyDescent="0.4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22.15" customHeight="1" thickBot="1" x14ac:dyDescent="0.4">
      <c r="A18" s="52" t="s">
        <v>33</v>
      </c>
      <c r="B18" s="53"/>
      <c r="C18" s="53"/>
      <c r="D18" s="53"/>
      <c r="E18" s="53"/>
      <c r="F18" s="53"/>
      <c r="G18" s="5">
        <f>SUM(G13:G17)</f>
        <v>290</v>
      </c>
      <c r="H18" s="6"/>
      <c r="I18" s="6"/>
      <c r="J18" s="6"/>
      <c r="K18" s="6"/>
      <c r="L18" s="6"/>
      <c r="M18" s="5">
        <f>SUM(M13:M17)</f>
        <v>7040</v>
      </c>
      <c r="N18" s="5">
        <f>SUM(N13:N17)</f>
        <v>0</v>
      </c>
      <c r="O18" s="17">
        <f>SUM(O13:O17)</f>
        <v>0</v>
      </c>
    </row>
    <row r="19" spans="1:15" x14ac:dyDescent="0.35">
      <c r="A19" s="9"/>
      <c r="O19" s="10"/>
    </row>
    <row r="20" spans="1:15" ht="22.15" customHeight="1" thickBot="1" x14ac:dyDescent="0.4">
      <c r="A20" s="50" t="s">
        <v>34</v>
      </c>
      <c r="B20" s="49"/>
      <c r="C20" s="7">
        <f>COUNTA(B13:B17)</f>
        <v>0</v>
      </c>
      <c r="D20" s="49" t="s">
        <v>35</v>
      </c>
      <c r="E20" s="49"/>
      <c r="F20" s="8">
        <f>SUM(G13:G17)</f>
        <v>290</v>
      </c>
      <c r="G20" s="49" t="s">
        <v>36</v>
      </c>
      <c r="H20" s="49"/>
      <c r="I20" s="8">
        <f>SUM(M13:M17)</f>
        <v>7040</v>
      </c>
      <c r="J20" s="49" t="s">
        <v>37</v>
      </c>
      <c r="K20" s="49"/>
      <c r="L20" s="8">
        <f>SUM(N13:N17)</f>
        <v>0</v>
      </c>
      <c r="M20" s="49" t="s">
        <v>38</v>
      </c>
      <c r="N20" s="49"/>
      <c r="O20" s="18">
        <f>SUM(O13:O17)</f>
        <v>0</v>
      </c>
    </row>
    <row r="21" spans="1:15" ht="18.5" x14ac:dyDescent="0.35">
      <c r="A21" s="25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</row>
    <row r="22" spans="1:15" ht="14.5" customHeight="1" x14ac:dyDescent="0.35">
      <c r="A22" s="28" t="s">
        <v>41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" thickBo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</row>
  </sheetData>
  <mergeCells count="49">
    <mergeCell ref="D1:K4"/>
    <mergeCell ref="L1:M1"/>
    <mergeCell ref="L2:M2"/>
    <mergeCell ref="L3:M3"/>
    <mergeCell ref="L4:M4"/>
    <mergeCell ref="A5:O5"/>
    <mergeCell ref="C8:H8"/>
    <mergeCell ref="A9:B9"/>
    <mergeCell ref="I8:J8"/>
    <mergeCell ref="A8:B8"/>
    <mergeCell ref="M8:N8"/>
    <mergeCell ref="M9:N9"/>
    <mergeCell ref="M6:N6"/>
    <mergeCell ref="K6:L6"/>
    <mergeCell ref="G9:H9"/>
    <mergeCell ref="I9:J9"/>
    <mergeCell ref="G6:H6"/>
    <mergeCell ref="C9:D9"/>
    <mergeCell ref="C6:D6"/>
    <mergeCell ref="I6:J6"/>
    <mergeCell ref="K9:L9"/>
    <mergeCell ref="E6:F6"/>
    <mergeCell ref="A20:B20"/>
    <mergeCell ref="K7:O7"/>
    <mergeCell ref="I10:J10"/>
    <mergeCell ref="A10:B10"/>
    <mergeCell ref="K10:L10"/>
    <mergeCell ref="G10:H10"/>
    <mergeCell ref="C10:D10"/>
    <mergeCell ref="A7:B7"/>
    <mergeCell ref="K8:L8"/>
    <mergeCell ref="E10:F10"/>
    <mergeCell ref="I7:J7"/>
    <mergeCell ref="A21:O21"/>
    <mergeCell ref="A22:O23"/>
    <mergeCell ref="N1:O1"/>
    <mergeCell ref="N2:O2"/>
    <mergeCell ref="N3:O3"/>
    <mergeCell ref="N4:O4"/>
    <mergeCell ref="A1:C4"/>
    <mergeCell ref="D20:E20"/>
    <mergeCell ref="G20:H20"/>
    <mergeCell ref="A6:B6"/>
    <mergeCell ref="J20:K20"/>
    <mergeCell ref="M10:N10"/>
    <mergeCell ref="E9:F9"/>
    <mergeCell ref="C7:H7"/>
    <mergeCell ref="M20:N20"/>
    <mergeCell ref="A18:F18"/>
  </mergeCells>
  <dataValidations count="1">
    <dataValidation type="list" allowBlank="1" sqref="H13:I17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5032-A29F-4411-9911-2F9C1DF2815E}">
  <dimension ref="A1:O23"/>
  <sheetViews>
    <sheetView showGridLines="0" zoomScale="55" zoomScaleNormal="55" workbookViewId="0">
      <selection activeCell="O9" sqref="O9"/>
    </sheetView>
  </sheetViews>
  <sheetFormatPr defaultRowHeight="14.5" x14ac:dyDescent="0.35"/>
  <cols>
    <col min="1" max="1" width="8" customWidth="1"/>
    <col min="2" max="2" width="11.81640625" customWidth="1"/>
    <col min="3" max="3" width="15.54296875" customWidth="1"/>
    <col min="4" max="4" width="28" customWidth="1"/>
    <col min="5" max="5" width="15.6328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40" t="e" vm="1">
        <v>#VALUE!</v>
      </c>
      <c r="B1" s="41"/>
      <c r="C1" s="42"/>
      <c r="D1" s="59" t="s">
        <v>0</v>
      </c>
      <c r="E1" s="60"/>
      <c r="F1" s="60"/>
      <c r="G1" s="60"/>
      <c r="H1" s="60"/>
      <c r="I1" s="60"/>
      <c r="J1" s="60"/>
      <c r="K1" s="61"/>
      <c r="L1" s="68" t="s">
        <v>42</v>
      </c>
      <c r="M1" s="69"/>
      <c r="N1" s="34">
        <v>46098</v>
      </c>
      <c r="O1" s="35"/>
    </row>
    <row r="2" spans="1:15" ht="18" customHeight="1" x14ac:dyDescent="0.35">
      <c r="A2" s="43"/>
      <c r="B2" s="44"/>
      <c r="C2" s="45"/>
      <c r="D2" s="62"/>
      <c r="E2" s="63"/>
      <c r="F2" s="63"/>
      <c r="G2" s="63"/>
      <c r="H2" s="63"/>
      <c r="I2" s="63"/>
      <c r="J2" s="63"/>
      <c r="K2" s="64"/>
      <c r="L2" s="70" t="s">
        <v>43</v>
      </c>
      <c r="M2" s="71"/>
      <c r="N2" s="36" t="s">
        <v>48</v>
      </c>
      <c r="O2" s="37"/>
    </row>
    <row r="3" spans="1:15" ht="16.5" customHeight="1" x14ac:dyDescent="0.35">
      <c r="A3" s="43"/>
      <c r="B3" s="44"/>
      <c r="C3" s="45"/>
      <c r="D3" s="62"/>
      <c r="E3" s="63"/>
      <c r="F3" s="63"/>
      <c r="G3" s="63"/>
      <c r="H3" s="63"/>
      <c r="I3" s="63"/>
      <c r="J3" s="63"/>
      <c r="K3" s="64"/>
      <c r="L3" s="70" t="s">
        <v>44</v>
      </c>
      <c r="M3" s="71"/>
      <c r="N3" s="36" t="s">
        <v>46</v>
      </c>
      <c r="O3" s="37"/>
    </row>
    <row r="4" spans="1:15" ht="15.75" customHeight="1" thickBot="1" x14ac:dyDescent="0.4">
      <c r="A4" s="46"/>
      <c r="B4" s="47"/>
      <c r="C4" s="48"/>
      <c r="D4" s="65"/>
      <c r="E4" s="66"/>
      <c r="F4" s="66"/>
      <c r="G4" s="66"/>
      <c r="H4" s="66"/>
      <c r="I4" s="66"/>
      <c r="J4" s="66"/>
      <c r="K4" s="67"/>
      <c r="L4" s="72" t="s">
        <v>45</v>
      </c>
      <c r="M4" s="73"/>
      <c r="N4" s="38" t="s">
        <v>47</v>
      </c>
      <c r="O4" s="39"/>
    </row>
    <row r="5" spans="1:15" ht="19.899999999999999" customHeight="1" thickBot="1" x14ac:dyDescent="0.4">
      <c r="A5" s="55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22.15" customHeight="1" x14ac:dyDescent="0.35">
      <c r="A6" s="50" t="s">
        <v>39</v>
      </c>
      <c r="B6" s="49"/>
      <c r="C6" s="51" t="s">
        <v>49</v>
      </c>
      <c r="D6" s="51"/>
      <c r="E6" s="49" t="s">
        <v>2</v>
      </c>
      <c r="F6" s="49"/>
      <c r="G6" s="58">
        <v>46230</v>
      </c>
      <c r="H6" s="51"/>
      <c r="I6" s="49" t="s">
        <v>3</v>
      </c>
      <c r="J6" s="49"/>
      <c r="K6" s="51" t="s">
        <v>73</v>
      </c>
      <c r="L6" s="51"/>
      <c r="M6" s="49" t="s">
        <v>4</v>
      </c>
      <c r="N6" s="49"/>
      <c r="O6" s="11" t="s">
        <v>50</v>
      </c>
    </row>
    <row r="7" spans="1:15" ht="22.15" customHeight="1" x14ac:dyDescent="0.35">
      <c r="A7" s="50" t="s">
        <v>5</v>
      </c>
      <c r="B7" s="49"/>
      <c r="C7" s="51" t="s">
        <v>71</v>
      </c>
      <c r="D7" s="51"/>
      <c r="E7" s="51"/>
      <c r="F7" s="51"/>
      <c r="G7" s="51"/>
      <c r="H7" s="51"/>
      <c r="I7" s="49" t="s">
        <v>6</v>
      </c>
      <c r="J7" s="49"/>
      <c r="K7" s="51" t="s">
        <v>72</v>
      </c>
      <c r="L7" s="51"/>
      <c r="M7" s="51"/>
      <c r="N7" s="51"/>
      <c r="O7" s="54"/>
    </row>
    <row r="8" spans="1:15" ht="22.15" customHeight="1" x14ac:dyDescent="0.35">
      <c r="A8" s="50" t="s">
        <v>7</v>
      </c>
      <c r="B8" s="49"/>
      <c r="C8" s="51"/>
      <c r="D8" s="51"/>
      <c r="E8" s="51"/>
      <c r="F8" s="51"/>
      <c r="G8" s="51"/>
      <c r="H8" s="51"/>
      <c r="I8" s="49" t="s">
        <v>8</v>
      </c>
      <c r="J8" s="49"/>
      <c r="K8" s="51" t="s">
        <v>51</v>
      </c>
      <c r="L8" s="51"/>
      <c r="M8" s="49" t="s">
        <v>9</v>
      </c>
      <c r="N8" s="49"/>
      <c r="O8" s="11" t="s">
        <v>54</v>
      </c>
    </row>
    <row r="9" spans="1:15" ht="22.15" customHeight="1" x14ac:dyDescent="0.35">
      <c r="A9" s="50" t="s">
        <v>10</v>
      </c>
      <c r="B9" s="49"/>
      <c r="C9" s="51" t="s">
        <v>52</v>
      </c>
      <c r="D9" s="51"/>
      <c r="E9" s="49" t="s">
        <v>11</v>
      </c>
      <c r="F9" s="49"/>
      <c r="G9" s="51" t="s">
        <v>54</v>
      </c>
      <c r="H9" s="51"/>
      <c r="I9" s="49" t="s">
        <v>12</v>
      </c>
      <c r="J9" s="49"/>
      <c r="K9" s="51" t="s">
        <v>53</v>
      </c>
      <c r="L9" s="51"/>
      <c r="M9" s="49" t="s">
        <v>13</v>
      </c>
      <c r="N9" s="49"/>
      <c r="O9" s="12">
        <v>46259</v>
      </c>
    </row>
    <row r="10" spans="1:15" ht="22.15" customHeight="1" x14ac:dyDescent="0.35">
      <c r="A10" s="50" t="s">
        <v>14</v>
      </c>
      <c r="B10" s="49"/>
      <c r="C10" s="51" t="s">
        <v>61</v>
      </c>
      <c r="D10" s="51"/>
      <c r="E10" s="49" t="s">
        <v>15</v>
      </c>
      <c r="F10" s="49"/>
      <c r="G10" s="51"/>
      <c r="H10" s="51"/>
      <c r="I10" s="49" t="s">
        <v>16</v>
      </c>
      <c r="J10" s="49"/>
      <c r="K10" s="51"/>
      <c r="L10" s="51"/>
      <c r="M10" s="49" t="s">
        <v>17</v>
      </c>
      <c r="N10" s="49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88.5" customHeight="1" x14ac:dyDescent="0.35">
      <c r="A13" s="15">
        <v>1</v>
      </c>
      <c r="B13" s="19"/>
      <c r="C13" s="19"/>
      <c r="D13" s="19" t="s">
        <v>56</v>
      </c>
      <c r="E13" s="19" t="s">
        <v>57</v>
      </c>
      <c r="F13" s="19" t="s">
        <v>58</v>
      </c>
      <c r="G13" s="20">
        <v>290</v>
      </c>
      <c r="H13" s="19" t="s">
        <v>60</v>
      </c>
      <c r="I13" s="19" t="s">
        <v>59</v>
      </c>
      <c r="J13" s="21"/>
      <c r="K13" s="21"/>
      <c r="L13" s="21"/>
      <c r="M13" s="20">
        <v>7140</v>
      </c>
      <c r="N13" s="20"/>
      <c r="O13" s="22" t="str">
        <f t="shared" ref="O13:O17" si="0">IF(COUNTA(J13:L13)=3,J13*K13*L13/1000000,"")</f>
        <v/>
      </c>
    </row>
    <row r="14" spans="1:15" ht="32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32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32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32" customHeight="1" thickBot="1" x14ac:dyDescent="0.4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22.15" customHeight="1" thickBot="1" x14ac:dyDescent="0.4">
      <c r="A18" s="52" t="s">
        <v>33</v>
      </c>
      <c r="B18" s="53"/>
      <c r="C18" s="53"/>
      <c r="D18" s="53"/>
      <c r="E18" s="53"/>
      <c r="F18" s="53"/>
      <c r="G18" s="5">
        <f>SUM(G13:G17)</f>
        <v>290</v>
      </c>
      <c r="H18" s="6"/>
      <c r="I18" s="6"/>
      <c r="J18" s="6"/>
      <c r="K18" s="6"/>
      <c r="L18" s="6"/>
      <c r="M18" s="5">
        <f>SUM(M13:M17)</f>
        <v>7140</v>
      </c>
      <c r="N18" s="5">
        <f>SUM(N13:N17)</f>
        <v>0</v>
      </c>
      <c r="O18" s="17">
        <f>SUM(O13:O17)</f>
        <v>0</v>
      </c>
    </row>
    <row r="19" spans="1:15" x14ac:dyDescent="0.35">
      <c r="A19" s="9"/>
      <c r="O19" s="10"/>
    </row>
    <row r="20" spans="1:15" ht="22.15" customHeight="1" thickBot="1" x14ac:dyDescent="0.4">
      <c r="A20" s="50" t="s">
        <v>34</v>
      </c>
      <c r="B20" s="49"/>
      <c r="C20" s="7">
        <f>COUNTA(B13:B17)</f>
        <v>0</v>
      </c>
      <c r="D20" s="49" t="s">
        <v>35</v>
      </c>
      <c r="E20" s="49"/>
      <c r="F20" s="8">
        <f>SUM(G13:G17)</f>
        <v>290</v>
      </c>
      <c r="G20" s="49" t="s">
        <v>36</v>
      </c>
      <c r="H20" s="49"/>
      <c r="I20" s="8">
        <f>SUM(M13:M17)</f>
        <v>7140</v>
      </c>
      <c r="J20" s="49" t="s">
        <v>37</v>
      </c>
      <c r="K20" s="49"/>
      <c r="L20" s="8">
        <f>SUM(N13:N17)</f>
        <v>0</v>
      </c>
      <c r="M20" s="49" t="s">
        <v>38</v>
      </c>
      <c r="N20" s="49"/>
      <c r="O20" s="18">
        <f>SUM(O13:O17)</f>
        <v>0</v>
      </c>
    </row>
    <row r="21" spans="1:15" ht="18.5" x14ac:dyDescent="0.35">
      <c r="A21" s="25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</row>
    <row r="22" spans="1:15" ht="14.5" customHeight="1" x14ac:dyDescent="0.35">
      <c r="A22" s="28" t="s">
        <v>41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" thickBo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</row>
  </sheetData>
  <mergeCells count="49">
    <mergeCell ref="A21:O21"/>
    <mergeCell ref="A22:O23"/>
    <mergeCell ref="A18:F18"/>
    <mergeCell ref="A20:B20"/>
    <mergeCell ref="D20:E20"/>
    <mergeCell ref="G20:H20"/>
    <mergeCell ref="J20:K20"/>
    <mergeCell ref="M20:N20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dataValidations count="1">
    <dataValidation type="list" allowBlank="1" sqref="H13:I17" xr:uid="{EB97761F-FF84-47D8-AA74-A2628A0E8A76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6393-712C-4FBF-BC35-495A1BA19713}">
  <dimension ref="A1:O23"/>
  <sheetViews>
    <sheetView showGridLines="0" zoomScale="55" zoomScaleNormal="55" workbookViewId="0">
      <selection activeCell="O9" sqref="O9"/>
    </sheetView>
  </sheetViews>
  <sheetFormatPr defaultRowHeight="14.5" x14ac:dyDescent="0.35"/>
  <cols>
    <col min="1" max="1" width="8" customWidth="1"/>
    <col min="2" max="2" width="11.81640625" customWidth="1"/>
    <col min="3" max="3" width="15.54296875" customWidth="1"/>
    <col min="4" max="4" width="28" customWidth="1"/>
    <col min="5" max="5" width="15.6328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40" t="e" vm="1">
        <v>#VALUE!</v>
      </c>
      <c r="B1" s="41"/>
      <c r="C1" s="42"/>
      <c r="D1" s="59" t="s">
        <v>0</v>
      </c>
      <c r="E1" s="60"/>
      <c r="F1" s="60"/>
      <c r="G1" s="60"/>
      <c r="H1" s="60"/>
      <c r="I1" s="60"/>
      <c r="J1" s="60"/>
      <c r="K1" s="61"/>
      <c r="L1" s="68" t="s">
        <v>42</v>
      </c>
      <c r="M1" s="69"/>
      <c r="N1" s="34">
        <v>46098</v>
      </c>
      <c r="O1" s="35"/>
    </row>
    <row r="2" spans="1:15" ht="18" customHeight="1" x14ac:dyDescent="0.35">
      <c r="A2" s="43"/>
      <c r="B2" s="44"/>
      <c r="C2" s="45"/>
      <c r="D2" s="62"/>
      <c r="E2" s="63"/>
      <c r="F2" s="63"/>
      <c r="G2" s="63"/>
      <c r="H2" s="63"/>
      <c r="I2" s="63"/>
      <c r="J2" s="63"/>
      <c r="K2" s="64"/>
      <c r="L2" s="70" t="s">
        <v>43</v>
      </c>
      <c r="M2" s="71"/>
      <c r="N2" s="36" t="s">
        <v>48</v>
      </c>
      <c r="O2" s="37"/>
    </row>
    <row r="3" spans="1:15" ht="16.5" customHeight="1" x14ac:dyDescent="0.35">
      <c r="A3" s="43"/>
      <c r="B3" s="44"/>
      <c r="C3" s="45"/>
      <c r="D3" s="62"/>
      <c r="E3" s="63"/>
      <c r="F3" s="63"/>
      <c r="G3" s="63"/>
      <c r="H3" s="63"/>
      <c r="I3" s="63"/>
      <c r="J3" s="63"/>
      <c r="K3" s="64"/>
      <c r="L3" s="70" t="s">
        <v>44</v>
      </c>
      <c r="M3" s="71"/>
      <c r="N3" s="36" t="s">
        <v>46</v>
      </c>
      <c r="O3" s="37"/>
    </row>
    <row r="4" spans="1:15" ht="15.75" customHeight="1" thickBot="1" x14ac:dyDescent="0.4">
      <c r="A4" s="46"/>
      <c r="B4" s="47"/>
      <c r="C4" s="48"/>
      <c r="D4" s="65"/>
      <c r="E4" s="66"/>
      <c r="F4" s="66"/>
      <c r="G4" s="66"/>
      <c r="H4" s="66"/>
      <c r="I4" s="66"/>
      <c r="J4" s="66"/>
      <c r="K4" s="67"/>
      <c r="L4" s="72" t="s">
        <v>45</v>
      </c>
      <c r="M4" s="73"/>
      <c r="N4" s="38" t="s">
        <v>47</v>
      </c>
      <c r="O4" s="39"/>
    </row>
    <row r="5" spans="1:15" ht="19.899999999999999" customHeight="1" thickBot="1" x14ac:dyDescent="0.4">
      <c r="A5" s="55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22.15" customHeight="1" x14ac:dyDescent="0.35">
      <c r="A6" s="50" t="s">
        <v>39</v>
      </c>
      <c r="B6" s="49"/>
      <c r="C6" s="51" t="s">
        <v>49</v>
      </c>
      <c r="D6" s="51"/>
      <c r="E6" s="49" t="s">
        <v>2</v>
      </c>
      <c r="F6" s="49"/>
      <c r="G6" s="58">
        <v>46230</v>
      </c>
      <c r="H6" s="51"/>
      <c r="I6" s="49" t="s">
        <v>3</v>
      </c>
      <c r="J6" s="49"/>
      <c r="K6" s="51" t="s">
        <v>73</v>
      </c>
      <c r="L6" s="51"/>
      <c r="M6" s="49" t="s">
        <v>4</v>
      </c>
      <c r="N6" s="49"/>
      <c r="O6" s="11" t="s">
        <v>50</v>
      </c>
    </row>
    <row r="7" spans="1:15" ht="22.15" customHeight="1" x14ac:dyDescent="0.35">
      <c r="A7" s="50" t="s">
        <v>5</v>
      </c>
      <c r="B7" s="49"/>
      <c r="C7" s="51" t="s">
        <v>71</v>
      </c>
      <c r="D7" s="51"/>
      <c r="E7" s="51"/>
      <c r="F7" s="51"/>
      <c r="G7" s="51"/>
      <c r="H7" s="51"/>
      <c r="I7" s="49" t="s">
        <v>6</v>
      </c>
      <c r="J7" s="49"/>
      <c r="K7" s="51" t="s">
        <v>72</v>
      </c>
      <c r="L7" s="51"/>
      <c r="M7" s="51"/>
      <c r="N7" s="51"/>
      <c r="O7" s="54"/>
    </row>
    <row r="8" spans="1:15" ht="22.15" customHeight="1" x14ac:dyDescent="0.35">
      <c r="A8" s="50" t="s">
        <v>7</v>
      </c>
      <c r="B8" s="49"/>
      <c r="C8" s="51"/>
      <c r="D8" s="51"/>
      <c r="E8" s="51"/>
      <c r="F8" s="51"/>
      <c r="G8" s="51"/>
      <c r="H8" s="51"/>
      <c r="I8" s="49" t="s">
        <v>8</v>
      </c>
      <c r="J8" s="49"/>
      <c r="K8" s="51" t="s">
        <v>51</v>
      </c>
      <c r="L8" s="51"/>
      <c r="M8" s="49" t="s">
        <v>9</v>
      </c>
      <c r="N8" s="49"/>
      <c r="O8" s="11" t="s">
        <v>54</v>
      </c>
    </row>
    <row r="9" spans="1:15" ht="22.15" customHeight="1" x14ac:dyDescent="0.35">
      <c r="A9" s="50" t="s">
        <v>10</v>
      </c>
      <c r="B9" s="49"/>
      <c r="C9" s="51" t="s">
        <v>52</v>
      </c>
      <c r="D9" s="51"/>
      <c r="E9" s="49" t="s">
        <v>11</v>
      </c>
      <c r="F9" s="49"/>
      <c r="G9" s="51" t="s">
        <v>54</v>
      </c>
      <c r="H9" s="51"/>
      <c r="I9" s="49" t="s">
        <v>12</v>
      </c>
      <c r="J9" s="49"/>
      <c r="K9" s="51" t="s">
        <v>53</v>
      </c>
      <c r="L9" s="51"/>
      <c r="M9" s="49" t="s">
        <v>13</v>
      </c>
      <c r="N9" s="49"/>
      <c r="O9" s="12">
        <v>46259</v>
      </c>
    </row>
    <row r="10" spans="1:15" ht="22.15" customHeight="1" x14ac:dyDescent="0.35">
      <c r="A10" s="50" t="s">
        <v>14</v>
      </c>
      <c r="B10" s="49"/>
      <c r="C10" s="51" t="s">
        <v>62</v>
      </c>
      <c r="D10" s="51"/>
      <c r="E10" s="49" t="s">
        <v>15</v>
      </c>
      <c r="F10" s="49"/>
      <c r="G10" s="51"/>
      <c r="H10" s="51"/>
      <c r="I10" s="49" t="s">
        <v>16</v>
      </c>
      <c r="J10" s="49"/>
      <c r="K10" s="51"/>
      <c r="L10" s="51"/>
      <c r="M10" s="49" t="s">
        <v>17</v>
      </c>
      <c r="N10" s="49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88.5" customHeight="1" x14ac:dyDescent="0.35">
      <c r="A13" s="15">
        <v>1</v>
      </c>
      <c r="B13" s="19"/>
      <c r="C13" s="19"/>
      <c r="D13" s="19" t="s">
        <v>56</v>
      </c>
      <c r="E13" s="19" t="s">
        <v>57</v>
      </c>
      <c r="F13" s="19" t="s">
        <v>58</v>
      </c>
      <c r="G13" s="20">
        <v>290</v>
      </c>
      <c r="H13" s="19" t="s">
        <v>60</v>
      </c>
      <c r="I13" s="19" t="s">
        <v>59</v>
      </c>
      <c r="J13" s="21"/>
      <c r="K13" s="21"/>
      <c r="L13" s="21"/>
      <c r="M13" s="20">
        <v>6850</v>
      </c>
      <c r="N13" s="20"/>
      <c r="O13" s="22" t="str">
        <f t="shared" ref="O13:O17" si="0">IF(COUNTA(J13:L13)=3,J13*K13*L13/1000000,"")</f>
        <v/>
      </c>
    </row>
    <row r="14" spans="1:15" ht="32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32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32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32" customHeight="1" thickBot="1" x14ac:dyDescent="0.4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22.15" customHeight="1" thickBot="1" x14ac:dyDescent="0.4">
      <c r="A18" s="52" t="s">
        <v>33</v>
      </c>
      <c r="B18" s="53"/>
      <c r="C18" s="53"/>
      <c r="D18" s="53"/>
      <c r="E18" s="53"/>
      <c r="F18" s="53"/>
      <c r="G18" s="5">
        <f>SUM(G13:G17)</f>
        <v>290</v>
      </c>
      <c r="H18" s="6"/>
      <c r="I18" s="6"/>
      <c r="J18" s="6"/>
      <c r="K18" s="6"/>
      <c r="L18" s="6"/>
      <c r="M18" s="5">
        <f>SUM(M13:M17)</f>
        <v>6850</v>
      </c>
      <c r="N18" s="5">
        <f>SUM(N13:N17)</f>
        <v>0</v>
      </c>
      <c r="O18" s="17">
        <f>SUM(O13:O17)</f>
        <v>0</v>
      </c>
    </row>
    <row r="19" spans="1:15" x14ac:dyDescent="0.35">
      <c r="A19" s="9"/>
      <c r="O19" s="10"/>
    </row>
    <row r="20" spans="1:15" ht="22.15" customHeight="1" thickBot="1" x14ac:dyDescent="0.4">
      <c r="A20" s="50" t="s">
        <v>34</v>
      </c>
      <c r="B20" s="49"/>
      <c r="C20" s="7">
        <f>COUNTA(B13:B17)</f>
        <v>0</v>
      </c>
      <c r="D20" s="49" t="s">
        <v>35</v>
      </c>
      <c r="E20" s="49"/>
      <c r="F20" s="8">
        <f>SUM(G13:G17)</f>
        <v>290</v>
      </c>
      <c r="G20" s="49" t="s">
        <v>36</v>
      </c>
      <c r="H20" s="49"/>
      <c r="I20" s="8">
        <f>SUM(M13:M17)</f>
        <v>6850</v>
      </c>
      <c r="J20" s="49" t="s">
        <v>37</v>
      </c>
      <c r="K20" s="49"/>
      <c r="L20" s="8">
        <f>SUM(N13:N17)</f>
        <v>0</v>
      </c>
      <c r="M20" s="49" t="s">
        <v>38</v>
      </c>
      <c r="N20" s="49"/>
      <c r="O20" s="18">
        <f>SUM(O13:O17)</f>
        <v>0</v>
      </c>
    </row>
    <row r="21" spans="1:15" ht="18.5" x14ac:dyDescent="0.35">
      <c r="A21" s="25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</row>
    <row r="22" spans="1:15" ht="14.5" customHeight="1" x14ac:dyDescent="0.35">
      <c r="A22" s="28" t="s">
        <v>41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" thickBo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</row>
  </sheetData>
  <mergeCells count="49">
    <mergeCell ref="A21:O21"/>
    <mergeCell ref="A22:O23"/>
    <mergeCell ref="A18:F18"/>
    <mergeCell ref="A20:B20"/>
    <mergeCell ref="D20:E20"/>
    <mergeCell ref="G20:H20"/>
    <mergeCell ref="J20:K20"/>
    <mergeCell ref="M20:N20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dataValidations count="1">
    <dataValidation type="list" allowBlank="1" sqref="H13:I17" xr:uid="{79C0AE56-4787-48E4-BEDB-E786AB14FF58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7BE6-DE78-41A4-A952-173AB66AC815}">
  <dimension ref="A1:O23"/>
  <sheetViews>
    <sheetView showGridLines="0" topLeftCell="A2" zoomScale="55" zoomScaleNormal="55" workbookViewId="0">
      <selection activeCell="O9" sqref="O9"/>
    </sheetView>
  </sheetViews>
  <sheetFormatPr defaultRowHeight="14.5" x14ac:dyDescent="0.35"/>
  <cols>
    <col min="1" max="1" width="8" customWidth="1"/>
    <col min="2" max="2" width="11.81640625" customWidth="1"/>
    <col min="3" max="3" width="15.54296875" customWidth="1"/>
    <col min="4" max="4" width="28" customWidth="1"/>
    <col min="5" max="5" width="15.6328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40" t="e" vm="1">
        <v>#VALUE!</v>
      </c>
      <c r="B1" s="41"/>
      <c r="C1" s="42"/>
      <c r="D1" s="59" t="s">
        <v>0</v>
      </c>
      <c r="E1" s="60"/>
      <c r="F1" s="60"/>
      <c r="G1" s="60"/>
      <c r="H1" s="60"/>
      <c r="I1" s="60"/>
      <c r="J1" s="60"/>
      <c r="K1" s="61"/>
      <c r="L1" s="68" t="s">
        <v>42</v>
      </c>
      <c r="M1" s="69"/>
      <c r="N1" s="34">
        <v>46098</v>
      </c>
      <c r="O1" s="35"/>
    </row>
    <row r="2" spans="1:15" ht="18" customHeight="1" x14ac:dyDescent="0.35">
      <c r="A2" s="43"/>
      <c r="B2" s="44"/>
      <c r="C2" s="45"/>
      <c r="D2" s="62"/>
      <c r="E2" s="63"/>
      <c r="F2" s="63"/>
      <c r="G2" s="63"/>
      <c r="H2" s="63"/>
      <c r="I2" s="63"/>
      <c r="J2" s="63"/>
      <c r="K2" s="64"/>
      <c r="L2" s="70" t="s">
        <v>43</v>
      </c>
      <c r="M2" s="71"/>
      <c r="N2" s="36" t="s">
        <v>48</v>
      </c>
      <c r="O2" s="37"/>
    </row>
    <row r="3" spans="1:15" ht="16.5" customHeight="1" x14ac:dyDescent="0.35">
      <c r="A3" s="43"/>
      <c r="B3" s="44"/>
      <c r="C3" s="45"/>
      <c r="D3" s="62"/>
      <c r="E3" s="63"/>
      <c r="F3" s="63"/>
      <c r="G3" s="63"/>
      <c r="H3" s="63"/>
      <c r="I3" s="63"/>
      <c r="J3" s="63"/>
      <c r="K3" s="64"/>
      <c r="L3" s="70" t="s">
        <v>44</v>
      </c>
      <c r="M3" s="71"/>
      <c r="N3" s="36" t="s">
        <v>46</v>
      </c>
      <c r="O3" s="37"/>
    </row>
    <row r="4" spans="1:15" ht="15.75" customHeight="1" thickBot="1" x14ac:dyDescent="0.4">
      <c r="A4" s="46"/>
      <c r="B4" s="47"/>
      <c r="C4" s="48"/>
      <c r="D4" s="65"/>
      <c r="E4" s="66"/>
      <c r="F4" s="66"/>
      <c r="G4" s="66"/>
      <c r="H4" s="66"/>
      <c r="I4" s="66"/>
      <c r="J4" s="66"/>
      <c r="K4" s="67"/>
      <c r="L4" s="72" t="s">
        <v>45</v>
      </c>
      <c r="M4" s="73"/>
      <c r="N4" s="38" t="s">
        <v>47</v>
      </c>
      <c r="O4" s="39"/>
    </row>
    <row r="5" spans="1:15" ht="19.899999999999999" customHeight="1" thickBot="1" x14ac:dyDescent="0.4">
      <c r="A5" s="55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22.15" customHeight="1" x14ac:dyDescent="0.35">
      <c r="A6" s="50" t="s">
        <v>39</v>
      </c>
      <c r="B6" s="49"/>
      <c r="C6" s="51" t="s">
        <v>49</v>
      </c>
      <c r="D6" s="51"/>
      <c r="E6" s="49" t="s">
        <v>2</v>
      </c>
      <c r="F6" s="49"/>
      <c r="G6" s="58">
        <v>46230</v>
      </c>
      <c r="H6" s="51"/>
      <c r="I6" s="49" t="s">
        <v>3</v>
      </c>
      <c r="J6" s="49"/>
      <c r="K6" s="51" t="s">
        <v>73</v>
      </c>
      <c r="L6" s="51"/>
      <c r="M6" s="49" t="s">
        <v>4</v>
      </c>
      <c r="N6" s="49"/>
      <c r="O6" s="11" t="s">
        <v>50</v>
      </c>
    </row>
    <row r="7" spans="1:15" ht="22.15" customHeight="1" x14ac:dyDescent="0.35">
      <c r="A7" s="50" t="s">
        <v>5</v>
      </c>
      <c r="B7" s="49"/>
      <c r="C7" s="51" t="s">
        <v>71</v>
      </c>
      <c r="D7" s="51"/>
      <c r="E7" s="51"/>
      <c r="F7" s="51"/>
      <c r="G7" s="51"/>
      <c r="H7" s="51"/>
      <c r="I7" s="49" t="s">
        <v>6</v>
      </c>
      <c r="J7" s="49"/>
      <c r="K7" s="51" t="s">
        <v>72</v>
      </c>
      <c r="L7" s="51"/>
      <c r="M7" s="51"/>
      <c r="N7" s="51"/>
      <c r="O7" s="54"/>
    </row>
    <row r="8" spans="1:15" ht="22.15" customHeight="1" x14ac:dyDescent="0.35">
      <c r="A8" s="50" t="s">
        <v>7</v>
      </c>
      <c r="B8" s="49"/>
      <c r="C8" s="51"/>
      <c r="D8" s="51"/>
      <c r="E8" s="51"/>
      <c r="F8" s="51"/>
      <c r="G8" s="51"/>
      <c r="H8" s="51"/>
      <c r="I8" s="49" t="s">
        <v>8</v>
      </c>
      <c r="J8" s="49"/>
      <c r="K8" s="51" t="s">
        <v>51</v>
      </c>
      <c r="L8" s="51"/>
      <c r="M8" s="49" t="s">
        <v>9</v>
      </c>
      <c r="N8" s="49"/>
      <c r="O8" s="11" t="s">
        <v>54</v>
      </c>
    </row>
    <row r="9" spans="1:15" ht="22.15" customHeight="1" x14ac:dyDescent="0.35">
      <c r="A9" s="50" t="s">
        <v>10</v>
      </c>
      <c r="B9" s="49"/>
      <c r="C9" s="51" t="s">
        <v>52</v>
      </c>
      <c r="D9" s="51"/>
      <c r="E9" s="49" t="s">
        <v>11</v>
      </c>
      <c r="F9" s="49"/>
      <c r="G9" s="51" t="s">
        <v>54</v>
      </c>
      <c r="H9" s="51"/>
      <c r="I9" s="49" t="s">
        <v>12</v>
      </c>
      <c r="J9" s="49"/>
      <c r="K9" s="51" t="s">
        <v>53</v>
      </c>
      <c r="L9" s="51"/>
      <c r="M9" s="49" t="s">
        <v>13</v>
      </c>
      <c r="N9" s="49"/>
      <c r="O9" s="12">
        <v>46259</v>
      </c>
    </row>
    <row r="10" spans="1:15" ht="22.15" customHeight="1" x14ac:dyDescent="0.35">
      <c r="A10" s="50" t="s">
        <v>14</v>
      </c>
      <c r="B10" s="49"/>
      <c r="C10" s="51" t="s">
        <v>63</v>
      </c>
      <c r="D10" s="51"/>
      <c r="E10" s="49" t="s">
        <v>15</v>
      </c>
      <c r="F10" s="49"/>
      <c r="G10" s="51"/>
      <c r="H10" s="51"/>
      <c r="I10" s="49" t="s">
        <v>16</v>
      </c>
      <c r="J10" s="49"/>
      <c r="K10" s="51"/>
      <c r="L10" s="51"/>
      <c r="M10" s="49" t="s">
        <v>17</v>
      </c>
      <c r="N10" s="49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88.5" customHeight="1" x14ac:dyDescent="0.35">
      <c r="A13" s="15">
        <v>1</v>
      </c>
      <c r="B13" s="19"/>
      <c r="C13" s="19"/>
      <c r="D13" s="19" t="s">
        <v>56</v>
      </c>
      <c r="E13" s="19" t="s">
        <v>57</v>
      </c>
      <c r="F13" s="19" t="s">
        <v>58</v>
      </c>
      <c r="G13" s="20">
        <v>287</v>
      </c>
      <c r="H13" s="19" t="s">
        <v>60</v>
      </c>
      <c r="I13" s="19" t="s">
        <v>59</v>
      </c>
      <c r="J13" s="21"/>
      <c r="K13" s="21"/>
      <c r="L13" s="21"/>
      <c r="M13" s="20">
        <v>6860</v>
      </c>
      <c r="N13" s="20"/>
      <c r="O13" s="22" t="str">
        <f t="shared" ref="O13:O17" si="0">IF(COUNTA(J13:L13)=3,J13*K13*L13/1000000,"")</f>
        <v/>
      </c>
    </row>
    <row r="14" spans="1:15" ht="32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32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32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32" customHeight="1" thickBot="1" x14ac:dyDescent="0.4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22.15" customHeight="1" thickBot="1" x14ac:dyDescent="0.4">
      <c r="A18" s="52" t="s">
        <v>33</v>
      </c>
      <c r="B18" s="53"/>
      <c r="C18" s="53"/>
      <c r="D18" s="53"/>
      <c r="E18" s="53"/>
      <c r="F18" s="53"/>
      <c r="G18" s="5">
        <f>SUM(G13:G17)</f>
        <v>287</v>
      </c>
      <c r="H18" s="6"/>
      <c r="I18" s="6"/>
      <c r="J18" s="6"/>
      <c r="K18" s="6"/>
      <c r="L18" s="6"/>
      <c r="M18" s="5">
        <f>SUM(M13:M17)</f>
        <v>6860</v>
      </c>
      <c r="N18" s="5">
        <f>SUM(N13:N17)</f>
        <v>0</v>
      </c>
      <c r="O18" s="17">
        <f>SUM(O13:O17)</f>
        <v>0</v>
      </c>
    </row>
    <row r="19" spans="1:15" x14ac:dyDescent="0.35">
      <c r="A19" s="9"/>
      <c r="O19" s="10"/>
    </row>
    <row r="20" spans="1:15" ht="22.15" customHeight="1" thickBot="1" x14ac:dyDescent="0.4">
      <c r="A20" s="50" t="s">
        <v>34</v>
      </c>
      <c r="B20" s="49"/>
      <c r="C20" s="7">
        <f>COUNTA(B13:B17)</f>
        <v>0</v>
      </c>
      <c r="D20" s="49" t="s">
        <v>35</v>
      </c>
      <c r="E20" s="49"/>
      <c r="F20" s="8">
        <f>SUM(G13:G17)</f>
        <v>287</v>
      </c>
      <c r="G20" s="49" t="s">
        <v>36</v>
      </c>
      <c r="H20" s="49"/>
      <c r="I20" s="8">
        <f>SUM(M13:M17)</f>
        <v>6860</v>
      </c>
      <c r="J20" s="49" t="s">
        <v>37</v>
      </c>
      <c r="K20" s="49"/>
      <c r="L20" s="8">
        <f>SUM(N13:N17)</f>
        <v>0</v>
      </c>
      <c r="M20" s="49" t="s">
        <v>38</v>
      </c>
      <c r="N20" s="49"/>
      <c r="O20" s="18">
        <f>SUM(O13:O17)</f>
        <v>0</v>
      </c>
    </row>
    <row r="21" spans="1:15" ht="18.5" x14ac:dyDescent="0.35">
      <c r="A21" s="25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</row>
    <row r="22" spans="1:15" ht="14.5" customHeight="1" x14ac:dyDescent="0.35">
      <c r="A22" s="28" t="s">
        <v>41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" thickBo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</row>
  </sheetData>
  <mergeCells count="49">
    <mergeCell ref="A21:O21"/>
    <mergeCell ref="A22:O23"/>
    <mergeCell ref="A18:F18"/>
    <mergeCell ref="A20:B20"/>
    <mergeCell ref="D20:E20"/>
    <mergeCell ref="G20:H20"/>
    <mergeCell ref="J20:K20"/>
    <mergeCell ref="M20:N20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dataValidations count="1">
    <dataValidation type="list" allowBlank="1" sqref="H13:I17" xr:uid="{06833185-E5E1-4C0C-90B8-D5F1D8FDBD60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D9D0-9A5A-4794-85FF-C2BA7CA96267}">
  <dimension ref="A1:O23"/>
  <sheetViews>
    <sheetView showGridLines="0" zoomScale="55" zoomScaleNormal="55" workbookViewId="0">
      <selection activeCell="O9" sqref="O9"/>
    </sheetView>
  </sheetViews>
  <sheetFormatPr defaultRowHeight="14.5" x14ac:dyDescent="0.35"/>
  <cols>
    <col min="1" max="1" width="8" customWidth="1"/>
    <col min="2" max="2" width="11.81640625" customWidth="1"/>
    <col min="3" max="3" width="15.54296875" customWidth="1"/>
    <col min="4" max="4" width="28" customWidth="1"/>
    <col min="5" max="5" width="15.6328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40" t="e" vm="1">
        <v>#VALUE!</v>
      </c>
      <c r="B1" s="41"/>
      <c r="C1" s="42"/>
      <c r="D1" s="59" t="s">
        <v>0</v>
      </c>
      <c r="E1" s="60"/>
      <c r="F1" s="60"/>
      <c r="G1" s="60"/>
      <c r="H1" s="60"/>
      <c r="I1" s="60"/>
      <c r="J1" s="60"/>
      <c r="K1" s="61"/>
      <c r="L1" s="68" t="s">
        <v>42</v>
      </c>
      <c r="M1" s="69"/>
      <c r="N1" s="34">
        <v>46098</v>
      </c>
      <c r="O1" s="35"/>
    </row>
    <row r="2" spans="1:15" ht="18" customHeight="1" x14ac:dyDescent="0.35">
      <c r="A2" s="43"/>
      <c r="B2" s="44"/>
      <c r="C2" s="45"/>
      <c r="D2" s="62"/>
      <c r="E2" s="63"/>
      <c r="F2" s="63"/>
      <c r="G2" s="63"/>
      <c r="H2" s="63"/>
      <c r="I2" s="63"/>
      <c r="J2" s="63"/>
      <c r="K2" s="64"/>
      <c r="L2" s="70" t="s">
        <v>43</v>
      </c>
      <c r="M2" s="71"/>
      <c r="N2" s="36" t="s">
        <v>48</v>
      </c>
      <c r="O2" s="37"/>
    </row>
    <row r="3" spans="1:15" ht="16.5" customHeight="1" x14ac:dyDescent="0.35">
      <c r="A3" s="43"/>
      <c r="B3" s="44"/>
      <c r="C3" s="45"/>
      <c r="D3" s="62"/>
      <c r="E3" s="63"/>
      <c r="F3" s="63"/>
      <c r="G3" s="63"/>
      <c r="H3" s="63"/>
      <c r="I3" s="63"/>
      <c r="J3" s="63"/>
      <c r="K3" s="64"/>
      <c r="L3" s="70" t="s">
        <v>44</v>
      </c>
      <c r="M3" s="71"/>
      <c r="N3" s="36" t="s">
        <v>46</v>
      </c>
      <c r="O3" s="37"/>
    </row>
    <row r="4" spans="1:15" ht="15.75" customHeight="1" thickBot="1" x14ac:dyDescent="0.4">
      <c r="A4" s="46"/>
      <c r="B4" s="47"/>
      <c r="C4" s="48"/>
      <c r="D4" s="65"/>
      <c r="E4" s="66"/>
      <c r="F4" s="66"/>
      <c r="G4" s="66"/>
      <c r="H4" s="66"/>
      <c r="I4" s="66"/>
      <c r="J4" s="66"/>
      <c r="K4" s="67"/>
      <c r="L4" s="72" t="s">
        <v>45</v>
      </c>
      <c r="M4" s="73"/>
      <c r="N4" s="38" t="s">
        <v>47</v>
      </c>
      <c r="O4" s="39"/>
    </row>
    <row r="5" spans="1:15" ht="19.899999999999999" customHeight="1" thickBot="1" x14ac:dyDescent="0.4">
      <c r="A5" s="55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22.15" customHeight="1" x14ac:dyDescent="0.35">
      <c r="A6" s="50" t="s">
        <v>39</v>
      </c>
      <c r="B6" s="49"/>
      <c r="C6" s="51" t="s">
        <v>49</v>
      </c>
      <c r="D6" s="51"/>
      <c r="E6" s="49" t="s">
        <v>2</v>
      </c>
      <c r="F6" s="49"/>
      <c r="G6" s="58">
        <v>46230</v>
      </c>
      <c r="H6" s="51"/>
      <c r="I6" s="49" t="s">
        <v>3</v>
      </c>
      <c r="J6" s="49"/>
      <c r="K6" s="51" t="s">
        <v>73</v>
      </c>
      <c r="L6" s="51"/>
      <c r="M6" s="49" t="s">
        <v>4</v>
      </c>
      <c r="N6" s="49"/>
      <c r="O6" s="11" t="s">
        <v>50</v>
      </c>
    </row>
    <row r="7" spans="1:15" ht="22.15" customHeight="1" x14ac:dyDescent="0.35">
      <c r="A7" s="50" t="s">
        <v>5</v>
      </c>
      <c r="B7" s="49"/>
      <c r="C7" s="51" t="s">
        <v>71</v>
      </c>
      <c r="D7" s="51"/>
      <c r="E7" s="51"/>
      <c r="F7" s="51"/>
      <c r="G7" s="51"/>
      <c r="H7" s="51"/>
      <c r="I7" s="49" t="s">
        <v>6</v>
      </c>
      <c r="J7" s="49"/>
      <c r="K7" s="51" t="s">
        <v>72</v>
      </c>
      <c r="L7" s="51"/>
      <c r="M7" s="51"/>
      <c r="N7" s="51"/>
      <c r="O7" s="54"/>
    </row>
    <row r="8" spans="1:15" ht="22.15" customHeight="1" x14ac:dyDescent="0.35">
      <c r="A8" s="50" t="s">
        <v>7</v>
      </c>
      <c r="B8" s="49"/>
      <c r="C8" s="51"/>
      <c r="D8" s="51"/>
      <c r="E8" s="51"/>
      <c r="F8" s="51"/>
      <c r="G8" s="51"/>
      <c r="H8" s="51"/>
      <c r="I8" s="49" t="s">
        <v>8</v>
      </c>
      <c r="J8" s="49"/>
      <c r="K8" s="51" t="s">
        <v>51</v>
      </c>
      <c r="L8" s="51"/>
      <c r="M8" s="49" t="s">
        <v>9</v>
      </c>
      <c r="N8" s="49"/>
      <c r="O8" s="11" t="s">
        <v>54</v>
      </c>
    </row>
    <row r="9" spans="1:15" ht="22.15" customHeight="1" x14ac:dyDescent="0.35">
      <c r="A9" s="50" t="s">
        <v>10</v>
      </c>
      <c r="B9" s="49"/>
      <c r="C9" s="51" t="s">
        <v>52</v>
      </c>
      <c r="D9" s="51"/>
      <c r="E9" s="49" t="s">
        <v>11</v>
      </c>
      <c r="F9" s="49"/>
      <c r="G9" s="51" t="s">
        <v>54</v>
      </c>
      <c r="H9" s="51"/>
      <c r="I9" s="49" t="s">
        <v>12</v>
      </c>
      <c r="J9" s="49"/>
      <c r="K9" s="51" t="s">
        <v>53</v>
      </c>
      <c r="L9" s="51"/>
      <c r="M9" s="49" t="s">
        <v>13</v>
      </c>
      <c r="N9" s="49"/>
      <c r="O9" s="12">
        <v>46259</v>
      </c>
    </row>
    <row r="10" spans="1:15" ht="22.15" customHeight="1" x14ac:dyDescent="0.35">
      <c r="A10" s="50" t="s">
        <v>14</v>
      </c>
      <c r="B10" s="49"/>
      <c r="C10" s="51" t="s">
        <v>65</v>
      </c>
      <c r="D10" s="51"/>
      <c r="E10" s="49" t="s">
        <v>15</v>
      </c>
      <c r="F10" s="49"/>
      <c r="G10" s="51"/>
      <c r="H10" s="51"/>
      <c r="I10" s="49" t="s">
        <v>16</v>
      </c>
      <c r="J10" s="49"/>
      <c r="K10" s="51"/>
      <c r="L10" s="51"/>
      <c r="M10" s="49" t="s">
        <v>17</v>
      </c>
      <c r="N10" s="49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88.5" customHeight="1" x14ac:dyDescent="0.35">
      <c r="A13" s="15">
        <v>1</v>
      </c>
      <c r="B13" s="19"/>
      <c r="C13" s="19"/>
      <c r="D13" s="19" t="s">
        <v>56</v>
      </c>
      <c r="E13" s="19" t="s">
        <v>57</v>
      </c>
      <c r="F13" s="19" t="s">
        <v>58</v>
      </c>
      <c r="G13" s="20">
        <v>290</v>
      </c>
      <c r="H13" s="19" t="s">
        <v>60</v>
      </c>
      <c r="I13" s="19" t="s">
        <v>59</v>
      </c>
      <c r="J13" s="21"/>
      <c r="K13" s="21"/>
      <c r="L13" s="21"/>
      <c r="M13" s="20">
        <v>6980</v>
      </c>
      <c r="N13" s="20"/>
      <c r="O13" s="22" t="str">
        <f t="shared" ref="O13:O17" si="0">IF(COUNTA(J13:L13)=3,J13*K13*L13/1000000,"")</f>
        <v/>
      </c>
    </row>
    <row r="14" spans="1:15" ht="32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32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32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32" customHeight="1" thickBot="1" x14ac:dyDescent="0.4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22.15" customHeight="1" thickBot="1" x14ac:dyDescent="0.4">
      <c r="A18" s="52" t="s">
        <v>33</v>
      </c>
      <c r="B18" s="53"/>
      <c r="C18" s="53"/>
      <c r="D18" s="53"/>
      <c r="E18" s="53"/>
      <c r="F18" s="53"/>
      <c r="G18" s="5">
        <f>SUM(G13:G17)</f>
        <v>290</v>
      </c>
      <c r="H18" s="6"/>
      <c r="I18" s="6"/>
      <c r="J18" s="6"/>
      <c r="K18" s="6"/>
      <c r="L18" s="6"/>
      <c r="M18" s="5">
        <f>SUM(M13:M17)</f>
        <v>6980</v>
      </c>
      <c r="N18" s="5">
        <f>SUM(N13:N17)</f>
        <v>0</v>
      </c>
      <c r="O18" s="17">
        <f>SUM(O13:O17)</f>
        <v>0</v>
      </c>
    </row>
    <row r="19" spans="1:15" x14ac:dyDescent="0.35">
      <c r="A19" s="9"/>
      <c r="O19" s="10"/>
    </row>
    <row r="20" spans="1:15" ht="22.15" customHeight="1" thickBot="1" x14ac:dyDescent="0.4">
      <c r="A20" s="50" t="s">
        <v>34</v>
      </c>
      <c r="B20" s="49"/>
      <c r="C20" s="7">
        <f>COUNTA(B13:B17)</f>
        <v>0</v>
      </c>
      <c r="D20" s="49" t="s">
        <v>35</v>
      </c>
      <c r="E20" s="49"/>
      <c r="F20" s="8">
        <f>SUM(G13:G17)</f>
        <v>290</v>
      </c>
      <c r="G20" s="49" t="s">
        <v>36</v>
      </c>
      <c r="H20" s="49"/>
      <c r="I20" s="8">
        <f>SUM(M13:M17)</f>
        <v>6980</v>
      </c>
      <c r="J20" s="49" t="s">
        <v>37</v>
      </c>
      <c r="K20" s="49"/>
      <c r="L20" s="8">
        <f>SUM(N13:N17)</f>
        <v>0</v>
      </c>
      <c r="M20" s="49" t="s">
        <v>38</v>
      </c>
      <c r="N20" s="49"/>
      <c r="O20" s="18">
        <f>SUM(O13:O17)</f>
        <v>0</v>
      </c>
    </row>
    <row r="21" spans="1:15" ht="18.5" x14ac:dyDescent="0.35">
      <c r="A21" s="25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</row>
    <row r="22" spans="1:15" ht="14.5" customHeight="1" x14ac:dyDescent="0.35">
      <c r="A22" s="28" t="s">
        <v>41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" thickBo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</row>
  </sheetData>
  <mergeCells count="49">
    <mergeCell ref="A21:O21"/>
    <mergeCell ref="A22:O23"/>
    <mergeCell ref="A18:F18"/>
    <mergeCell ref="A20:B20"/>
    <mergeCell ref="D20:E20"/>
    <mergeCell ref="G20:H20"/>
    <mergeCell ref="J20:K20"/>
    <mergeCell ref="M20:N20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dataValidations count="1">
    <dataValidation type="list" allowBlank="1" sqref="H13:I17" xr:uid="{E5772385-7ED8-479C-89E0-5E36A7ADA5C0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B231-90F2-4AA8-B48C-370E005D9D15}">
  <dimension ref="A1:O23"/>
  <sheetViews>
    <sheetView showGridLines="0" zoomScale="55" zoomScaleNormal="55" workbookViewId="0">
      <selection activeCell="O9" sqref="O9"/>
    </sheetView>
  </sheetViews>
  <sheetFormatPr defaultRowHeight="14.5" x14ac:dyDescent="0.35"/>
  <cols>
    <col min="1" max="1" width="8" customWidth="1"/>
    <col min="2" max="2" width="11.81640625" customWidth="1"/>
    <col min="3" max="3" width="15.54296875" customWidth="1"/>
    <col min="4" max="4" width="28" customWidth="1"/>
    <col min="5" max="5" width="15.6328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40" t="e" vm="1">
        <v>#VALUE!</v>
      </c>
      <c r="B1" s="41"/>
      <c r="C1" s="42"/>
      <c r="D1" s="59" t="s">
        <v>0</v>
      </c>
      <c r="E1" s="60"/>
      <c r="F1" s="60"/>
      <c r="G1" s="60"/>
      <c r="H1" s="60"/>
      <c r="I1" s="60"/>
      <c r="J1" s="60"/>
      <c r="K1" s="61"/>
      <c r="L1" s="68" t="s">
        <v>42</v>
      </c>
      <c r="M1" s="69"/>
      <c r="N1" s="34">
        <v>46098</v>
      </c>
      <c r="O1" s="35"/>
    </row>
    <row r="2" spans="1:15" ht="18" customHeight="1" x14ac:dyDescent="0.35">
      <c r="A2" s="43"/>
      <c r="B2" s="44"/>
      <c r="C2" s="45"/>
      <c r="D2" s="62"/>
      <c r="E2" s="63"/>
      <c r="F2" s="63"/>
      <c r="G2" s="63"/>
      <c r="H2" s="63"/>
      <c r="I2" s="63"/>
      <c r="J2" s="63"/>
      <c r="K2" s="64"/>
      <c r="L2" s="70" t="s">
        <v>43</v>
      </c>
      <c r="M2" s="71"/>
      <c r="N2" s="36" t="s">
        <v>48</v>
      </c>
      <c r="O2" s="37"/>
    </row>
    <row r="3" spans="1:15" ht="16.5" customHeight="1" x14ac:dyDescent="0.35">
      <c r="A3" s="43"/>
      <c r="B3" s="44"/>
      <c r="C3" s="45"/>
      <c r="D3" s="62"/>
      <c r="E3" s="63"/>
      <c r="F3" s="63"/>
      <c r="G3" s="63"/>
      <c r="H3" s="63"/>
      <c r="I3" s="63"/>
      <c r="J3" s="63"/>
      <c r="K3" s="64"/>
      <c r="L3" s="70" t="s">
        <v>44</v>
      </c>
      <c r="M3" s="71"/>
      <c r="N3" s="36" t="s">
        <v>46</v>
      </c>
      <c r="O3" s="37"/>
    </row>
    <row r="4" spans="1:15" ht="15.75" customHeight="1" thickBot="1" x14ac:dyDescent="0.4">
      <c r="A4" s="46"/>
      <c r="B4" s="47"/>
      <c r="C4" s="48"/>
      <c r="D4" s="65"/>
      <c r="E4" s="66"/>
      <c r="F4" s="66"/>
      <c r="G4" s="66"/>
      <c r="H4" s="66"/>
      <c r="I4" s="66"/>
      <c r="J4" s="66"/>
      <c r="K4" s="67"/>
      <c r="L4" s="72" t="s">
        <v>45</v>
      </c>
      <c r="M4" s="73"/>
      <c r="N4" s="38" t="s">
        <v>47</v>
      </c>
      <c r="O4" s="39"/>
    </row>
    <row r="5" spans="1:15" ht="19.899999999999999" customHeight="1" thickBot="1" x14ac:dyDescent="0.4">
      <c r="A5" s="55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22.15" customHeight="1" x14ac:dyDescent="0.35">
      <c r="A6" s="50" t="s">
        <v>39</v>
      </c>
      <c r="B6" s="49"/>
      <c r="C6" s="51" t="s">
        <v>49</v>
      </c>
      <c r="D6" s="51"/>
      <c r="E6" s="49" t="s">
        <v>2</v>
      </c>
      <c r="F6" s="49"/>
      <c r="G6" s="58">
        <v>46230</v>
      </c>
      <c r="H6" s="51"/>
      <c r="I6" s="49" t="s">
        <v>3</v>
      </c>
      <c r="J6" s="49"/>
      <c r="K6" s="51" t="s">
        <v>73</v>
      </c>
      <c r="L6" s="51"/>
      <c r="M6" s="49" t="s">
        <v>4</v>
      </c>
      <c r="N6" s="49"/>
      <c r="O6" s="11" t="s">
        <v>50</v>
      </c>
    </row>
    <row r="7" spans="1:15" ht="22.15" customHeight="1" x14ac:dyDescent="0.35">
      <c r="A7" s="50" t="s">
        <v>5</v>
      </c>
      <c r="B7" s="49"/>
      <c r="C7" s="51" t="s">
        <v>71</v>
      </c>
      <c r="D7" s="51"/>
      <c r="E7" s="51"/>
      <c r="F7" s="51"/>
      <c r="G7" s="51"/>
      <c r="H7" s="51"/>
      <c r="I7" s="49" t="s">
        <v>6</v>
      </c>
      <c r="J7" s="49"/>
      <c r="K7" s="51" t="s">
        <v>72</v>
      </c>
      <c r="L7" s="51"/>
      <c r="M7" s="51"/>
      <c r="N7" s="51"/>
      <c r="O7" s="54"/>
    </row>
    <row r="8" spans="1:15" ht="22.15" customHeight="1" x14ac:dyDescent="0.35">
      <c r="A8" s="50" t="s">
        <v>7</v>
      </c>
      <c r="B8" s="49"/>
      <c r="C8" s="51"/>
      <c r="D8" s="51"/>
      <c r="E8" s="51"/>
      <c r="F8" s="51"/>
      <c r="G8" s="51"/>
      <c r="H8" s="51"/>
      <c r="I8" s="49" t="s">
        <v>8</v>
      </c>
      <c r="J8" s="49"/>
      <c r="K8" s="51" t="s">
        <v>51</v>
      </c>
      <c r="L8" s="51"/>
      <c r="M8" s="49" t="s">
        <v>9</v>
      </c>
      <c r="N8" s="49"/>
      <c r="O8" s="11" t="s">
        <v>54</v>
      </c>
    </row>
    <row r="9" spans="1:15" ht="22.15" customHeight="1" x14ac:dyDescent="0.35">
      <c r="A9" s="50" t="s">
        <v>10</v>
      </c>
      <c r="B9" s="49"/>
      <c r="C9" s="51" t="s">
        <v>52</v>
      </c>
      <c r="D9" s="51"/>
      <c r="E9" s="49" t="s">
        <v>11</v>
      </c>
      <c r="F9" s="49"/>
      <c r="G9" s="51" t="s">
        <v>54</v>
      </c>
      <c r="H9" s="51"/>
      <c r="I9" s="49" t="s">
        <v>12</v>
      </c>
      <c r="J9" s="49"/>
      <c r="K9" s="51" t="s">
        <v>53</v>
      </c>
      <c r="L9" s="51"/>
      <c r="M9" s="49" t="s">
        <v>13</v>
      </c>
      <c r="N9" s="49"/>
      <c r="O9" s="12">
        <v>46259</v>
      </c>
    </row>
    <row r="10" spans="1:15" ht="22.15" customHeight="1" x14ac:dyDescent="0.35">
      <c r="A10" s="50" t="s">
        <v>14</v>
      </c>
      <c r="B10" s="49"/>
      <c r="C10" s="51" t="s">
        <v>64</v>
      </c>
      <c r="D10" s="51"/>
      <c r="E10" s="49" t="s">
        <v>15</v>
      </c>
      <c r="F10" s="49"/>
      <c r="G10" s="51"/>
      <c r="H10" s="51"/>
      <c r="I10" s="49" t="s">
        <v>16</v>
      </c>
      <c r="J10" s="49"/>
      <c r="K10" s="51"/>
      <c r="L10" s="51"/>
      <c r="M10" s="49" t="s">
        <v>17</v>
      </c>
      <c r="N10" s="49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88.5" customHeight="1" x14ac:dyDescent="0.35">
      <c r="A13" s="15">
        <v>1</v>
      </c>
      <c r="B13" s="19"/>
      <c r="C13" s="19"/>
      <c r="D13" s="19" t="s">
        <v>56</v>
      </c>
      <c r="E13" s="19" t="s">
        <v>57</v>
      </c>
      <c r="F13" s="19" t="s">
        <v>58</v>
      </c>
      <c r="G13" s="20">
        <v>290</v>
      </c>
      <c r="H13" s="19" t="s">
        <v>60</v>
      </c>
      <c r="I13" s="19" t="s">
        <v>59</v>
      </c>
      <c r="J13" s="21"/>
      <c r="K13" s="21"/>
      <c r="L13" s="21"/>
      <c r="M13" s="20">
        <v>7000</v>
      </c>
      <c r="N13" s="20"/>
      <c r="O13" s="22" t="str">
        <f t="shared" ref="O13:O17" si="0">IF(COUNTA(J13:L13)=3,J13*K13*L13/1000000,"")</f>
        <v/>
      </c>
    </row>
    <row r="14" spans="1:15" ht="32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32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32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32" customHeight="1" thickBot="1" x14ac:dyDescent="0.4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22.15" customHeight="1" thickBot="1" x14ac:dyDescent="0.4">
      <c r="A18" s="52" t="s">
        <v>33</v>
      </c>
      <c r="B18" s="53"/>
      <c r="C18" s="53"/>
      <c r="D18" s="53"/>
      <c r="E18" s="53"/>
      <c r="F18" s="53"/>
      <c r="G18" s="5">
        <f>SUM(G13:G17)</f>
        <v>290</v>
      </c>
      <c r="H18" s="6"/>
      <c r="I18" s="6"/>
      <c r="J18" s="6"/>
      <c r="K18" s="6"/>
      <c r="L18" s="6"/>
      <c r="M18" s="5">
        <f>SUM(M13:M17)</f>
        <v>7000</v>
      </c>
      <c r="N18" s="5">
        <f>SUM(N13:N17)</f>
        <v>0</v>
      </c>
      <c r="O18" s="17">
        <f>SUM(O13:O17)</f>
        <v>0</v>
      </c>
    </row>
    <row r="19" spans="1:15" x14ac:dyDescent="0.35">
      <c r="A19" s="9"/>
      <c r="O19" s="10"/>
    </row>
    <row r="20" spans="1:15" ht="22.15" customHeight="1" thickBot="1" x14ac:dyDescent="0.4">
      <c r="A20" s="50" t="s">
        <v>34</v>
      </c>
      <c r="B20" s="49"/>
      <c r="C20" s="7">
        <f>COUNTA(B13:B17)</f>
        <v>0</v>
      </c>
      <c r="D20" s="49" t="s">
        <v>35</v>
      </c>
      <c r="E20" s="49"/>
      <c r="F20" s="8">
        <f>SUM(G13:G17)</f>
        <v>290</v>
      </c>
      <c r="G20" s="49" t="s">
        <v>36</v>
      </c>
      <c r="H20" s="49"/>
      <c r="I20" s="8">
        <f>SUM(M13:M17)</f>
        <v>7000</v>
      </c>
      <c r="J20" s="49" t="s">
        <v>37</v>
      </c>
      <c r="K20" s="49"/>
      <c r="L20" s="8">
        <f>SUM(N13:N17)</f>
        <v>0</v>
      </c>
      <c r="M20" s="49" t="s">
        <v>38</v>
      </c>
      <c r="N20" s="49"/>
      <c r="O20" s="18">
        <f>SUM(O13:O17)</f>
        <v>0</v>
      </c>
    </row>
    <row r="21" spans="1:15" ht="18.5" x14ac:dyDescent="0.35">
      <c r="A21" s="25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</row>
    <row r="22" spans="1:15" ht="14.5" customHeight="1" x14ac:dyDescent="0.35">
      <c r="A22" s="28" t="s">
        <v>41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" thickBo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</row>
  </sheetData>
  <mergeCells count="49">
    <mergeCell ref="A21:O21"/>
    <mergeCell ref="A22:O23"/>
    <mergeCell ref="A18:F18"/>
    <mergeCell ref="A20:B20"/>
    <mergeCell ref="D20:E20"/>
    <mergeCell ref="G20:H20"/>
    <mergeCell ref="J20:K20"/>
    <mergeCell ref="M20:N20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dataValidations count="1">
    <dataValidation type="list" allowBlank="1" sqref="H13:I17" xr:uid="{0B2F4E50-6E1A-4D90-9476-DE1A20D0C7A4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A913-23A2-49DC-B4A9-B9C4DD914862}">
  <dimension ref="A1:O23"/>
  <sheetViews>
    <sheetView showGridLines="0" zoomScale="55" zoomScaleNormal="55" workbookViewId="0">
      <selection activeCell="Q12" sqref="Q12"/>
    </sheetView>
  </sheetViews>
  <sheetFormatPr defaultRowHeight="14.5" x14ac:dyDescent="0.35"/>
  <cols>
    <col min="1" max="1" width="8" customWidth="1"/>
    <col min="2" max="2" width="11.81640625" customWidth="1"/>
    <col min="3" max="3" width="15.54296875" customWidth="1"/>
    <col min="4" max="4" width="28" customWidth="1"/>
    <col min="5" max="5" width="15.6328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40" t="e" vm="1">
        <v>#VALUE!</v>
      </c>
      <c r="B1" s="41"/>
      <c r="C1" s="42"/>
      <c r="D1" s="59" t="s">
        <v>0</v>
      </c>
      <c r="E1" s="60"/>
      <c r="F1" s="60"/>
      <c r="G1" s="60"/>
      <c r="H1" s="60"/>
      <c r="I1" s="60"/>
      <c r="J1" s="60"/>
      <c r="K1" s="61"/>
      <c r="L1" s="68" t="s">
        <v>42</v>
      </c>
      <c r="M1" s="69"/>
      <c r="N1" s="34">
        <v>46098</v>
      </c>
      <c r="O1" s="35"/>
    </row>
    <row r="2" spans="1:15" ht="18" customHeight="1" x14ac:dyDescent="0.35">
      <c r="A2" s="43"/>
      <c r="B2" s="44"/>
      <c r="C2" s="45"/>
      <c r="D2" s="62"/>
      <c r="E2" s="63"/>
      <c r="F2" s="63"/>
      <c r="G2" s="63"/>
      <c r="H2" s="63"/>
      <c r="I2" s="63"/>
      <c r="J2" s="63"/>
      <c r="K2" s="64"/>
      <c r="L2" s="70" t="s">
        <v>43</v>
      </c>
      <c r="M2" s="71"/>
      <c r="N2" s="36" t="s">
        <v>48</v>
      </c>
      <c r="O2" s="37"/>
    </row>
    <row r="3" spans="1:15" ht="16.5" customHeight="1" x14ac:dyDescent="0.35">
      <c r="A3" s="43"/>
      <c r="B3" s="44"/>
      <c r="C3" s="45"/>
      <c r="D3" s="62"/>
      <c r="E3" s="63"/>
      <c r="F3" s="63"/>
      <c r="G3" s="63"/>
      <c r="H3" s="63"/>
      <c r="I3" s="63"/>
      <c r="J3" s="63"/>
      <c r="K3" s="64"/>
      <c r="L3" s="70" t="s">
        <v>44</v>
      </c>
      <c r="M3" s="71"/>
      <c r="N3" s="36" t="s">
        <v>46</v>
      </c>
      <c r="O3" s="37"/>
    </row>
    <row r="4" spans="1:15" ht="15.75" customHeight="1" thickBot="1" x14ac:dyDescent="0.4">
      <c r="A4" s="46"/>
      <c r="B4" s="47"/>
      <c r="C4" s="48"/>
      <c r="D4" s="65"/>
      <c r="E4" s="66"/>
      <c r="F4" s="66"/>
      <c r="G4" s="66"/>
      <c r="H4" s="66"/>
      <c r="I4" s="66"/>
      <c r="J4" s="66"/>
      <c r="K4" s="67"/>
      <c r="L4" s="72" t="s">
        <v>45</v>
      </c>
      <c r="M4" s="73"/>
      <c r="N4" s="38" t="s">
        <v>47</v>
      </c>
      <c r="O4" s="39"/>
    </row>
    <row r="5" spans="1:15" ht="19.899999999999999" customHeight="1" thickBot="1" x14ac:dyDescent="0.4">
      <c r="A5" s="55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22.15" customHeight="1" x14ac:dyDescent="0.35">
      <c r="A6" s="50" t="s">
        <v>39</v>
      </c>
      <c r="B6" s="49"/>
      <c r="C6" s="51" t="s">
        <v>49</v>
      </c>
      <c r="D6" s="51"/>
      <c r="E6" s="49" t="s">
        <v>2</v>
      </c>
      <c r="F6" s="49"/>
      <c r="G6" s="58">
        <v>46230</v>
      </c>
      <c r="H6" s="51"/>
      <c r="I6" s="49" t="s">
        <v>3</v>
      </c>
      <c r="J6" s="49"/>
      <c r="K6" s="51" t="s">
        <v>73</v>
      </c>
      <c r="L6" s="51"/>
      <c r="M6" s="49" t="s">
        <v>4</v>
      </c>
      <c r="N6" s="49"/>
      <c r="O6" s="11" t="s">
        <v>50</v>
      </c>
    </row>
    <row r="7" spans="1:15" ht="22.15" customHeight="1" x14ac:dyDescent="0.35">
      <c r="A7" s="50" t="s">
        <v>5</v>
      </c>
      <c r="B7" s="49"/>
      <c r="C7" s="51" t="s">
        <v>71</v>
      </c>
      <c r="D7" s="51"/>
      <c r="E7" s="51"/>
      <c r="F7" s="51"/>
      <c r="G7" s="51"/>
      <c r="H7" s="51"/>
      <c r="I7" s="49" t="s">
        <v>6</v>
      </c>
      <c r="J7" s="49"/>
      <c r="K7" s="51" t="s">
        <v>72</v>
      </c>
      <c r="L7" s="51"/>
      <c r="M7" s="51"/>
      <c r="N7" s="51"/>
      <c r="O7" s="54"/>
    </row>
    <row r="8" spans="1:15" ht="22.15" customHeight="1" x14ac:dyDescent="0.35">
      <c r="A8" s="50" t="s">
        <v>7</v>
      </c>
      <c r="B8" s="49"/>
      <c r="C8" s="51"/>
      <c r="D8" s="51"/>
      <c r="E8" s="51"/>
      <c r="F8" s="51"/>
      <c r="G8" s="51"/>
      <c r="H8" s="51"/>
      <c r="I8" s="49" t="s">
        <v>8</v>
      </c>
      <c r="J8" s="49"/>
      <c r="K8" s="51" t="s">
        <v>51</v>
      </c>
      <c r="L8" s="51"/>
      <c r="M8" s="49" t="s">
        <v>9</v>
      </c>
      <c r="N8" s="49"/>
      <c r="O8" s="11" t="s">
        <v>54</v>
      </c>
    </row>
    <row r="9" spans="1:15" ht="22.15" customHeight="1" x14ac:dyDescent="0.35">
      <c r="A9" s="50" t="s">
        <v>10</v>
      </c>
      <c r="B9" s="49"/>
      <c r="C9" s="51" t="s">
        <v>52</v>
      </c>
      <c r="D9" s="51"/>
      <c r="E9" s="49" t="s">
        <v>11</v>
      </c>
      <c r="F9" s="49"/>
      <c r="G9" s="51" t="s">
        <v>54</v>
      </c>
      <c r="H9" s="51"/>
      <c r="I9" s="49" t="s">
        <v>12</v>
      </c>
      <c r="J9" s="49"/>
      <c r="K9" s="51" t="s">
        <v>53</v>
      </c>
      <c r="L9" s="51"/>
      <c r="M9" s="49" t="s">
        <v>13</v>
      </c>
      <c r="N9" s="49"/>
      <c r="O9" s="12">
        <v>46259</v>
      </c>
    </row>
    <row r="10" spans="1:15" ht="22.15" customHeight="1" x14ac:dyDescent="0.35">
      <c r="A10" s="50" t="s">
        <v>14</v>
      </c>
      <c r="B10" s="49"/>
      <c r="C10" s="51" t="s">
        <v>66</v>
      </c>
      <c r="D10" s="51"/>
      <c r="E10" s="49" t="s">
        <v>15</v>
      </c>
      <c r="F10" s="49"/>
      <c r="G10" s="51"/>
      <c r="H10" s="51"/>
      <c r="I10" s="49" t="s">
        <v>16</v>
      </c>
      <c r="J10" s="49"/>
      <c r="K10" s="51"/>
      <c r="L10" s="51"/>
      <c r="M10" s="49" t="s">
        <v>17</v>
      </c>
      <c r="N10" s="49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88.5" customHeight="1" x14ac:dyDescent="0.35">
      <c r="A13" s="15">
        <v>1</v>
      </c>
      <c r="B13" s="19"/>
      <c r="C13" s="19"/>
      <c r="D13" s="19" t="s">
        <v>56</v>
      </c>
      <c r="E13" s="19" t="s">
        <v>57</v>
      </c>
      <c r="F13" s="19" t="s">
        <v>58</v>
      </c>
      <c r="G13" s="20">
        <v>290</v>
      </c>
      <c r="H13" s="19" t="s">
        <v>60</v>
      </c>
      <c r="I13" s="19" t="s">
        <v>59</v>
      </c>
      <c r="J13" s="21"/>
      <c r="K13" s="21"/>
      <c r="L13" s="21"/>
      <c r="M13" s="20">
        <v>6800</v>
      </c>
      <c r="N13" s="20"/>
      <c r="O13" s="22" t="str">
        <f t="shared" ref="O13:O17" si="0">IF(COUNTA(J13:L13)=3,J13*K13*L13/1000000,"")</f>
        <v/>
      </c>
    </row>
    <row r="14" spans="1:15" ht="32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32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32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32" customHeight="1" thickBot="1" x14ac:dyDescent="0.4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22.15" customHeight="1" thickBot="1" x14ac:dyDescent="0.4">
      <c r="A18" s="52" t="s">
        <v>33</v>
      </c>
      <c r="B18" s="53"/>
      <c r="C18" s="53"/>
      <c r="D18" s="53"/>
      <c r="E18" s="53"/>
      <c r="F18" s="53"/>
      <c r="G18" s="5">
        <f>SUM(G13:G17)</f>
        <v>290</v>
      </c>
      <c r="H18" s="6"/>
      <c r="I18" s="6"/>
      <c r="J18" s="6"/>
      <c r="K18" s="6"/>
      <c r="L18" s="6"/>
      <c r="M18" s="5">
        <f>SUM(M13:M17)</f>
        <v>6800</v>
      </c>
      <c r="N18" s="5">
        <f>SUM(N13:N17)</f>
        <v>0</v>
      </c>
      <c r="O18" s="17">
        <f>SUM(O13:O17)</f>
        <v>0</v>
      </c>
    </row>
    <row r="19" spans="1:15" x14ac:dyDescent="0.35">
      <c r="A19" s="9"/>
      <c r="O19" s="10"/>
    </row>
    <row r="20" spans="1:15" ht="22.15" customHeight="1" thickBot="1" x14ac:dyDescent="0.4">
      <c r="A20" s="50" t="s">
        <v>34</v>
      </c>
      <c r="B20" s="49"/>
      <c r="C20" s="7">
        <f>COUNTA(B13:B17)</f>
        <v>0</v>
      </c>
      <c r="D20" s="49" t="s">
        <v>35</v>
      </c>
      <c r="E20" s="49"/>
      <c r="F20" s="8">
        <f>SUM(G13:G17)</f>
        <v>290</v>
      </c>
      <c r="G20" s="49" t="s">
        <v>36</v>
      </c>
      <c r="H20" s="49"/>
      <c r="I20" s="8">
        <f>SUM(M13:M17)</f>
        <v>6800</v>
      </c>
      <c r="J20" s="49" t="s">
        <v>37</v>
      </c>
      <c r="K20" s="49"/>
      <c r="L20" s="8">
        <f>SUM(N13:N17)</f>
        <v>0</v>
      </c>
      <c r="M20" s="49" t="s">
        <v>38</v>
      </c>
      <c r="N20" s="49"/>
      <c r="O20" s="18">
        <f>SUM(O13:O17)</f>
        <v>0</v>
      </c>
    </row>
    <row r="21" spans="1:15" ht="18.5" x14ac:dyDescent="0.35">
      <c r="A21" s="25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</row>
    <row r="22" spans="1:15" ht="14.5" customHeight="1" x14ac:dyDescent="0.35">
      <c r="A22" s="28" t="s">
        <v>41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spans="1:15" ht="15" thickBo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</row>
  </sheetData>
  <mergeCells count="49">
    <mergeCell ref="A21:O21"/>
    <mergeCell ref="A22:O23"/>
    <mergeCell ref="A18:F18"/>
    <mergeCell ref="A20:B20"/>
    <mergeCell ref="D20:E20"/>
    <mergeCell ref="G20:H20"/>
    <mergeCell ref="J20:K20"/>
    <mergeCell ref="M20:N20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dataValidations count="1">
    <dataValidation type="list" allowBlank="1" sqref="H13:I17" xr:uid="{8398BC4C-5086-43D1-958D-2E801D4F67AA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7</vt:i4>
      </vt:variant>
    </vt:vector>
  </HeadingPairs>
  <TitlesOfParts>
    <vt:vector size="15" baseType="lpstr">
      <vt:lpstr>SUM</vt:lpstr>
      <vt:lpstr>MSKU0169927</vt:lpstr>
      <vt:lpstr>SEKU4688446</vt:lpstr>
      <vt:lpstr>MSKU8411180</vt:lpstr>
      <vt:lpstr>MRKU3697839</vt:lpstr>
      <vt:lpstr>MSKU1803342</vt:lpstr>
      <vt:lpstr>MRKU5495565</vt:lpstr>
      <vt:lpstr>TCKU7404556</vt:lpstr>
      <vt:lpstr>MRKU3697839!Yazdırma_Başlıkları</vt:lpstr>
      <vt:lpstr>MRKU5495565!Yazdırma_Başlıkları</vt:lpstr>
      <vt:lpstr>MSKU0169927!Yazdırma_Başlıkları</vt:lpstr>
      <vt:lpstr>MSKU1803342!Yazdırma_Başlıkları</vt:lpstr>
      <vt:lpstr>MSKU8411180!Yazdırma_Başlıkları</vt:lpstr>
      <vt:lpstr>SEKU4688446!Yazdırma_Başlıkları</vt:lpstr>
      <vt:lpstr>TCKU7404556!Yazdırma_Başlıkları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KANMAZ</dc:creator>
  <cp:lastModifiedBy>Burcu ADIGÜZEL</cp:lastModifiedBy>
  <cp:lastPrinted>2026-03-17T10:52:36Z</cp:lastPrinted>
  <dcterms:created xsi:type="dcterms:W3CDTF">2026-03-17T10:53:24Z</dcterms:created>
  <dcterms:modified xsi:type="dcterms:W3CDTF">2026-08-11T12:23:36Z</dcterms:modified>
</cp:coreProperties>
</file>