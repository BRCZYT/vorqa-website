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yedek\039-VMP-S01064 - ATP_5000m3_Libya\4-Logistics\"/>
    </mc:Choice>
  </mc:AlternateContent>
  <xr:revisionPtr revIDLastSave="0" documentId="8_{EC6B45BC-F439-47F8-8776-38D0CB9260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cking List" sheetId="1" r:id="rId1"/>
    <sheet name="Lists" sheetId="2" r:id="rId2"/>
    <sheet name="Kullanim Notlari" sheetId="3" r:id="rId3"/>
  </sheets>
  <definedNames>
    <definedName name="_xlnm._FilterDatabase" localSheetId="0" hidden="1">'Packing List'!$A$17:$O$37</definedName>
    <definedName name="_xlnm.Print_Titles" localSheetId="0">'Packing List'!$1:$17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" i="1" l="1"/>
  <c r="I40" i="1"/>
  <c r="F40" i="1"/>
  <c r="C40" i="1"/>
  <c r="N38" i="1"/>
  <c r="M38" i="1"/>
  <c r="G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40" i="1" l="1"/>
  <c r="O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Kendi logonuzu bu alana yerleştirebilirsiniz.</t>
        </r>
      </text>
    </comment>
    <comment ref="C1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Örn: CASE 1/5, CASE 2/5, MACHINE BASE FRAME</t>
        </r>
      </text>
    </comment>
    <comment ref="K1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Örn: Nem alıcı yerleştirildi / Forklift pockets / Üst üste konulmaz</t>
        </r>
      </text>
    </comment>
    <comment ref="A5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Firma adı ve iletişim bilgilerini kurumsal kimliğinize göre güncelleyin.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<sst xmlns="http://schemas.openxmlformats.org/spreadsheetml/2006/main" count="89" uniqueCount="88">
  <si>
    <t>PACKING LIST
ÇEKİ LİSTESİ</t>
  </si>
  <si>
    <t>DOCUMENT &amp; SHIPMENT INFORMATION / BELGE VE SEVKİYAT BİLGİLERİ</t>
  </si>
  <si>
    <t>Date / Tarih</t>
  </si>
  <si>
    <t>Invoice No. / Fatura No</t>
  </si>
  <si>
    <t>Incoterm</t>
  </si>
  <si>
    <t>Shipper / Gönderici</t>
  </si>
  <si>
    <t>Consignee / Alıcı</t>
  </si>
  <si>
    <t>Notify Party / İhbar</t>
  </si>
  <si>
    <t>Country of Origin</t>
  </si>
  <si>
    <t>Final Destination</t>
  </si>
  <si>
    <t>Port of Loading</t>
  </si>
  <si>
    <t>Port of Discharge</t>
  </si>
  <si>
    <t>Vessel / Flight</t>
  </si>
  <si>
    <t>ETD / ETA</t>
  </si>
  <si>
    <t>Container / Vehicle No.</t>
  </si>
  <si>
    <t>B/L - AWB No.</t>
  </si>
  <si>
    <t>PO / Contract No.</t>
  </si>
  <si>
    <t>Currency</t>
  </si>
  <si>
    <t>MARKS, NUMBERS &amp; REMARKS / İŞARETLER, NUMARALAR VE AÇIKLAMALAR</t>
  </si>
  <si>
    <t>Marks &amp; Numbers</t>
  </si>
  <si>
    <t>Special Packing Notes</t>
  </si>
  <si>
    <t>Item
No</t>
  </si>
  <si>
    <t>Case / Crate
No</t>
  </si>
  <si>
    <t>Part No. /
Model</t>
  </si>
  <si>
    <t>Description of Goods</t>
  </si>
  <si>
    <t>HS Code</t>
  </si>
  <si>
    <t>COO</t>
  </si>
  <si>
    <t>Qty</t>
  </si>
  <si>
    <t>UOM</t>
  </si>
  <si>
    <t>Package Type</t>
  </si>
  <si>
    <t>L
(cm)</t>
  </si>
  <si>
    <t>W
(cm)</t>
  </si>
  <si>
    <t>H
(cm)</t>
  </si>
  <si>
    <t>Net Wt
(kg)</t>
  </si>
  <si>
    <t>Gross Wt
(kg)</t>
  </si>
  <si>
    <t>Volume
(m³)</t>
  </si>
  <si>
    <t>TOTAL / TOPLAM</t>
  </si>
  <si>
    <t>Total Packages</t>
  </si>
  <si>
    <t>Total Qty</t>
  </si>
  <si>
    <t>Total Net Wt (kg)</t>
  </si>
  <si>
    <t>Total Gross Wt (kg)</t>
  </si>
  <si>
    <t>Total Volume (m³)</t>
  </si>
  <si>
    <t>PACKAGING DECLARATION / AMBALAJ BEYANI</t>
  </si>
  <si>
    <t>All goods are packed suitably for export shipment, loading/unloading and inland transportation unless otherwise stated above.
Yukarıda aksi belirtilmedikçe tüm mallar ihracat sevkiyatına, yükleme/boşaltmaya ve iç nakliyeye uygun şekilde ambalajlanmıştır.</t>
  </si>
  <si>
    <t>APPROVAL / ONAY</t>
  </si>
  <si>
    <t>Prepared By</t>
  </si>
  <si>
    <t>Date</t>
  </si>
  <si>
    <t>Checked By</t>
  </si>
  <si>
    <t>Approved By</t>
  </si>
  <si>
    <t>Receiver / Carrier</t>
  </si>
  <si>
    <t>PackageType</t>
  </si>
  <si>
    <t>PCS</t>
  </si>
  <si>
    <t>Wooden Crate</t>
  </si>
  <si>
    <t>SET</t>
  </si>
  <si>
    <t>Plywood Box</t>
  </si>
  <si>
    <t>KG</t>
  </si>
  <si>
    <t>Pallet</t>
  </si>
  <si>
    <t>LOT</t>
  </si>
  <si>
    <t>Carton</t>
  </si>
  <si>
    <t>M</t>
  </si>
  <si>
    <t>Bundle</t>
  </si>
  <si>
    <t>Case</t>
  </si>
  <si>
    <t>Şablon</t>
  </si>
  <si>
    <t>Not</t>
  </si>
  <si>
    <t>Açıklama</t>
  </si>
  <si>
    <t>1</t>
  </si>
  <si>
    <t>Sarı dolgu ve mavi yazılı hücreler kullanıcı giriş alanlarıdır.</t>
  </si>
  <si>
    <t>2</t>
  </si>
  <si>
    <t>Volume (m³) alanı ölçülere göre otomatik hesaplanır.</t>
  </si>
  <si>
    <t>3</t>
  </si>
  <si>
    <t>Total / Toplam ve özet satırları otomatik hesaplanır.</t>
  </si>
  <si>
    <t>4</t>
  </si>
  <si>
    <t>UOM ve Package Type kolonlarında açılır liste kullanabilirsiniz.</t>
  </si>
  <si>
    <t>5</t>
  </si>
  <si>
    <t>Büyük makina sevkiyatlarında her crate / case için ayrı satır açılması önerilir.</t>
  </si>
  <si>
    <t>6</t>
  </si>
  <si>
    <t>İsterseniz üst kısımdaki firma adı, logo alanı ve iletişim bilgilerini kendi kurumsal bilgilerinize göre güncelleyebilirsiniz.</t>
  </si>
  <si>
    <t>Order No. / Sipariş No</t>
  </si>
  <si>
    <t>Vimpo Makine A.Ş.</t>
  </si>
  <si>
    <t>Adres / Address : Malıköy Anadolu OSB Mahallesi 12. Cadde No:8 06909 Sincan/Ankara/Türkiye
Telefon / Phone : +90 312 354 8509   •   E-posta / E-mail : ugur.cicekverdi@vimpo.com   •   Web : www.vimpo.com.tr</t>
  </si>
  <si>
    <t>Part</t>
  </si>
  <si>
    <t>Yayın Tarihi</t>
  </si>
  <si>
    <t>Doküman No</t>
  </si>
  <si>
    <t>Revizyon Tarihi</t>
  </si>
  <si>
    <t>Revizyon No</t>
  </si>
  <si>
    <t>-</t>
  </si>
  <si>
    <t>00</t>
  </si>
  <si>
    <t>P07-F07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</si>
</sst>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\-mm\-dd"/>
  </numFmts>
  <fonts count="12" x14ac:knownFonts="1">
    <font>
      <sz val="11"/>
      <color theme="1"/>
      <name val="Calibri"/>
      <family val="2"/>
      <scheme val="minor"/>
    </font>
    <font>
      <b/>
      <sz val="14"/>
      <color rgb="FF666666"/>
      <name val="Calibri"/>
    </font>
    <font>
      <b/>
      <sz val="14"/>
      <color rgb="FF1F4E78"/>
      <name val="Calibri"/>
    </font>
    <font>
      <sz val="10"/>
      <color rgb="FF666666"/>
      <name val="Calibri"/>
    </font>
    <font>
      <b/>
      <sz val="18"/>
      <color rgb="FF1F4E78"/>
      <name val="Calibri"/>
    </font>
    <font>
      <b/>
      <sz val="10"/>
      <color rgb="FFFFFFFF"/>
      <name val="Calibri"/>
    </font>
    <font>
      <b/>
      <sz val="10"/>
      <color rgb="FF1F4E78"/>
      <name val="Calibri"/>
    </font>
    <font>
      <sz val="10"/>
      <color rgb="FF0000FF"/>
      <name val="Calibri"/>
    </font>
    <font>
      <sz val="10"/>
      <color rgb="FF000000"/>
      <name val="Calibri"/>
    </font>
    <font>
      <b/>
      <sz val="10"/>
      <color rgb="FF000000"/>
      <name val="Calibri"/>
    </font>
    <font>
      <i/>
      <sz val="9"/>
      <color rgb="FF666666"/>
      <name val="Calibri"/>
    </font>
    <font>
      <b/>
      <sz val="1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AF3FB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7CC"/>
      </patternFill>
    </fill>
    <fill>
      <patternFill patternType="solid">
        <fgColor rgb="FFFFFFFF"/>
      </patternFill>
    </fill>
  </fills>
  <borders count="43"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medium">
        <color rgb="FF1F4E78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 style="medium">
        <color indexed="64"/>
      </right>
      <top style="medium">
        <color rgb="FF1F4E78"/>
      </top>
      <bottom style="medium">
        <color rgb="FF1F4E78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/>
      <right style="medium">
        <color indexed="64"/>
      </right>
      <top style="thin">
        <color rgb="FFA6A6A6"/>
      </top>
      <bottom/>
      <diagonal/>
    </border>
    <border>
      <left/>
      <right style="medium">
        <color indexed="64"/>
      </right>
      <top/>
      <bottom style="thin">
        <color rgb="FFA6A6A6"/>
      </bottom>
      <diagonal/>
    </border>
    <border>
      <left style="medium">
        <color indexed="64"/>
      </left>
      <right/>
      <top/>
      <bottom style="medium">
        <color rgb="FF1F4E78"/>
      </bottom>
      <diagonal/>
    </border>
    <border>
      <left/>
      <right style="medium">
        <color indexed="64"/>
      </right>
      <top/>
      <bottom style="medium">
        <color rgb="FF1F4E7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1F4E78"/>
      </left>
      <right style="medium">
        <color rgb="FF1F4E78"/>
      </right>
      <top/>
      <bottom style="medium">
        <color rgb="FF1F4E78"/>
      </bottom>
      <diagonal/>
    </border>
    <border>
      <left style="medium">
        <color rgb="FF1F4E78"/>
      </left>
      <right style="medium">
        <color indexed="64"/>
      </right>
      <top/>
      <bottom style="medium">
        <color rgb="FF1F4E78"/>
      </bottom>
      <diagonal/>
    </border>
    <border>
      <left style="medium">
        <color indexed="64"/>
      </left>
      <right style="medium">
        <color rgb="FF1F4E78"/>
      </right>
      <top/>
      <bottom style="medium">
        <color rgb="FF1F4E78"/>
      </bottom>
      <diagonal/>
    </border>
    <border>
      <left style="thin">
        <color rgb="FFA6A6A6"/>
      </left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medium">
        <color indexed="64"/>
      </bottom>
      <diagonal/>
    </border>
    <border>
      <left/>
      <right style="thin">
        <color rgb="FFA6A6A6"/>
      </right>
      <top style="medium">
        <color indexed="64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A6A6A6"/>
      </bottom>
      <diagonal/>
    </border>
    <border>
      <left style="thin">
        <color indexed="64"/>
      </left>
      <right/>
      <top style="thin">
        <color rgb="FFA6A6A6"/>
      </top>
      <bottom style="thin">
        <color rgb="FFA6A6A6"/>
      </bottom>
      <diagonal/>
    </border>
    <border>
      <left style="thin">
        <color indexed="64"/>
      </left>
      <right/>
      <top style="thin">
        <color rgb="FFA6A6A6"/>
      </top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7" fillId="6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4" fontId="7" fillId="6" borderId="2" xfId="0" applyNumberFormat="1" applyFont="1" applyFill="1" applyBorder="1" applyAlignment="1">
      <alignment horizontal="right" vertical="center"/>
    </xf>
    <xf numFmtId="3" fontId="7" fillId="6" borderId="2" xfId="0" applyNumberFormat="1" applyFont="1" applyFill="1" applyBorder="1" applyAlignment="1">
      <alignment horizontal="right" vertical="center"/>
    </xf>
    <xf numFmtId="4" fontId="9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9" fillId="2" borderId="2" xfId="0" applyFont="1" applyFill="1" applyBorder="1" applyAlignment="1">
      <alignment horizontal="right" vertical="center"/>
    </xf>
    <xf numFmtId="4" fontId="9" fillId="2" borderId="2" xfId="0" applyNumberFormat="1" applyFont="1" applyFill="1" applyBorder="1" applyAlignment="1">
      <alignment horizontal="right" vertical="center"/>
    </xf>
    <xf numFmtId="0" fontId="4" fillId="7" borderId="0" xfId="0" applyFont="1" applyFill="1"/>
    <xf numFmtId="0" fontId="5" fillId="4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0" fillId="0" borderId="14" xfId="0" applyBorder="1"/>
    <xf numFmtId="0" fontId="0" fillId="0" borderId="15" xfId="0" applyBorder="1"/>
    <xf numFmtId="0" fontId="7" fillId="6" borderId="17" xfId="0" applyFont="1" applyFill="1" applyBorder="1" applyAlignment="1">
      <alignment horizontal="left" vertical="center" wrapText="1"/>
    </xf>
    <xf numFmtId="165" fontId="7" fillId="6" borderId="17" xfId="0" applyNumberFormat="1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/>
    </xf>
    <xf numFmtId="164" fontId="8" fillId="3" borderId="17" xfId="0" applyNumberFormat="1" applyFont="1" applyFill="1" applyBorder="1" applyAlignment="1">
      <alignment horizontal="right" vertical="center"/>
    </xf>
    <xf numFmtId="164" fontId="9" fillId="2" borderId="13" xfId="0" applyNumberFormat="1" applyFont="1" applyFill="1" applyBorder="1" applyAlignment="1">
      <alignment horizontal="right" vertical="center"/>
    </xf>
    <xf numFmtId="164" fontId="9" fillId="2" borderId="17" xfId="0" applyNumberFormat="1" applyFont="1" applyFill="1" applyBorder="1" applyAlignment="1">
      <alignment horizontal="right" vertical="center"/>
    </xf>
    <xf numFmtId="0" fontId="10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left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3" fontId="11" fillId="6" borderId="40" xfId="0" applyNumberFormat="1" applyFont="1" applyFill="1" applyBorder="1" applyAlignment="1">
      <alignment horizontal="left" vertical="center"/>
    </xf>
    <xf numFmtId="3" fontId="11" fillId="6" borderId="34" xfId="0" applyNumberFormat="1" applyFont="1" applyFill="1" applyBorder="1" applyAlignment="1">
      <alignment horizontal="left" vertical="center"/>
    </xf>
    <xf numFmtId="3" fontId="11" fillId="6" borderId="41" xfId="0" applyNumberFormat="1" applyFont="1" applyFill="1" applyBorder="1" applyAlignment="1">
      <alignment horizontal="left" vertical="center"/>
    </xf>
    <xf numFmtId="3" fontId="11" fillId="6" borderId="35" xfId="0" applyNumberFormat="1" applyFont="1" applyFill="1" applyBorder="1" applyAlignment="1">
      <alignment horizontal="left" vertical="center"/>
    </xf>
    <xf numFmtId="3" fontId="11" fillId="6" borderId="42" xfId="0" applyNumberFormat="1" applyFont="1" applyFill="1" applyBorder="1" applyAlignment="1">
      <alignment horizontal="left" vertical="center"/>
    </xf>
    <xf numFmtId="3" fontId="11" fillId="6" borderId="36" xfId="0" applyNumberFormat="1" applyFont="1" applyFill="1" applyBorder="1" applyAlignment="1">
      <alignment horizontal="left" vertical="center"/>
    </xf>
    <xf numFmtId="0" fontId="5" fillId="4" borderId="29" xfId="0" applyFont="1" applyFill="1" applyBorder="1" applyAlignment="1">
      <alignment horizontal="left" vertical="center"/>
    </xf>
    <xf numFmtId="0" fontId="0" fillId="0" borderId="27" xfId="0" applyBorder="1"/>
    <xf numFmtId="0" fontId="0" fillId="0" borderId="28" xfId="0" applyBorder="1"/>
    <xf numFmtId="0" fontId="7" fillId="6" borderId="2" xfId="0" applyFont="1" applyFill="1" applyBorder="1" applyAlignment="1">
      <alignment horizontal="left" vertical="center" wrapText="1"/>
    </xf>
    <xf numFmtId="0" fontId="6" fillId="5" borderId="16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10" fillId="2" borderId="16" xfId="0" applyFont="1" applyFill="1" applyBorder="1" applyAlignment="1">
      <alignment horizontal="center" vertical="center"/>
    </xf>
    <xf numFmtId="0" fontId="0" fillId="0" borderId="3" xfId="0" applyBorder="1"/>
    <xf numFmtId="0" fontId="0" fillId="0" borderId="18" xfId="0" applyBorder="1"/>
    <xf numFmtId="0" fontId="0" fillId="0" borderId="4" xfId="0" applyBorder="1"/>
    <xf numFmtId="0" fontId="0" fillId="0" borderId="0" xfId="0"/>
    <xf numFmtId="0" fontId="0" fillId="0" borderId="15" xfId="0" applyBorder="1"/>
    <xf numFmtId="0" fontId="0" fillId="0" borderId="7" xfId="0" applyBorder="1"/>
    <xf numFmtId="0" fontId="0" fillId="0" borderId="8" xfId="0" applyBorder="1"/>
    <xf numFmtId="0" fontId="0" fillId="0" borderId="19" xfId="0" applyBorder="1"/>
    <xf numFmtId="0" fontId="3" fillId="2" borderId="17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7" fillId="6" borderId="17" xfId="0" applyFont="1" applyFill="1" applyBorder="1" applyAlignment="1">
      <alignment horizontal="left" vertical="center" wrapText="1"/>
    </xf>
    <xf numFmtId="165" fontId="7" fillId="6" borderId="2" xfId="0" applyNumberFormat="1" applyFont="1" applyFill="1" applyBorder="1" applyAlignment="1">
      <alignment horizontal="left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7" fillId="6" borderId="21" xfId="0" applyFont="1" applyFill="1" applyBorder="1" applyAlignment="1">
      <alignment horizontal="left" vertical="center" wrapText="1"/>
    </xf>
    <xf numFmtId="0" fontId="5" fillId="4" borderId="12" xfId="0" applyFont="1" applyFill="1" applyBorder="1" applyAlignment="1">
      <alignment horizontal="left" vertical="center"/>
    </xf>
    <xf numFmtId="0" fontId="0" fillId="0" borderId="1" xfId="0" applyBorder="1"/>
    <xf numFmtId="0" fontId="0" fillId="0" borderId="13" xfId="0" applyBorder="1"/>
    <xf numFmtId="0" fontId="6" fillId="2" borderId="12" xfId="0" applyFont="1" applyFill="1" applyBorder="1" applyAlignment="1">
      <alignment horizontal="right" vertical="center"/>
    </xf>
    <xf numFmtId="0" fontId="7" fillId="6" borderId="20" xfId="0" applyFont="1" applyFill="1" applyBorder="1" applyAlignment="1">
      <alignment horizontal="left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14" fontId="11" fillId="6" borderId="30" xfId="0" applyNumberFormat="1" applyFont="1" applyFill="1" applyBorder="1" applyAlignment="1">
      <alignment horizontal="left" vertical="center" wrapText="1"/>
    </xf>
    <xf numFmtId="14" fontId="11" fillId="6" borderId="31" xfId="0" applyNumberFormat="1" applyFont="1" applyFill="1" applyBorder="1" applyAlignment="1">
      <alignment horizontal="left" vertical="center" wrapText="1"/>
    </xf>
    <xf numFmtId="165" fontId="11" fillId="6" borderId="2" xfId="0" applyNumberFormat="1" applyFont="1" applyFill="1" applyBorder="1" applyAlignment="1">
      <alignment horizontal="left" vertical="center" wrapText="1"/>
    </xf>
    <xf numFmtId="0" fontId="11" fillId="6" borderId="17" xfId="0" applyFont="1" applyFill="1" applyBorder="1" applyAlignment="1">
      <alignment horizontal="left" vertical="center" wrapText="1"/>
    </xf>
    <xf numFmtId="49" fontId="11" fillId="6" borderId="32" xfId="0" applyNumberFormat="1" applyFont="1" applyFill="1" applyBorder="1" applyAlignment="1">
      <alignment horizontal="left" vertical="center" wrapText="1"/>
    </xf>
    <xf numFmtId="49" fontId="11" fillId="6" borderId="33" xfId="0" applyNumberFormat="1" applyFont="1" applyFill="1" applyBorder="1" applyAlignment="1">
      <alignment horizontal="left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left" vertical="center" wrapText="1"/>
    </xf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28</xdr:row>
      <xdr:rowOff>114300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53AA2386-0872-B609-B92E-9C91901E06A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556260</xdr:colOff>
      <xdr:row>28</xdr:row>
      <xdr:rowOff>114300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27F0F4C9-381D-C088-0B6B-43AC545168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28</xdr:row>
      <xdr:rowOff>66675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2A321FD9-81D2-B4FD-8B76-B91E330BFA5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6390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28</xdr:row>
      <xdr:rowOff>63500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C8CFC342-6BDE-C0CB-F7D4-8426F7390E2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showGridLines="0" tabSelected="1" topLeftCell="A38" zoomScale="70" zoomScaleNormal="70" workbookViewId="0">
      <selection activeCell="I18" sqref="I18"/>
    </sheetView>
  </sheetViews>
  <sheetFormatPr defaultRowHeight="14.5" x14ac:dyDescent="0.35"/>
  <cols>
    <col min="1" max="1" width="8" customWidth="1"/>
    <col min="2" max="2" width="13" customWidth="1"/>
    <col min="3" max="3" width="16" customWidth="1"/>
    <col min="4" max="4" width="28" customWidth="1"/>
    <col min="5" max="5" width="12" customWidth="1"/>
    <col min="6" max="6" width="10" customWidth="1"/>
    <col min="7" max="8" width="8" customWidth="1"/>
    <col min="9" max="9" width="14" customWidth="1"/>
    <col min="10" max="12" width="9" customWidth="1"/>
    <col min="13" max="13" width="12" customWidth="1"/>
    <col min="14" max="14" width="13" customWidth="1"/>
    <col min="15" max="15" width="12" customWidth="1"/>
  </cols>
  <sheetData>
    <row r="1" spans="1:15" ht="17.25" customHeight="1" x14ac:dyDescent="0.35">
      <c r="A1" s="87" t="e" vm="1">
        <v>#VALUE!</v>
      </c>
      <c r="B1" s="88"/>
      <c r="C1" s="89"/>
      <c r="D1" s="27" t="s">
        <v>0</v>
      </c>
      <c r="E1" s="28"/>
      <c r="F1" s="28"/>
      <c r="G1" s="28"/>
      <c r="H1" s="28"/>
      <c r="I1" s="28"/>
      <c r="J1" s="28"/>
      <c r="K1" s="29"/>
      <c r="L1" s="36" t="s">
        <v>81</v>
      </c>
      <c r="M1" s="37"/>
      <c r="N1" s="81">
        <v>46098</v>
      </c>
      <c r="O1" s="82"/>
    </row>
    <row r="2" spans="1:15" ht="18" customHeight="1" x14ac:dyDescent="0.35">
      <c r="A2" s="90"/>
      <c r="B2" s="91"/>
      <c r="C2" s="92"/>
      <c r="D2" s="30"/>
      <c r="E2" s="31"/>
      <c r="F2" s="31"/>
      <c r="G2" s="31"/>
      <c r="H2" s="31"/>
      <c r="I2" s="31"/>
      <c r="J2" s="31"/>
      <c r="K2" s="32"/>
      <c r="L2" s="38" t="s">
        <v>82</v>
      </c>
      <c r="M2" s="39"/>
      <c r="N2" s="83" t="s">
        <v>87</v>
      </c>
      <c r="O2" s="84"/>
    </row>
    <row r="3" spans="1:15" ht="16.5" customHeight="1" x14ac:dyDescent="0.35">
      <c r="A3" s="90"/>
      <c r="B3" s="91"/>
      <c r="C3" s="92"/>
      <c r="D3" s="30"/>
      <c r="E3" s="31"/>
      <c r="F3" s="31"/>
      <c r="G3" s="31"/>
      <c r="H3" s="31"/>
      <c r="I3" s="31"/>
      <c r="J3" s="31"/>
      <c r="K3" s="32"/>
      <c r="L3" s="38" t="s">
        <v>83</v>
      </c>
      <c r="M3" s="39"/>
      <c r="N3" s="83" t="s">
        <v>85</v>
      </c>
      <c r="O3" s="84"/>
    </row>
    <row r="4" spans="1:15" ht="15.75" customHeight="1" thickBot="1" x14ac:dyDescent="0.4">
      <c r="A4" s="93"/>
      <c r="B4" s="94"/>
      <c r="C4" s="95"/>
      <c r="D4" s="33"/>
      <c r="E4" s="34"/>
      <c r="F4" s="34"/>
      <c r="G4" s="34"/>
      <c r="H4" s="34"/>
      <c r="I4" s="34"/>
      <c r="J4" s="34"/>
      <c r="K4" s="35"/>
      <c r="L4" s="40" t="s">
        <v>84</v>
      </c>
      <c r="M4" s="41"/>
      <c r="N4" s="85" t="s">
        <v>86</v>
      </c>
      <c r="O4" s="86"/>
    </row>
    <row r="5" spans="1:15" ht="19.899999999999999" customHeight="1" thickBot="1" x14ac:dyDescent="0.4">
      <c r="A5" s="42" t="s">
        <v>1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4"/>
    </row>
    <row r="6" spans="1:15" ht="22.15" customHeight="1" x14ac:dyDescent="0.35">
      <c r="A6" s="46" t="s">
        <v>77</v>
      </c>
      <c r="B6" s="47"/>
      <c r="C6" s="45"/>
      <c r="D6" s="45"/>
      <c r="E6" s="47" t="s">
        <v>2</v>
      </c>
      <c r="F6" s="47"/>
      <c r="G6" s="64"/>
      <c r="H6" s="45"/>
      <c r="I6" s="47" t="s">
        <v>3</v>
      </c>
      <c r="J6" s="47"/>
      <c r="K6" s="45"/>
      <c r="L6" s="45"/>
      <c r="M6" s="47" t="s">
        <v>4</v>
      </c>
      <c r="N6" s="47"/>
      <c r="O6" s="17"/>
    </row>
    <row r="7" spans="1:15" ht="22.15" customHeight="1" x14ac:dyDescent="0.35">
      <c r="A7" s="46" t="s">
        <v>5</v>
      </c>
      <c r="B7" s="47"/>
      <c r="C7" s="45"/>
      <c r="D7" s="45"/>
      <c r="E7" s="45"/>
      <c r="F7" s="45"/>
      <c r="G7" s="45"/>
      <c r="H7" s="45"/>
      <c r="I7" s="47" t="s">
        <v>6</v>
      </c>
      <c r="J7" s="47"/>
      <c r="K7" s="45"/>
      <c r="L7" s="45"/>
      <c r="M7" s="45"/>
      <c r="N7" s="45"/>
      <c r="O7" s="63"/>
    </row>
    <row r="8" spans="1:15" ht="22.15" customHeight="1" x14ac:dyDescent="0.35">
      <c r="A8" s="46" t="s">
        <v>7</v>
      </c>
      <c r="B8" s="47"/>
      <c r="C8" s="45"/>
      <c r="D8" s="45"/>
      <c r="E8" s="45"/>
      <c r="F8" s="45"/>
      <c r="G8" s="45"/>
      <c r="H8" s="45"/>
      <c r="I8" s="47" t="s">
        <v>8</v>
      </c>
      <c r="J8" s="47"/>
      <c r="K8" s="45"/>
      <c r="L8" s="45"/>
      <c r="M8" s="47" t="s">
        <v>9</v>
      </c>
      <c r="N8" s="47"/>
      <c r="O8" s="17"/>
    </row>
    <row r="9" spans="1:15" ht="22.15" customHeight="1" x14ac:dyDescent="0.35">
      <c r="A9" s="46" t="s">
        <v>10</v>
      </c>
      <c r="B9" s="47"/>
      <c r="C9" s="45"/>
      <c r="D9" s="45"/>
      <c r="E9" s="47" t="s">
        <v>11</v>
      </c>
      <c r="F9" s="47"/>
      <c r="G9" s="45"/>
      <c r="H9" s="45"/>
      <c r="I9" s="47" t="s">
        <v>12</v>
      </c>
      <c r="J9" s="47"/>
      <c r="K9" s="45"/>
      <c r="L9" s="45"/>
      <c r="M9" s="47" t="s">
        <v>13</v>
      </c>
      <c r="N9" s="47"/>
      <c r="O9" s="18"/>
    </row>
    <row r="10" spans="1:15" ht="22.15" customHeight="1" x14ac:dyDescent="0.35">
      <c r="A10" s="46" t="s">
        <v>14</v>
      </c>
      <c r="B10" s="47"/>
      <c r="C10" s="45"/>
      <c r="D10" s="45"/>
      <c r="E10" s="47" t="s">
        <v>15</v>
      </c>
      <c r="F10" s="47"/>
      <c r="G10" s="45"/>
      <c r="H10" s="45"/>
      <c r="I10" s="47" t="s">
        <v>16</v>
      </c>
      <c r="J10" s="47"/>
      <c r="K10" s="45"/>
      <c r="L10" s="45"/>
      <c r="M10" s="47" t="s">
        <v>17</v>
      </c>
      <c r="N10" s="47"/>
      <c r="O10" s="17"/>
    </row>
    <row r="11" spans="1:15" ht="15" thickBot="1" x14ac:dyDescent="0.4">
      <c r="A11" s="15"/>
      <c r="O11" s="16"/>
    </row>
    <row r="12" spans="1:15" ht="19.899999999999999" customHeight="1" thickBot="1" x14ac:dyDescent="0.4">
      <c r="A12" s="67" t="s">
        <v>18</v>
      </c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9"/>
    </row>
    <row r="13" spans="1:15" ht="22.15" customHeight="1" x14ac:dyDescent="0.35">
      <c r="A13" s="46" t="s">
        <v>19</v>
      </c>
      <c r="B13" s="47"/>
      <c r="C13" s="45"/>
      <c r="D13" s="51"/>
      <c r="E13" s="51"/>
      <c r="F13" s="51"/>
      <c r="G13" s="51"/>
      <c r="H13" s="60"/>
      <c r="I13" s="47" t="s">
        <v>20</v>
      </c>
      <c r="J13" s="47"/>
      <c r="K13" s="45"/>
      <c r="L13" s="51"/>
      <c r="M13" s="51"/>
      <c r="N13" s="51"/>
      <c r="O13" s="52"/>
    </row>
    <row r="14" spans="1:15" ht="22.15" customHeight="1" x14ac:dyDescent="0.35">
      <c r="A14" s="15"/>
      <c r="C14" s="53"/>
      <c r="D14" s="54"/>
      <c r="E14" s="54"/>
      <c r="F14" s="54"/>
      <c r="G14" s="54"/>
      <c r="H14" s="61"/>
      <c r="K14" s="53"/>
      <c r="L14" s="54"/>
      <c r="M14" s="54"/>
      <c r="N14" s="54"/>
      <c r="O14" s="55"/>
    </row>
    <row r="15" spans="1:15" ht="22.15" customHeight="1" x14ac:dyDescent="0.35">
      <c r="A15" s="15"/>
      <c r="C15" s="56"/>
      <c r="D15" s="57"/>
      <c r="E15" s="57"/>
      <c r="F15" s="57"/>
      <c r="G15" s="57"/>
      <c r="H15" s="62"/>
      <c r="K15" s="56"/>
      <c r="L15" s="57"/>
      <c r="M15" s="57"/>
      <c r="N15" s="57"/>
      <c r="O15" s="58"/>
    </row>
    <row r="16" spans="1:15" ht="15" thickBot="1" x14ac:dyDescent="0.4">
      <c r="A16" s="15"/>
      <c r="O16" s="16"/>
    </row>
    <row r="17" spans="1:15" ht="34.15" customHeight="1" thickBot="1" x14ac:dyDescent="0.4">
      <c r="A17" s="19" t="s">
        <v>21</v>
      </c>
      <c r="B17" s="2" t="s">
        <v>22</v>
      </c>
      <c r="C17" s="2" t="s">
        <v>23</v>
      </c>
      <c r="D17" s="2" t="s">
        <v>24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31</v>
      </c>
      <c r="L17" s="2" t="s">
        <v>32</v>
      </c>
      <c r="M17" s="2" t="s">
        <v>33</v>
      </c>
      <c r="N17" s="2" t="s">
        <v>34</v>
      </c>
      <c r="O17" s="20" t="s">
        <v>35</v>
      </c>
    </row>
    <row r="18" spans="1:15" ht="21" customHeight="1" x14ac:dyDescent="0.35">
      <c r="A18" s="21">
        <v>1</v>
      </c>
      <c r="B18" s="1"/>
      <c r="C18" s="1"/>
      <c r="D18" s="1"/>
      <c r="E18" s="1"/>
      <c r="F18" s="1"/>
      <c r="G18" s="3"/>
      <c r="H18" s="1"/>
      <c r="I18" s="1"/>
      <c r="J18" s="4"/>
      <c r="K18" s="4"/>
      <c r="L18" s="4"/>
      <c r="M18" s="3"/>
      <c r="N18" s="3"/>
      <c r="O18" s="22" t="str">
        <f t="shared" ref="O18:O37" si="0">IF(COUNTA(J18:L18)=3,J18*K18*L18/1000000,"")</f>
        <v/>
      </c>
    </row>
    <row r="19" spans="1:15" ht="21" customHeight="1" x14ac:dyDescent="0.35">
      <c r="A19" s="21">
        <v>2</v>
      </c>
      <c r="B19" s="1"/>
      <c r="C19" s="1"/>
      <c r="D19" s="1"/>
      <c r="E19" s="1"/>
      <c r="F19" s="1"/>
      <c r="G19" s="3"/>
      <c r="H19" s="1"/>
      <c r="I19" s="1"/>
      <c r="J19" s="4"/>
      <c r="K19" s="4"/>
      <c r="L19" s="4"/>
      <c r="M19" s="3"/>
      <c r="N19" s="3"/>
      <c r="O19" s="22" t="str">
        <f t="shared" si="0"/>
        <v/>
      </c>
    </row>
    <row r="20" spans="1:15" ht="21" customHeight="1" x14ac:dyDescent="0.35">
      <c r="A20" s="21">
        <v>3</v>
      </c>
      <c r="B20" s="1"/>
      <c r="C20" s="1"/>
      <c r="D20" s="1"/>
      <c r="E20" s="1"/>
      <c r="F20" s="1"/>
      <c r="G20" s="3"/>
      <c r="H20" s="1"/>
      <c r="I20" s="1"/>
      <c r="J20" s="4"/>
      <c r="K20" s="4"/>
      <c r="L20" s="4"/>
      <c r="M20" s="3"/>
      <c r="N20" s="3"/>
      <c r="O20" s="22" t="str">
        <f t="shared" si="0"/>
        <v/>
      </c>
    </row>
    <row r="21" spans="1:15" ht="21" customHeight="1" x14ac:dyDescent="0.35">
      <c r="A21" s="21">
        <v>4</v>
      </c>
      <c r="B21" s="1"/>
      <c r="C21" s="1"/>
      <c r="D21" s="1"/>
      <c r="E21" s="1"/>
      <c r="F21" s="1"/>
      <c r="G21" s="3"/>
      <c r="H21" s="1"/>
      <c r="I21" s="1"/>
      <c r="J21" s="4"/>
      <c r="K21" s="4"/>
      <c r="L21" s="4"/>
      <c r="M21" s="3"/>
      <c r="N21" s="3"/>
      <c r="O21" s="22" t="str">
        <f t="shared" si="0"/>
        <v/>
      </c>
    </row>
    <row r="22" spans="1:15" ht="21" customHeight="1" x14ac:dyDescent="0.35">
      <c r="A22" s="21">
        <v>5</v>
      </c>
      <c r="B22" s="1"/>
      <c r="C22" s="1"/>
      <c r="D22" s="1"/>
      <c r="E22" s="1"/>
      <c r="F22" s="1"/>
      <c r="G22" s="3"/>
      <c r="H22" s="1"/>
      <c r="I22" s="1"/>
      <c r="J22" s="4"/>
      <c r="K22" s="4"/>
      <c r="L22" s="4"/>
      <c r="M22" s="3"/>
      <c r="N22" s="3"/>
      <c r="O22" s="22" t="str">
        <f t="shared" si="0"/>
        <v/>
      </c>
    </row>
    <row r="23" spans="1:15" ht="21" customHeight="1" x14ac:dyDescent="0.35">
      <c r="A23" s="21">
        <v>6</v>
      </c>
      <c r="B23" s="1"/>
      <c r="C23" s="1"/>
      <c r="D23" s="1"/>
      <c r="E23" s="1"/>
      <c r="F23" s="1"/>
      <c r="G23" s="3"/>
      <c r="H23" s="1"/>
      <c r="I23" s="1"/>
      <c r="J23" s="4"/>
      <c r="K23" s="4"/>
      <c r="L23" s="4"/>
      <c r="M23" s="3"/>
      <c r="N23" s="3"/>
      <c r="O23" s="22" t="str">
        <f t="shared" si="0"/>
        <v/>
      </c>
    </row>
    <row r="24" spans="1:15" ht="21" customHeight="1" x14ac:dyDescent="0.35">
      <c r="A24" s="21">
        <v>7</v>
      </c>
      <c r="B24" s="1"/>
      <c r="C24" s="1"/>
      <c r="D24" s="1"/>
      <c r="E24" s="1"/>
      <c r="F24" s="1"/>
      <c r="G24" s="3"/>
      <c r="H24" s="1"/>
      <c r="I24" s="1"/>
      <c r="J24" s="4"/>
      <c r="K24" s="4"/>
      <c r="L24" s="4"/>
      <c r="M24" s="3"/>
      <c r="N24" s="3"/>
      <c r="O24" s="22" t="str">
        <f t="shared" si="0"/>
        <v/>
      </c>
    </row>
    <row r="25" spans="1:15" ht="21" customHeight="1" x14ac:dyDescent="0.35">
      <c r="A25" s="21">
        <v>8</v>
      </c>
      <c r="B25" s="1"/>
      <c r="C25" s="1"/>
      <c r="D25" s="1"/>
      <c r="E25" s="1"/>
      <c r="F25" s="1"/>
      <c r="G25" s="3"/>
      <c r="H25" s="1"/>
      <c r="I25" s="1"/>
      <c r="J25" s="4"/>
      <c r="K25" s="4"/>
      <c r="L25" s="4"/>
      <c r="M25" s="3"/>
      <c r="N25" s="3"/>
      <c r="O25" s="22" t="str">
        <f t="shared" si="0"/>
        <v/>
      </c>
    </row>
    <row r="26" spans="1:15" ht="21" customHeight="1" x14ac:dyDescent="0.35">
      <c r="A26" s="21">
        <v>9</v>
      </c>
      <c r="B26" s="1"/>
      <c r="C26" s="1"/>
      <c r="D26" s="1"/>
      <c r="E26" s="1"/>
      <c r="F26" s="1"/>
      <c r="G26" s="3"/>
      <c r="H26" s="1"/>
      <c r="I26" s="1"/>
      <c r="J26" s="4"/>
      <c r="K26" s="4"/>
      <c r="L26" s="4"/>
      <c r="M26" s="3"/>
      <c r="N26" s="3"/>
      <c r="O26" s="22" t="str">
        <f t="shared" si="0"/>
        <v/>
      </c>
    </row>
    <row r="27" spans="1:15" ht="21" customHeight="1" x14ac:dyDescent="0.35">
      <c r="A27" s="21">
        <v>10</v>
      </c>
      <c r="B27" s="1"/>
      <c r="C27" s="1"/>
      <c r="D27" s="1"/>
      <c r="E27" s="1"/>
      <c r="F27" s="1"/>
      <c r="G27" s="3"/>
      <c r="H27" s="1"/>
      <c r="I27" s="1"/>
      <c r="J27" s="4"/>
      <c r="K27" s="4"/>
      <c r="L27" s="4"/>
      <c r="M27" s="3"/>
      <c r="N27" s="3"/>
      <c r="O27" s="22" t="str">
        <f t="shared" si="0"/>
        <v/>
      </c>
    </row>
    <row r="28" spans="1:15" ht="21" customHeight="1" x14ac:dyDescent="0.35">
      <c r="A28" s="21">
        <v>11</v>
      </c>
      <c r="B28" s="1"/>
      <c r="C28" s="1"/>
      <c r="D28" s="1"/>
      <c r="E28" s="1"/>
      <c r="F28" s="1"/>
      <c r="G28" s="3"/>
      <c r="H28" s="1"/>
      <c r="I28" s="1"/>
      <c r="J28" s="4"/>
      <c r="K28" s="4"/>
      <c r="L28" s="4"/>
      <c r="M28" s="3"/>
      <c r="N28" s="3"/>
      <c r="O28" s="22" t="str">
        <f t="shared" si="0"/>
        <v/>
      </c>
    </row>
    <row r="29" spans="1:15" ht="21" customHeight="1" x14ac:dyDescent="0.35">
      <c r="A29" s="21">
        <v>12</v>
      </c>
      <c r="B29" s="1"/>
      <c r="C29" s="1"/>
      <c r="D29" s="1"/>
      <c r="E29" s="1"/>
      <c r="F29" s="1"/>
      <c r="G29" s="3"/>
      <c r="H29" s="1"/>
      <c r="I29" s="1"/>
      <c r="J29" s="4"/>
      <c r="K29" s="4"/>
      <c r="L29" s="4"/>
      <c r="M29" s="3"/>
      <c r="N29" s="3"/>
      <c r="O29" s="22" t="str">
        <f t="shared" si="0"/>
        <v/>
      </c>
    </row>
    <row r="30" spans="1:15" ht="21" customHeight="1" x14ac:dyDescent="0.35">
      <c r="A30" s="21">
        <v>13</v>
      </c>
      <c r="B30" s="1"/>
      <c r="C30" s="1"/>
      <c r="D30" s="1"/>
      <c r="E30" s="1"/>
      <c r="F30" s="1"/>
      <c r="G30" s="3"/>
      <c r="H30" s="1"/>
      <c r="I30" s="1"/>
      <c r="J30" s="4"/>
      <c r="K30" s="4"/>
      <c r="L30" s="4"/>
      <c r="M30" s="3"/>
      <c r="N30" s="3"/>
      <c r="O30" s="22" t="str">
        <f t="shared" si="0"/>
        <v/>
      </c>
    </row>
    <row r="31" spans="1:15" ht="21" customHeight="1" x14ac:dyDescent="0.35">
      <c r="A31" s="21">
        <v>14</v>
      </c>
      <c r="B31" s="1"/>
      <c r="C31" s="1"/>
      <c r="D31" s="1"/>
      <c r="E31" s="1"/>
      <c r="F31" s="1"/>
      <c r="G31" s="3"/>
      <c r="H31" s="1"/>
      <c r="I31" s="1"/>
      <c r="J31" s="4"/>
      <c r="K31" s="4"/>
      <c r="L31" s="4"/>
      <c r="M31" s="3"/>
      <c r="N31" s="3"/>
      <c r="O31" s="22" t="str">
        <f t="shared" si="0"/>
        <v/>
      </c>
    </row>
    <row r="32" spans="1:15" ht="21" customHeight="1" x14ac:dyDescent="0.35">
      <c r="A32" s="21">
        <v>15</v>
      </c>
      <c r="B32" s="1"/>
      <c r="C32" s="1"/>
      <c r="D32" s="1"/>
      <c r="E32" s="1"/>
      <c r="F32" s="1"/>
      <c r="G32" s="3"/>
      <c r="H32" s="1"/>
      <c r="I32" s="1"/>
      <c r="J32" s="4"/>
      <c r="K32" s="4"/>
      <c r="L32" s="4"/>
      <c r="M32" s="3"/>
      <c r="N32" s="3"/>
      <c r="O32" s="22" t="str">
        <f t="shared" si="0"/>
        <v/>
      </c>
    </row>
    <row r="33" spans="1:15" ht="21" customHeight="1" x14ac:dyDescent="0.35">
      <c r="A33" s="21">
        <v>16</v>
      </c>
      <c r="B33" s="1"/>
      <c r="C33" s="1"/>
      <c r="D33" s="1"/>
      <c r="E33" s="1"/>
      <c r="F33" s="1"/>
      <c r="G33" s="3"/>
      <c r="H33" s="1"/>
      <c r="I33" s="1"/>
      <c r="J33" s="4"/>
      <c r="K33" s="4"/>
      <c r="L33" s="4"/>
      <c r="M33" s="3"/>
      <c r="N33" s="3"/>
      <c r="O33" s="22" t="str">
        <f t="shared" si="0"/>
        <v/>
      </c>
    </row>
    <row r="34" spans="1:15" ht="21" customHeight="1" x14ac:dyDescent="0.35">
      <c r="A34" s="21">
        <v>17</v>
      </c>
      <c r="B34" s="1"/>
      <c r="C34" s="1"/>
      <c r="D34" s="1"/>
      <c r="E34" s="1"/>
      <c r="F34" s="1"/>
      <c r="G34" s="3"/>
      <c r="H34" s="1"/>
      <c r="I34" s="1"/>
      <c r="J34" s="4"/>
      <c r="K34" s="4"/>
      <c r="L34" s="4"/>
      <c r="M34" s="3"/>
      <c r="N34" s="3"/>
      <c r="O34" s="22" t="str">
        <f t="shared" si="0"/>
        <v/>
      </c>
    </row>
    <row r="35" spans="1:15" ht="21" customHeight="1" x14ac:dyDescent="0.35">
      <c r="A35" s="21">
        <v>18</v>
      </c>
      <c r="B35" s="1"/>
      <c r="C35" s="1"/>
      <c r="D35" s="1"/>
      <c r="E35" s="1"/>
      <c r="F35" s="1"/>
      <c r="G35" s="3"/>
      <c r="H35" s="1"/>
      <c r="I35" s="1"/>
      <c r="J35" s="4"/>
      <c r="K35" s="4"/>
      <c r="L35" s="4"/>
      <c r="M35" s="3"/>
      <c r="N35" s="3"/>
      <c r="O35" s="22" t="str">
        <f t="shared" si="0"/>
        <v/>
      </c>
    </row>
    <row r="36" spans="1:15" ht="21" customHeight="1" x14ac:dyDescent="0.35">
      <c r="A36" s="21">
        <v>19</v>
      </c>
      <c r="B36" s="1"/>
      <c r="C36" s="1"/>
      <c r="D36" s="1"/>
      <c r="E36" s="1"/>
      <c r="F36" s="1"/>
      <c r="G36" s="3"/>
      <c r="H36" s="1"/>
      <c r="I36" s="1"/>
      <c r="J36" s="4"/>
      <c r="K36" s="4"/>
      <c r="L36" s="4"/>
      <c r="M36" s="3"/>
      <c r="N36" s="3"/>
      <c r="O36" s="22" t="str">
        <f t="shared" si="0"/>
        <v/>
      </c>
    </row>
    <row r="37" spans="1:15" ht="21" customHeight="1" thickBot="1" x14ac:dyDescent="0.4">
      <c r="A37" s="21">
        <v>20</v>
      </c>
      <c r="B37" s="1"/>
      <c r="C37" s="1"/>
      <c r="D37" s="1"/>
      <c r="E37" s="1"/>
      <c r="F37" s="1"/>
      <c r="G37" s="3"/>
      <c r="H37" s="1"/>
      <c r="I37" s="1"/>
      <c r="J37" s="4"/>
      <c r="K37" s="4"/>
      <c r="L37" s="4"/>
      <c r="M37" s="3"/>
      <c r="N37" s="3"/>
      <c r="O37" s="22" t="str">
        <f t="shared" si="0"/>
        <v/>
      </c>
    </row>
    <row r="38" spans="1:15" ht="22.15" customHeight="1" thickBot="1" x14ac:dyDescent="0.4">
      <c r="A38" s="70" t="s">
        <v>36</v>
      </c>
      <c r="B38" s="68"/>
      <c r="C38" s="68"/>
      <c r="D38" s="68"/>
      <c r="E38" s="68"/>
      <c r="F38" s="68"/>
      <c r="G38" s="5">
        <f>SUM(G18:G37)</f>
        <v>0</v>
      </c>
      <c r="H38" s="6"/>
      <c r="I38" s="6"/>
      <c r="J38" s="6"/>
      <c r="K38" s="6"/>
      <c r="L38" s="6"/>
      <c r="M38" s="5">
        <f>SUM(M18:M37)</f>
        <v>0</v>
      </c>
      <c r="N38" s="5">
        <f>SUM(N18:N37)</f>
        <v>0</v>
      </c>
      <c r="O38" s="23">
        <f>SUM(O18:O37)</f>
        <v>0</v>
      </c>
    </row>
    <row r="39" spans="1:15" x14ac:dyDescent="0.35">
      <c r="A39" s="15"/>
      <c r="O39" s="16"/>
    </row>
    <row r="40" spans="1:15" ht="22.15" customHeight="1" x14ac:dyDescent="0.35">
      <c r="A40" s="46" t="s">
        <v>37</v>
      </c>
      <c r="B40" s="47"/>
      <c r="C40" s="7">
        <f>COUNTA(B18:B37)</f>
        <v>0</v>
      </c>
      <c r="D40" s="47" t="s">
        <v>38</v>
      </c>
      <c r="E40" s="47"/>
      <c r="F40" s="8">
        <f>SUM(G18:G37)</f>
        <v>0</v>
      </c>
      <c r="G40" s="47" t="s">
        <v>39</v>
      </c>
      <c r="H40" s="47"/>
      <c r="I40" s="8">
        <f>SUM(M18:M37)</f>
        <v>0</v>
      </c>
      <c r="J40" s="47" t="s">
        <v>40</v>
      </c>
      <c r="K40" s="47"/>
      <c r="L40" s="8">
        <f>SUM(N18:N37)</f>
        <v>0</v>
      </c>
      <c r="M40" s="47" t="s">
        <v>41</v>
      </c>
      <c r="N40" s="47"/>
      <c r="O40" s="24">
        <f>SUM(O18:O37)</f>
        <v>0</v>
      </c>
    </row>
    <row r="41" spans="1:15" ht="15" thickBot="1" x14ac:dyDescent="0.4">
      <c r="A41" s="15"/>
      <c r="O41" s="16"/>
    </row>
    <row r="42" spans="1:15" ht="19.899999999999999" customHeight="1" thickBot="1" x14ac:dyDescent="0.4">
      <c r="A42" s="67" t="s">
        <v>42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9"/>
    </row>
    <row r="43" spans="1:15" ht="24" customHeight="1" thickBot="1" x14ac:dyDescent="0.4">
      <c r="A43" s="96" t="s">
        <v>43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9"/>
    </row>
    <row r="44" spans="1:15" ht="24" customHeight="1" thickBot="1" x14ac:dyDescent="0.4">
      <c r="A44" s="97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9"/>
    </row>
    <row r="45" spans="1:15" ht="15" thickBot="1" x14ac:dyDescent="0.4">
      <c r="A45" s="15"/>
      <c r="O45" s="16"/>
    </row>
    <row r="46" spans="1:15" ht="19.899999999999999" customHeight="1" thickBot="1" x14ac:dyDescent="0.4">
      <c r="A46" s="67" t="s">
        <v>44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9"/>
    </row>
    <row r="47" spans="1:15" ht="22.15" customHeight="1" thickBot="1" x14ac:dyDescent="0.4">
      <c r="A47" s="71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6"/>
    </row>
    <row r="48" spans="1:15" ht="19.899999999999999" customHeight="1" x14ac:dyDescent="0.35">
      <c r="A48" s="50" t="s">
        <v>45</v>
      </c>
      <c r="B48" s="49"/>
      <c r="C48" s="49"/>
      <c r="D48" s="48" t="s">
        <v>46</v>
      </c>
      <c r="E48" s="49"/>
      <c r="F48" s="49"/>
      <c r="G48" s="48" t="s">
        <v>47</v>
      </c>
      <c r="H48" s="49"/>
      <c r="I48" s="49"/>
      <c r="J48" s="48" t="s">
        <v>48</v>
      </c>
      <c r="K48" s="49"/>
      <c r="L48" s="49"/>
      <c r="M48" s="48" t="s">
        <v>49</v>
      </c>
      <c r="N48" s="49"/>
      <c r="O48" s="59"/>
    </row>
    <row r="49" spans="1:15" ht="19.899999999999999" customHeight="1" x14ac:dyDescent="0.35">
      <c r="A49" s="25"/>
      <c r="B49" s="14"/>
      <c r="C49" s="14"/>
      <c r="D49" s="13"/>
      <c r="E49" s="14"/>
      <c r="F49" s="14"/>
      <c r="G49" s="13"/>
      <c r="H49" s="14"/>
      <c r="I49" s="14"/>
      <c r="J49" s="13"/>
      <c r="K49" s="14"/>
      <c r="L49" s="14"/>
      <c r="M49" s="13"/>
      <c r="N49" s="14"/>
      <c r="O49" s="26"/>
    </row>
    <row r="50" spans="1:15" ht="19.899999999999999" customHeight="1" x14ac:dyDescent="0.35">
      <c r="A50" s="25"/>
      <c r="B50" s="14"/>
      <c r="C50" s="14"/>
      <c r="D50" s="13"/>
      <c r="E50" s="14"/>
      <c r="F50" s="14"/>
      <c r="G50" s="13"/>
      <c r="H50" s="14"/>
      <c r="I50" s="14"/>
      <c r="J50" s="13"/>
      <c r="K50" s="14"/>
      <c r="L50" s="14"/>
      <c r="M50" s="13"/>
      <c r="N50" s="14"/>
      <c r="O50" s="26"/>
    </row>
    <row r="51" spans="1:15" ht="19.899999999999999" customHeight="1" thickBot="1" x14ac:dyDescent="0.4">
      <c r="A51" s="25"/>
      <c r="B51" s="14"/>
      <c r="C51" s="14"/>
      <c r="D51" s="13"/>
      <c r="E51" s="14"/>
      <c r="F51" s="14"/>
      <c r="G51" s="13"/>
      <c r="H51" s="14"/>
      <c r="I51" s="14"/>
      <c r="J51" s="13"/>
      <c r="K51" s="14"/>
      <c r="L51" s="14"/>
      <c r="M51" s="13"/>
      <c r="N51" s="14"/>
      <c r="O51" s="26"/>
    </row>
    <row r="52" spans="1:15" ht="18.5" x14ac:dyDescent="0.35">
      <c r="A52" s="72" t="s">
        <v>78</v>
      </c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4"/>
    </row>
    <row r="53" spans="1:15" ht="14.5" customHeight="1" x14ac:dyDescent="0.35">
      <c r="A53" s="75" t="s">
        <v>79</v>
      </c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7"/>
    </row>
    <row r="54" spans="1:15" ht="15" thickBot="1" x14ac:dyDescent="0.4">
      <c r="A54" s="78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80"/>
    </row>
  </sheetData>
  <mergeCells count="67">
    <mergeCell ref="A52:O52"/>
    <mergeCell ref="A53:O54"/>
    <mergeCell ref="N1:O1"/>
    <mergeCell ref="N2:O2"/>
    <mergeCell ref="N3:O3"/>
    <mergeCell ref="N4:O4"/>
    <mergeCell ref="A1:C4"/>
    <mergeCell ref="D48:F48"/>
    <mergeCell ref="D40:E40"/>
    <mergeCell ref="G40:H40"/>
    <mergeCell ref="A43:O44"/>
    <mergeCell ref="D47:F47"/>
    <mergeCell ref="A6:B6"/>
    <mergeCell ref="J40:K40"/>
    <mergeCell ref="A12:O12"/>
    <mergeCell ref="A47:C47"/>
    <mergeCell ref="E10:F10"/>
    <mergeCell ref="A42:O42"/>
    <mergeCell ref="I7:J7"/>
    <mergeCell ref="J47:L47"/>
    <mergeCell ref="A40:B40"/>
    <mergeCell ref="G47:I47"/>
    <mergeCell ref="M47:O47"/>
    <mergeCell ref="C6:D6"/>
    <mergeCell ref="I6:J6"/>
    <mergeCell ref="K9:L9"/>
    <mergeCell ref="A46:O46"/>
    <mergeCell ref="M9:N9"/>
    <mergeCell ref="G10:H10"/>
    <mergeCell ref="M10:N10"/>
    <mergeCell ref="E9:F9"/>
    <mergeCell ref="C7:H7"/>
    <mergeCell ref="M40:N40"/>
    <mergeCell ref="A38:F38"/>
    <mergeCell ref="E6:F6"/>
    <mergeCell ref="C10:D10"/>
    <mergeCell ref="A7:B7"/>
    <mergeCell ref="M6:N6"/>
    <mergeCell ref="K8:L8"/>
    <mergeCell ref="C13:H15"/>
    <mergeCell ref="K7:O7"/>
    <mergeCell ref="K6:L6"/>
    <mergeCell ref="G9:H9"/>
    <mergeCell ref="I9:J9"/>
    <mergeCell ref="G6:H6"/>
    <mergeCell ref="C9:D9"/>
    <mergeCell ref="A5:O5"/>
    <mergeCell ref="C8:H8"/>
    <mergeCell ref="A9:B9"/>
    <mergeCell ref="J48:L48"/>
    <mergeCell ref="I8:J8"/>
    <mergeCell ref="A8:B8"/>
    <mergeCell ref="A48:C48"/>
    <mergeCell ref="M8:N8"/>
    <mergeCell ref="K13:O15"/>
    <mergeCell ref="I10:J10"/>
    <mergeCell ref="A10:B10"/>
    <mergeCell ref="K10:L10"/>
    <mergeCell ref="M48:O48"/>
    <mergeCell ref="A13:B13"/>
    <mergeCell ref="G48:I48"/>
    <mergeCell ref="I13:J13"/>
    <mergeCell ref="D1:K4"/>
    <mergeCell ref="L1:M1"/>
    <mergeCell ref="L2:M2"/>
    <mergeCell ref="L3:M3"/>
    <mergeCell ref="L4:M4"/>
  </mergeCell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000-000000000000}">
          <x14:formula1>
            <xm:f>Lists!$A$2:$A$6</xm:f>
          </x14:formula1>
          <xm:sqref>H18:H37</xm:sqref>
        </x14:dataValidation>
        <x14:dataValidation type="list" allowBlank="1" xr:uid="{00000000-0002-0000-0000-000001000000}">
          <x14:formula1>
            <xm:f>Lists!$B$2:$B$7</xm:f>
          </x14:formula1>
          <xm:sqref>I18:I37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1" sqref="B1"/>
    </sheetView>
  </sheetViews>
  <sheetFormatPr defaultRowHeight="14.5" x14ac:dyDescent="0.35"/>
  <cols>
    <col min="2" max="2" width="16.1796875" customWidth="1"/>
  </cols>
  <sheetData>
    <row r="1" spans="1:2" x14ac:dyDescent="0.35">
      <c r="A1" t="s">
        <v>28</v>
      </c>
      <c r="B1" t="s">
        <v>50</v>
      </c>
    </row>
    <row r="2" spans="1:2" x14ac:dyDescent="0.35">
      <c r="A2" t="s">
        <v>51</v>
      </c>
      <c r="B2" t="s">
        <v>52</v>
      </c>
    </row>
    <row r="3" spans="1:2" x14ac:dyDescent="0.35">
      <c r="A3" t="s">
        <v>53</v>
      </c>
      <c r="B3" t="s">
        <v>54</v>
      </c>
    </row>
    <row r="4" spans="1:2" x14ac:dyDescent="0.35">
      <c r="A4" t="s">
        <v>55</v>
      </c>
      <c r="B4" t="s">
        <v>56</v>
      </c>
    </row>
    <row r="5" spans="1:2" x14ac:dyDescent="0.35">
      <c r="A5" t="s">
        <v>57</v>
      </c>
      <c r="B5" t="s">
        <v>58</v>
      </c>
    </row>
    <row r="6" spans="1:2" x14ac:dyDescent="0.35">
      <c r="A6" t="s">
        <v>59</v>
      </c>
      <c r="B6" t="s">
        <v>60</v>
      </c>
    </row>
    <row r="7" spans="1:2" x14ac:dyDescent="0.35">
      <c r="B7" t="s">
        <v>61</v>
      </c>
    </row>
    <row r="8" spans="1:2" x14ac:dyDescent="0.35">
      <c r="B8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showGridLines="0" workbookViewId="0"/>
  </sheetViews>
  <sheetFormatPr defaultRowHeight="14.5" x14ac:dyDescent="0.35"/>
  <cols>
    <col min="1" max="1" width="28" customWidth="1"/>
    <col min="2" max="2" width="96" customWidth="1"/>
  </cols>
  <sheetData>
    <row r="1" spans="1:2" ht="23.5" x14ac:dyDescent="0.55000000000000004">
      <c r="A1" s="9" t="s">
        <v>62</v>
      </c>
    </row>
    <row r="3" spans="1:2" x14ac:dyDescent="0.35">
      <c r="A3" s="10" t="s">
        <v>63</v>
      </c>
      <c r="B3" s="10" t="s">
        <v>64</v>
      </c>
    </row>
    <row r="4" spans="1:2" ht="28.15" customHeight="1" x14ac:dyDescent="0.35">
      <c r="A4" s="11" t="s">
        <v>65</v>
      </c>
      <c r="B4" s="12" t="s">
        <v>66</v>
      </c>
    </row>
    <row r="5" spans="1:2" ht="28.15" customHeight="1" x14ac:dyDescent="0.35">
      <c r="A5" s="11" t="s">
        <v>67</v>
      </c>
      <c r="B5" s="12" t="s">
        <v>68</v>
      </c>
    </row>
    <row r="6" spans="1:2" ht="28.15" customHeight="1" x14ac:dyDescent="0.35">
      <c r="A6" s="11" t="s">
        <v>69</v>
      </c>
      <c r="B6" s="12" t="s">
        <v>70</v>
      </c>
    </row>
    <row r="7" spans="1:2" ht="28.15" customHeight="1" x14ac:dyDescent="0.35">
      <c r="A7" s="11" t="s">
        <v>71</v>
      </c>
      <c r="B7" s="12" t="s">
        <v>72</v>
      </c>
    </row>
    <row r="8" spans="1:2" ht="28.15" customHeight="1" x14ac:dyDescent="0.35">
      <c r="A8" s="11" t="s">
        <v>73</v>
      </c>
      <c r="B8" s="12" t="s">
        <v>74</v>
      </c>
    </row>
    <row r="9" spans="1:2" ht="28.15" customHeight="1" x14ac:dyDescent="0.35">
      <c r="A9" s="11" t="s">
        <v>75</v>
      </c>
      <c r="B9" s="1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Packing List</vt:lpstr>
      <vt:lpstr>Lists</vt:lpstr>
      <vt:lpstr>Kullanim Notlari</vt:lpstr>
      <vt:lpstr>'Packing List'!Yazdırma_Başlıkları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Sıla KANMAZ</dc:creator>
  <cp:lastModifiedBy>Burcu ADIGÜZEL</cp:lastModifiedBy>
  <cp:lastPrinted>2026-03-17T10:52:36Z</cp:lastPrinted>
  <dcterms:created xsi:type="dcterms:W3CDTF">2026-03-17T10:53:24Z</dcterms:created>
  <dcterms:modified xsi:type="dcterms:W3CDTF">2026-03-17T13:11:40Z</dcterms:modified>
</cp:coreProperties>
</file>