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impo-my.sharepoint.com/personal/procurement_vimpo_com/Documents/Masaüstü/00---039-VMP-S01064-ATP_5000m3_Libya/4-Logistics/BGZ_07_7th shipment-HOBs_FGL261247EXY/"/>
    </mc:Choice>
  </mc:AlternateContent>
  <xr:revisionPtr revIDLastSave="17" documentId="8_{4E654348-5DDC-4861-822B-49DB22851DA0}" xr6:coauthVersionLast="47" xr6:coauthVersionMax="47" xr10:uidLastSave="{F3AF5715-AC91-416C-B47B-7FD3DD0B27D2}"/>
  <bookViews>
    <workbookView xWindow="-110" yWindow="-110" windowWidth="19420" windowHeight="10300" activeTab="2" xr2:uid="{00000000-000D-0000-FFFF-FFFF00000000}"/>
  </bookViews>
  <sheets>
    <sheet name="ARKU1500660" sheetId="1" r:id="rId1"/>
    <sheet name="ARKU1500070" sheetId="4" r:id="rId2"/>
    <sheet name="ARKU1203024" sheetId="5" r:id="rId3"/>
  </sheets>
  <definedNames>
    <definedName name="_xlnm._FilterDatabase" localSheetId="2" hidden="1">ARKU1203024!$A$12:$O$22</definedName>
    <definedName name="_xlnm._FilterDatabase" localSheetId="1" hidden="1">ARKU1500070!$A$12:$O$22</definedName>
    <definedName name="_xlnm._FilterDatabase" localSheetId="0" hidden="1">ARKU1500660!$A$12:$O$22</definedName>
    <definedName name="_xlnm.Print_Titles" localSheetId="2">ARKU1203024!$1:$12</definedName>
    <definedName name="_xlnm.Print_Titles" localSheetId="1">ARKU1500070!$1:$12</definedName>
    <definedName name="_xlnm.Print_Titles" localSheetId="0">ARKU1500660!$1:$12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5" l="1"/>
  <c r="L25" i="5"/>
  <c r="I25" i="5"/>
  <c r="F25" i="5"/>
  <c r="C25" i="5"/>
  <c r="O16" i="1" l="1"/>
  <c r="N23" i="5"/>
  <c r="M23" i="5"/>
  <c r="G23" i="5"/>
  <c r="O22" i="5"/>
  <c r="O21" i="5"/>
  <c r="O20" i="5"/>
  <c r="O19" i="5"/>
  <c r="O18" i="5"/>
  <c r="O17" i="5"/>
  <c r="O16" i="5"/>
  <c r="O15" i="5"/>
  <c r="O14" i="5"/>
  <c r="O13" i="5"/>
  <c r="L25" i="4"/>
  <c r="I25" i="4"/>
  <c r="F25" i="4"/>
  <c r="C25" i="4"/>
  <c r="N23" i="4"/>
  <c r="M23" i="4"/>
  <c r="G23" i="4"/>
  <c r="O22" i="4"/>
  <c r="O21" i="4"/>
  <c r="O20" i="4"/>
  <c r="O19" i="4"/>
  <c r="O18" i="4"/>
  <c r="O17" i="4"/>
  <c r="O16" i="4"/>
  <c r="O15" i="4"/>
  <c r="O14" i="4"/>
  <c r="O13" i="4"/>
  <c r="L25" i="1"/>
  <c r="I25" i="1"/>
  <c r="F25" i="1"/>
  <c r="C25" i="1"/>
  <c r="N23" i="1"/>
  <c r="M23" i="1"/>
  <c r="G23" i="1"/>
  <c r="O22" i="1"/>
  <c r="O21" i="1"/>
  <c r="O20" i="1"/>
  <c r="O19" i="1"/>
  <c r="O18" i="1"/>
  <c r="O17" i="1"/>
  <c r="O15" i="1"/>
  <c r="O14" i="1"/>
  <c r="O13" i="1"/>
  <c r="O23" i="5" l="1"/>
  <c r="O25" i="4"/>
  <c r="O23" i="4"/>
  <c r="O25" i="1"/>
  <c r="O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Kendi logonuzu bu alana yerleştirebilirsiniz.</t>
        </r>
      </text>
    </comment>
    <comment ref="A2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E5463D1F-F68F-4A9D-B814-8D50640F9F8B}">
      <text>
        <r>
          <rPr>
            <sz val="11"/>
            <color theme="1"/>
            <rFont val="Calibri"/>
            <family val="2"/>
            <scheme val="minor"/>
          </rPr>
          <t>Kendi logonuzu bu alana yerleştirebilirsiniz.</t>
        </r>
      </text>
    </comment>
    <comment ref="A26" authorId="0" shapeId="0" xr:uid="{C16DCF83-A87C-4FDD-BAE9-5C969148E93B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5E435B89-EC86-4B84-A029-494528F98A20}">
      <text>
        <r>
          <rPr>
            <sz val="11"/>
            <color theme="1"/>
            <rFont val="Calibri"/>
            <family val="2"/>
            <scheme val="minor"/>
          </rPr>
          <t>Kendi logonuzu bu alana yerleştirebilirsiniz.</t>
        </r>
      </text>
    </comment>
    <comment ref="A26" authorId="0" shapeId="0" xr:uid="{7327CE77-AD3C-4174-BCFE-EDDFBE39D297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<sst xmlns="http://schemas.openxmlformats.org/spreadsheetml/2006/main" count="210" uniqueCount="72">
  <si>
    <t>PACKING LIST
ÇEKİ LİSTESİ</t>
  </si>
  <si>
    <t>DOCUMENT &amp; SHIPMENT INFORMATION / BELGE VE SEVKİYAT BİLGİLERİ</t>
  </si>
  <si>
    <t>Date / Tarih</t>
  </si>
  <si>
    <t>Invoice No. / Fatura No</t>
  </si>
  <si>
    <t>Incoterm</t>
  </si>
  <si>
    <t>Shipper / Gönderici</t>
  </si>
  <si>
    <t>Consignee / Alıcı</t>
  </si>
  <si>
    <t>Notify Party / İhbar</t>
  </si>
  <si>
    <t>Country of Origin</t>
  </si>
  <si>
    <t>Final Destination</t>
  </si>
  <si>
    <t>Port of Loading</t>
  </si>
  <si>
    <t>Port of Discharge</t>
  </si>
  <si>
    <t>Vessel / Flight</t>
  </si>
  <si>
    <t>ETD / ETA</t>
  </si>
  <si>
    <t>Container / Vehicle No.</t>
  </si>
  <si>
    <t>B/L - AWB No.</t>
  </si>
  <si>
    <t>PO / Contract No.</t>
  </si>
  <si>
    <t>Currency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</si>
  <si>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</si>
  <si>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</si>
  <si>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</si>
  <si>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</si>
  <si>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</si>
  <si>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</si>
  <si>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</si>
  <si>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</si>
  <si>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</si>
  <si>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L
(cm)</t>
  </si>
  <si>
    <t>W
(cm)</t>
  </si>
  <si>
    <t>H
(cm)</t>
  </si>
  <si>
    <t>Net Wt
(kg)</t>
  </si>
  <si>
    <t>Gross Wt
(kg)</t>
  </si>
  <si>
    <t>Volume
(m³)</t>
  </si>
  <si>
    <t>TOTAL / TOPLAM</t>
  </si>
  <si>
    <t>Total Packages</t>
  </si>
  <si>
    <t>Total Qty</t>
  </si>
  <si>
    <t>Total Net Wt (kg)</t>
  </si>
  <si>
    <t>Total Gross Wt (kg)</t>
  </si>
  <si>
    <t>Total Volume (m³)</t>
  </si>
  <si>
    <t>PCS</t>
  </si>
  <si>
    <t>Case</t>
  </si>
  <si>
    <t>Order No. / Sipariş No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</si>
  <si>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</si>
  <si>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</si>
  <si>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>Yayın Tarihi</t>
  </si>
  <si>
    <t>Doküman No</t>
  </si>
  <si>
    <t>Revizyon Tarihi</t>
  </si>
  <si>
    <t>Revizyon No</t>
  </si>
  <si>
    <t>-</t>
  </si>
  <si>
    <t>00</t>
  </si>
  <si>
    <t>P07-F07</t>
  </si>
  <si>
    <t xml:space="preserve">EXPANSION TANK </t>
  </si>
  <si>
    <t>VTH1500 THERMAL OIL BOILER</t>
  </si>
  <si>
    <t>BAG</t>
  </si>
  <si>
    <t>VTH 1500 THERMAL OIL BOILER</t>
  </si>
  <si>
    <t>ARKU 15007 22U1</t>
  </si>
  <si>
    <t>pcs</t>
  </si>
  <si>
    <t xml:space="preserve">VİMPO MAKİNE A.Ş. </t>
  </si>
  <si>
    <t>VMP-S01064-B7</t>
  </si>
  <si>
    <t>ATP / Africa Road for Asphalt and Petroleum Insulation Industries</t>
  </si>
  <si>
    <t>CIF</t>
  </si>
  <si>
    <t>BENGHAZI</t>
  </si>
  <si>
    <t>EVYAP</t>
  </si>
  <si>
    <t>TÜRKİYE</t>
  </si>
  <si>
    <t>ARKU 150066</t>
  </si>
  <si>
    <t>TR</t>
  </si>
  <si>
    <t>ARKU 1203024</t>
  </si>
  <si>
    <t>ELBOW 1 (660 pcs)</t>
  </si>
  <si>
    <t>ELBOW 2 (280 pcs)</t>
  </si>
  <si>
    <t>IHR2026000000067</t>
  </si>
  <si>
    <t>KAPTAN AYTAC A /LTS28S26</t>
  </si>
  <si>
    <t>8419.89.98.90.19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</si>
</sst>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11" x14ac:knownFonts="1">
    <font>
      <sz val="11"/>
      <color theme="1"/>
      <name val="Calibri"/>
      <family val="2"/>
      <scheme val="minor"/>
    </font>
    <font>
      <b/>
      <sz val="14"/>
      <color rgb="FF666666"/>
      <name val="Calibri"/>
    </font>
    <font>
      <b/>
      <sz val="14"/>
      <color rgb="FF1F4E78"/>
      <name val="Calibri"/>
    </font>
    <font>
      <sz val="10"/>
      <color rgb="FF666666"/>
      <name val="Calibri"/>
    </font>
    <font>
      <b/>
      <sz val="18"/>
      <color rgb="FF1F4E78"/>
      <name val="Calibri"/>
    </font>
    <font>
      <b/>
      <sz val="10"/>
      <color rgb="FFFFFFFF"/>
      <name val="Calibri"/>
    </font>
    <font>
      <b/>
      <sz val="10"/>
      <color rgb="FF1F4E78"/>
      <name val="Calibri"/>
    </font>
    <font>
      <sz val="10"/>
      <color rgb="FF0000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7CC"/>
      </patternFill>
    </fill>
  </fills>
  <borders count="33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medium">
        <color rgb="FF1F4E78"/>
      </right>
      <top/>
      <bottom style="medium">
        <color rgb="FF1F4E78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A6A6A6"/>
      </bottom>
      <diagonal/>
    </border>
    <border>
      <left style="thin">
        <color indexed="64"/>
      </left>
      <right/>
      <top style="thin">
        <color rgb="FFA6A6A6"/>
      </top>
      <bottom style="thin">
        <color rgb="FFA6A6A6"/>
      </bottom>
      <diagonal/>
    </border>
    <border>
      <left style="thin">
        <color indexed="64"/>
      </left>
      <right/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medium">
        <color rgb="FF1F4E78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7" fillId="6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4" fontId="7" fillId="6" borderId="2" xfId="0" applyNumberFormat="1" applyFont="1" applyFill="1" applyBorder="1" applyAlignment="1">
      <alignment horizontal="right" vertical="center"/>
    </xf>
    <xf numFmtId="3" fontId="7" fillId="6" borderId="2" xfId="0" applyNumberFormat="1" applyFont="1" applyFill="1" applyBorder="1" applyAlignment="1">
      <alignment horizontal="right" vertical="center"/>
    </xf>
    <xf numFmtId="4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4" fontId="9" fillId="2" borderId="2" xfId="0" applyNumberFormat="1" applyFont="1" applyFill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0" fontId="7" fillId="6" borderId="9" xfId="0" applyFont="1" applyFill="1" applyBorder="1" applyAlignment="1">
      <alignment horizontal="left" vertical="center" wrapText="1"/>
    </xf>
    <xf numFmtId="165" fontId="7" fillId="6" borderId="9" xfId="0" applyNumberFormat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9" fillId="2" borderId="9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 wrapText="1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right" vertical="center"/>
    </xf>
    <xf numFmtId="0" fontId="0" fillId="0" borderId="1" xfId="0" applyBorder="1"/>
    <xf numFmtId="0" fontId="7" fillId="6" borderId="2" xfId="0" applyFont="1" applyFill="1" applyBorder="1" applyAlignment="1">
      <alignment horizontal="left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7" fillId="6" borderId="32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165" fontId="7" fillId="6" borderId="2" xfId="0" applyNumberFormat="1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3" fontId="10" fillId="6" borderId="28" xfId="0" applyNumberFormat="1" applyFont="1" applyFill="1" applyBorder="1" applyAlignment="1">
      <alignment horizontal="left" vertical="center"/>
    </xf>
    <xf numFmtId="3" fontId="10" fillId="6" borderId="22" xfId="0" applyNumberFormat="1" applyFont="1" applyFill="1" applyBorder="1" applyAlignment="1">
      <alignment horizontal="left" vertical="center"/>
    </xf>
    <xf numFmtId="14" fontId="10" fillId="6" borderId="18" xfId="0" applyNumberFormat="1" applyFont="1" applyFill="1" applyBorder="1" applyAlignment="1">
      <alignment horizontal="left" vertical="center" wrapText="1"/>
    </xf>
    <xf numFmtId="14" fontId="10" fillId="6" borderId="19" xfId="0" applyNumberFormat="1" applyFont="1" applyFill="1" applyBorder="1" applyAlignment="1">
      <alignment horizontal="left" vertical="center" wrapText="1"/>
    </xf>
    <xf numFmtId="3" fontId="10" fillId="6" borderId="29" xfId="0" applyNumberFormat="1" applyFont="1" applyFill="1" applyBorder="1" applyAlignment="1">
      <alignment horizontal="left" vertical="center"/>
    </xf>
    <xf numFmtId="3" fontId="10" fillId="6" borderId="23" xfId="0" applyNumberFormat="1" applyFont="1" applyFill="1" applyBorder="1" applyAlignment="1">
      <alignment horizontal="left" vertical="center"/>
    </xf>
    <xf numFmtId="165" fontId="10" fillId="6" borderId="2" xfId="0" applyNumberFormat="1" applyFont="1" applyFill="1" applyBorder="1" applyAlignment="1">
      <alignment horizontal="left" vertical="center" wrapText="1"/>
    </xf>
    <xf numFmtId="0" fontId="10" fillId="6" borderId="9" xfId="0" applyFont="1" applyFill="1" applyBorder="1" applyAlignment="1">
      <alignment horizontal="left" vertical="center" wrapText="1"/>
    </xf>
    <xf numFmtId="3" fontId="10" fillId="6" borderId="30" xfId="0" applyNumberFormat="1" applyFont="1" applyFill="1" applyBorder="1" applyAlignment="1">
      <alignment horizontal="left" vertical="center"/>
    </xf>
    <xf numFmtId="3" fontId="10" fillId="6" borderId="24" xfId="0" applyNumberFormat="1" applyFont="1" applyFill="1" applyBorder="1" applyAlignment="1">
      <alignment horizontal="left" vertical="center"/>
    </xf>
    <xf numFmtId="49" fontId="10" fillId="6" borderId="20" xfId="0" applyNumberFormat="1" applyFont="1" applyFill="1" applyBorder="1" applyAlignment="1">
      <alignment horizontal="left" vertical="center" wrapText="1"/>
    </xf>
    <xf numFmtId="49" fontId="10" fillId="6" borderId="2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53AA2386-0872-B609-B92E-9C91901E06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27F0F4C9-381D-C088-0B6B-43AC545168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2A321FD9-81D2-B4FD-8B76-B91E330BFA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39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F15C7718-04DC-CFC4-9F91-41DEE7D86B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11E8406A-491B-AC41-F593-121723C2B3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D51A42-8A5B-D96A-59F5-006FB995C7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30D29F7B-2AC9-85FE-658E-9BBC948177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76057034-C5A2-6919-A71B-045AEBF6C6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803DE2DF-5D1E-2B1A-0A55-FA941A2B76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739DCF7B-0F82-6F10-51D0-968592BB5E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0476BF09-0D62-D8C0-A79D-EB8E633FD1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C5E50CD8-7AA5-4D44-823F-CA442512EB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467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A9DFACBB-22CB-4F18-989E-28C5310C96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16215" cy="7419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AE95CE7-5DD6-4CE2-A440-345D6FC531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FAF1E8B-B967-471E-8686-47A93463EF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2E6BA5E6-FAB0-40F1-A8A8-22EA128984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1998FAFE-72B6-403E-9328-0C8BAC0B3B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743F25D6-6C81-4606-801D-97A9BAF3BF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54443435-A13C-4C93-85CA-65ADA27FEC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68C1FB8F-AEA3-578A-202B-F935756264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C1E96F9F-67CA-B1EC-C51A-6BC9FCA581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71752E55-46DE-439F-97B6-1332AA77CB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467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17BC395-DF6E-4938-B0A5-03B7D88C0B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816215" cy="7419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FEFFAB85-525C-42A0-A4D1-FB1878BADA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DA7D100-AB8A-40AC-9DB2-5A9A3D3B60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7D9A0C59-3E26-417E-9439-D01789F886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C4C3BBA0-2703-4D40-A7F3-C5DE5499CB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7B659619-EBEE-4C62-9942-52861A909A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E52A1AD6-0CD3-48D1-BD67-258B6001D2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EA503DF4-B501-C840-B44E-7CAF60A803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87C2979E-4D3B-9B40-5625-9E3B066FC0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8"/>
  <sheetViews>
    <sheetView showGridLines="0" topLeftCell="A3" zoomScale="55" zoomScaleNormal="55" workbookViewId="0">
      <selection activeCell="E13" sqref="E13:E14"/>
    </sheetView>
  </sheetViews>
  <sheetFormatPr defaultRowHeight="14.5" x14ac:dyDescent="0.35"/>
  <cols>
    <col min="1" max="1" width="8" customWidth="1"/>
    <col min="2" max="2" width="10.6328125" customWidth="1"/>
    <col min="3" max="3" width="12.453125" customWidth="1"/>
    <col min="4" max="4" width="25.54296875" customWidth="1"/>
    <col min="5" max="5" width="24.6328125" customWidth="1"/>
    <col min="6" max="6" width="8.7265625" customWidth="1"/>
    <col min="7" max="8" width="8" customWidth="1"/>
    <col min="9" max="9" width="10.26953125" customWidth="1"/>
    <col min="10" max="11" width="9" customWidth="1"/>
    <col min="12" max="13" width="8.81640625" customWidth="1"/>
    <col min="14" max="14" width="11.54296875" customWidth="1"/>
    <col min="15" max="15" width="9.90625" customWidth="1"/>
  </cols>
  <sheetData>
    <row r="1" spans="1:15" ht="17.25" customHeight="1" x14ac:dyDescent="0.35">
      <c r="A1" s="44" t="e" vm="1">
        <v>#VALUE!</v>
      </c>
      <c r="B1" s="45"/>
      <c r="C1" s="46"/>
      <c r="D1" s="53" t="s">
        <v>0</v>
      </c>
      <c r="E1" s="54"/>
      <c r="F1" s="54"/>
      <c r="G1" s="54"/>
      <c r="H1" s="54"/>
      <c r="I1" s="54"/>
      <c r="J1" s="54"/>
      <c r="K1" s="55"/>
      <c r="L1" s="62" t="s">
        <v>44</v>
      </c>
      <c r="M1" s="63"/>
      <c r="N1" s="64">
        <v>46246</v>
      </c>
      <c r="O1" s="65"/>
    </row>
    <row r="2" spans="1:15" ht="18" customHeight="1" x14ac:dyDescent="0.35">
      <c r="A2" s="47"/>
      <c r="B2" s="48"/>
      <c r="C2" s="49"/>
      <c r="D2" s="56"/>
      <c r="E2" s="57"/>
      <c r="F2" s="57"/>
      <c r="G2" s="57"/>
      <c r="H2" s="57"/>
      <c r="I2" s="57"/>
      <c r="J2" s="57"/>
      <c r="K2" s="58"/>
      <c r="L2" s="66" t="s">
        <v>45</v>
      </c>
      <c r="M2" s="67"/>
      <c r="N2" s="68" t="s">
        <v>50</v>
      </c>
      <c r="O2" s="69"/>
    </row>
    <row r="3" spans="1:15" ht="16.5" customHeight="1" x14ac:dyDescent="0.35">
      <c r="A3" s="47"/>
      <c r="B3" s="48"/>
      <c r="C3" s="49"/>
      <c r="D3" s="56"/>
      <c r="E3" s="57"/>
      <c r="F3" s="57"/>
      <c r="G3" s="57"/>
      <c r="H3" s="57"/>
      <c r="I3" s="57"/>
      <c r="J3" s="57"/>
      <c r="K3" s="58"/>
      <c r="L3" s="66" t="s">
        <v>46</v>
      </c>
      <c r="M3" s="67"/>
      <c r="N3" s="68" t="s">
        <v>48</v>
      </c>
      <c r="O3" s="69"/>
    </row>
    <row r="4" spans="1:15" ht="15.75" customHeight="1" thickBot="1" x14ac:dyDescent="0.4">
      <c r="A4" s="50"/>
      <c r="B4" s="51"/>
      <c r="C4" s="52"/>
      <c r="D4" s="59"/>
      <c r="E4" s="60"/>
      <c r="F4" s="60"/>
      <c r="G4" s="60"/>
      <c r="H4" s="60"/>
      <c r="I4" s="60"/>
      <c r="J4" s="60"/>
      <c r="K4" s="61"/>
      <c r="L4" s="70" t="s">
        <v>47</v>
      </c>
      <c r="M4" s="71"/>
      <c r="N4" s="72" t="s">
        <v>49</v>
      </c>
      <c r="O4" s="73"/>
    </row>
    <row r="5" spans="1:15" ht="20" customHeight="1" thickBot="1" x14ac:dyDescent="0.4">
      <c r="A5" s="40" t="s">
        <v>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2"/>
    </row>
    <row r="6" spans="1:15" ht="22.25" customHeight="1" x14ac:dyDescent="0.35">
      <c r="A6" s="32" t="s">
        <v>41</v>
      </c>
      <c r="B6" s="33"/>
      <c r="C6" s="36" t="s">
        <v>58</v>
      </c>
      <c r="D6" s="36"/>
      <c r="E6" s="33" t="s">
        <v>2</v>
      </c>
      <c r="F6" s="33"/>
      <c r="G6" s="43">
        <v>46246</v>
      </c>
      <c r="H6" s="36"/>
      <c r="I6" s="33" t="s">
        <v>3</v>
      </c>
      <c r="J6" s="33"/>
      <c r="K6" s="36" t="s">
        <v>69</v>
      </c>
      <c r="L6" s="36"/>
      <c r="M6" s="33" t="s">
        <v>4</v>
      </c>
      <c r="N6" s="33"/>
      <c r="O6" s="11" t="s">
        <v>60</v>
      </c>
    </row>
    <row r="7" spans="1:15" ht="22.25" customHeight="1" x14ac:dyDescent="0.35">
      <c r="A7" s="32" t="s">
        <v>5</v>
      </c>
      <c r="B7" s="33"/>
      <c r="C7" s="36" t="s">
        <v>57</v>
      </c>
      <c r="D7" s="36"/>
      <c r="E7" s="36"/>
      <c r="F7" s="36"/>
      <c r="G7" s="36"/>
      <c r="H7" s="36"/>
      <c r="I7" s="33" t="s">
        <v>6</v>
      </c>
      <c r="J7" s="33"/>
      <c r="K7" s="36" t="s">
        <v>59</v>
      </c>
      <c r="L7" s="36"/>
      <c r="M7" s="36"/>
      <c r="N7" s="36"/>
      <c r="O7" s="39"/>
    </row>
    <row r="8" spans="1:15" ht="22.25" customHeight="1" x14ac:dyDescent="0.35">
      <c r="A8" s="32" t="s">
        <v>7</v>
      </c>
      <c r="B8" s="33"/>
      <c r="C8" s="36"/>
      <c r="D8" s="36"/>
      <c r="E8" s="36"/>
      <c r="F8" s="36"/>
      <c r="G8" s="36"/>
      <c r="H8" s="36"/>
      <c r="I8" s="33" t="s">
        <v>8</v>
      </c>
      <c r="J8" s="33"/>
      <c r="K8" s="36" t="s">
        <v>63</v>
      </c>
      <c r="L8" s="36"/>
      <c r="M8" s="33" t="s">
        <v>9</v>
      </c>
      <c r="N8" s="33"/>
      <c r="O8" s="11"/>
    </row>
    <row r="9" spans="1:15" ht="24.5" customHeight="1" x14ac:dyDescent="0.35">
      <c r="A9" s="32" t="s">
        <v>10</v>
      </c>
      <c r="B9" s="33"/>
      <c r="C9" s="36" t="s">
        <v>62</v>
      </c>
      <c r="D9" s="36"/>
      <c r="E9" s="33" t="s">
        <v>11</v>
      </c>
      <c r="F9" s="33"/>
      <c r="G9" s="36" t="s">
        <v>61</v>
      </c>
      <c r="H9" s="36"/>
      <c r="I9" s="33" t="s">
        <v>12</v>
      </c>
      <c r="J9" s="33"/>
      <c r="K9" s="36" t="s">
        <v>70</v>
      </c>
      <c r="L9" s="36"/>
      <c r="M9" s="33" t="s">
        <v>13</v>
      </c>
      <c r="N9" s="33"/>
      <c r="O9" s="12">
        <v>46265</v>
      </c>
    </row>
    <row r="10" spans="1:15" ht="22.25" customHeight="1" x14ac:dyDescent="0.35">
      <c r="A10" s="32" t="s">
        <v>14</v>
      </c>
      <c r="B10" s="33"/>
      <c r="C10" s="36" t="s">
        <v>64</v>
      </c>
      <c r="D10" s="36"/>
      <c r="E10" s="33" t="s">
        <v>15</v>
      </c>
      <c r="F10" s="33"/>
      <c r="G10" s="36"/>
      <c r="H10" s="36"/>
      <c r="I10" s="33" t="s">
        <v>16</v>
      </c>
      <c r="J10" s="33"/>
      <c r="K10" s="36"/>
      <c r="L10" s="36"/>
      <c r="M10" s="33" t="s">
        <v>17</v>
      </c>
      <c r="N10" s="33"/>
      <c r="O10" s="11"/>
    </row>
    <row r="11" spans="1:15" ht="15" thickBot="1" x14ac:dyDescent="0.4">
      <c r="A11" s="9"/>
      <c r="O11" s="10"/>
    </row>
    <row r="12" spans="1:15" ht="34.2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21" customHeight="1" x14ac:dyDescent="0.35">
      <c r="A13" s="15">
        <v>1</v>
      </c>
      <c r="B13" s="19">
        <v>1</v>
      </c>
      <c r="C13" s="19"/>
      <c r="D13" s="1" t="s">
        <v>54</v>
      </c>
      <c r="E13" s="37" t="s">
        <v>71</v>
      </c>
      <c r="F13" s="19" t="s">
        <v>65</v>
      </c>
      <c r="G13" s="20">
        <v>1</v>
      </c>
      <c r="H13" s="19" t="s">
        <v>39</v>
      </c>
      <c r="I13" s="19" t="s">
        <v>40</v>
      </c>
      <c r="J13" s="21">
        <v>445</v>
      </c>
      <c r="K13" s="21">
        <v>222</v>
      </c>
      <c r="L13" s="21">
        <v>250</v>
      </c>
      <c r="M13" s="20"/>
      <c r="N13" s="20">
        <v>6990</v>
      </c>
      <c r="O13" s="22">
        <f t="shared" ref="O13:O22" si="0">IF(COUNTA(J13:L13)=3,J13*K13*L13/1000000,"")</f>
        <v>24.697500000000002</v>
      </c>
    </row>
    <row r="14" spans="1:15" ht="21" customHeight="1" x14ac:dyDescent="0.35">
      <c r="A14" s="15">
        <v>2</v>
      </c>
      <c r="B14" s="19">
        <v>2</v>
      </c>
      <c r="C14" s="19"/>
      <c r="D14" s="1" t="s">
        <v>51</v>
      </c>
      <c r="E14" s="38"/>
      <c r="F14" s="19" t="s">
        <v>65</v>
      </c>
      <c r="G14" s="20">
        <v>1</v>
      </c>
      <c r="H14" s="19" t="s">
        <v>39</v>
      </c>
      <c r="I14" s="19" t="s">
        <v>40</v>
      </c>
      <c r="J14" s="21">
        <v>225</v>
      </c>
      <c r="K14" s="21">
        <v>80</v>
      </c>
      <c r="L14" s="21">
        <v>80</v>
      </c>
      <c r="M14" s="20"/>
      <c r="N14" s="20">
        <v>150</v>
      </c>
      <c r="O14" s="22">
        <f t="shared" si="0"/>
        <v>1.44</v>
      </c>
    </row>
    <row r="15" spans="1:15" ht="21" customHeight="1" x14ac:dyDescent="0.35">
      <c r="A15" s="15">
        <v>3</v>
      </c>
      <c r="B15" s="19">
        <v>3</v>
      </c>
      <c r="C15" s="19"/>
      <c r="D15" s="1" t="s">
        <v>67</v>
      </c>
      <c r="E15" s="1"/>
      <c r="F15" s="19" t="s">
        <v>65</v>
      </c>
      <c r="G15" s="20">
        <v>1</v>
      </c>
      <c r="H15" s="19" t="s">
        <v>39</v>
      </c>
      <c r="I15" s="19" t="s">
        <v>53</v>
      </c>
      <c r="J15" s="21">
        <v>530</v>
      </c>
      <c r="K15" s="21">
        <v>140</v>
      </c>
      <c r="L15" s="21">
        <v>110</v>
      </c>
      <c r="M15" s="20"/>
      <c r="N15" s="20">
        <v>985</v>
      </c>
      <c r="O15" s="22">
        <f t="shared" si="0"/>
        <v>8.1620000000000008</v>
      </c>
    </row>
    <row r="16" spans="1:15" ht="21" customHeight="1" x14ac:dyDescent="0.35">
      <c r="A16" s="15">
        <v>4</v>
      </c>
      <c r="B16" s="19">
        <v>4</v>
      </c>
      <c r="C16" s="1"/>
      <c r="D16" s="1" t="s">
        <v>68</v>
      </c>
      <c r="E16" s="1"/>
      <c r="F16" s="19" t="s">
        <v>65</v>
      </c>
      <c r="G16" s="20">
        <v>1</v>
      </c>
      <c r="H16" s="19" t="s">
        <v>39</v>
      </c>
      <c r="I16" s="19" t="s">
        <v>53</v>
      </c>
      <c r="J16" s="21">
        <v>430</v>
      </c>
      <c r="K16" s="21">
        <v>60</v>
      </c>
      <c r="L16" s="21">
        <v>83</v>
      </c>
      <c r="M16" s="20"/>
      <c r="N16" s="20">
        <v>395</v>
      </c>
      <c r="O16" s="22">
        <f t="shared" si="0"/>
        <v>2.1414</v>
      </c>
    </row>
    <row r="17" spans="1:15" ht="21" customHeight="1" x14ac:dyDescent="0.35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>IF(COUNTA(J18:L18)=3,J18*K18*L18/1000000,"")</f>
        <v/>
      </c>
    </row>
    <row r="18" spans="1:15" ht="21" customHeight="1" x14ac:dyDescent="0.35">
      <c r="A18" s="15">
        <v>6</v>
      </c>
      <c r="B18" s="1"/>
      <c r="C18" s="1"/>
      <c r="D18" s="1"/>
      <c r="E18" s="1"/>
      <c r="F18" s="1"/>
      <c r="G18" s="3"/>
      <c r="H18" s="1"/>
      <c r="I18" s="1"/>
      <c r="J18" s="4"/>
      <c r="K18" s="4"/>
      <c r="L18" s="4"/>
      <c r="M18" s="3"/>
      <c r="N18" s="3"/>
      <c r="O18" s="16" t="str">
        <f>IF(COUNTA(J19:L19)=3,J19*K19*L19/1000000,"")</f>
        <v/>
      </c>
    </row>
    <row r="19" spans="1:15" ht="21" customHeight="1" x14ac:dyDescent="0.35">
      <c r="A19" s="15">
        <v>7</v>
      </c>
      <c r="B19" s="1"/>
      <c r="C19" s="1"/>
      <c r="D19" s="1"/>
      <c r="E19" s="1"/>
      <c r="F19" s="1"/>
      <c r="G19" s="3"/>
      <c r="H19" s="1"/>
      <c r="I19" s="1"/>
      <c r="J19" s="4"/>
      <c r="K19" s="4"/>
      <c r="L19" s="4"/>
      <c r="M19" s="3"/>
      <c r="N19" s="3"/>
      <c r="O19" s="16" t="str">
        <f>IF(COUNTA(#REF!)=3,#REF!*#REF!*#REF!/1000000,"")</f>
        <v/>
      </c>
    </row>
    <row r="20" spans="1:15" ht="21" customHeight="1" x14ac:dyDescent="0.35">
      <c r="A20" s="15">
        <v>8</v>
      </c>
      <c r="B20" s="1"/>
      <c r="C20" s="1"/>
      <c r="D20" s="1"/>
      <c r="E20" s="1"/>
      <c r="F20" s="1"/>
      <c r="G20" s="3"/>
      <c r="H20" s="1"/>
      <c r="I20" s="1"/>
      <c r="J20" s="4"/>
      <c r="K20" s="4"/>
      <c r="L20" s="4"/>
      <c r="M20" s="3"/>
      <c r="N20" s="3"/>
      <c r="O20" s="16" t="str">
        <f t="shared" si="0"/>
        <v/>
      </c>
    </row>
    <row r="21" spans="1:15" ht="21" customHeight="1" x14ac:dyDescent="0.35">
      <c r="A21" s="15">
        <v>9</v>
      </c>
      <c r="B21" s="1"/>
      <c r="C21" s="1"/>
      <c r="D21" s="1"/>
      <c r="E21" s="1"/>
      <c r="F21" s="1"/>
      <c r="G21" s="3"/>
      <c r="H21" s="1"/>
      <c r="I21" s="1"/>
      <c r="J21" s="4"/>
      <c r="K21" s="4"/>
      <c r="L21" s="4"/>
      <c r="M21" s="3"/>
      <c r="N21" s="3"/>
      <c r="O21" s="16" t="str">
        <f t="shared" si="0"/>
        <v/>
      </c>
    </row>
    <row r="22" spans="1:15" ht="21" customHeight="1" thickBot="1" x14ac:dyDescent="0.4">
      <c r="A22" s="15">
        <v>10</v>
      </c>
      <c r="B22" s="1"/>
      <c r="C22" s="1"/>
      <c r="D22" s="1"/>
      <c r="E22" s="1"/>
      <c r="F22" s="1"/>
      <c r="G22" s="3"/>
      <c r="H22" s="1"/>
      <c r="I22" s="1"/>
      <c r="J22" s="4"/>
      <c r="K22" s="4"/>
      <c r="L22" s="4"/>
      <c r="M22" s="3"/>
      <c r="N22" s="3"/>
      <c r="O22" s="16" t="str">
        <f t="shared" si="0"/>
        <v/>
      </c>
    </row>
    <row r="23" spans="1:15" ht="22.25" customHeight="1" thickBot="1" x14ac:dyDescent="0.4">
      <c r="A23" s="34" t="s">
        <v>33</v>
      </c>
      <c r="B23" s="35"/>
      <c r="C23" s="35"/>
      <c r="D23" s="35"/>
      <c r="E23" s="35"/>
      <c r="F23" s="35"/>
      <c r="G23" s="5">
        <f>SUM(G13:G22)</f>
        <v>4</v>
      </c>
      <c r="H23" s="6"/>
      <c r="I23" s="6"/>
      <c r="J23" s="6"/>
      <c r="K23" s="6"/>
      <c r="L23" s="6"/>
      <c r="M23" s="5">
        <f>SUM(M13:M22)</f>
        <v>0</v>
      </c>
      <c r="N23" s="5">
        <f>SUM(N13:N22)</f>
        <v>8520</v>
      </c>
      <c r="O23" s="17">
        <f>SUM(O13:O22)</f>
        <v>36.440899999999999</v>
      </c>
    </row>
    <row r="24" spans="1:15" x14ac:dyDescent="0.35">
      <c r="A24" s="9"/>
      <c r="O24" s="10"/>
    </row>
    <row r="25" spans="1:15" ht="22.25" customHeight="1" thickBot="1" x14ac:dyDescent="0.4">
      <c r="A25" s="32" t="s">
        <v>34</v>
      </c>
      <c r="B25" s="33"/>
      <c r="C25" s="7">
        <f>COUNTA(B13:B22)</f>
        <v>4</v>
      </c>
      <c r="D25" s="33" t="s">
        <v>35</v>
      </c>
      <c r="E25" s="33"/>
      <c r="F25" s="8">
        <f>SUM(G13:G22)</f>
        <v>4</v>
      </c>
      <c r="G25" s="33" t="s">
        <v>36</v>
      </c>
      <c r="H25" s="33"/>
      <c r="I25" s="8">
        <f>SUM(M13:M22)</f>
        <v>0</v>
      </c>
      <c r="J25" s="33" t="s">
        <v>37</v>
      </c>
      <c r="K25" s="33"/>
      <c r="L25" s="8">
        <f>SUM(N13:N22)</f>
        <v>8520</v>
      </c>
      <c r="M25" s="33" t="s">
        <v>38</v>
      </c>
      <c r="N25" s="33"/>
      <c r="O25" s="18">
        <f>SUM(O13:O22)</f>
        <v>36.440899999999999</v>
      </c>
    </row>
    <row r="26" spans="1:15" ht="18.5" x14ac:dyDescent="0.35">
      <c r="A26" s="23" t="s">
        <v>42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</row>
    <row r="27" spans="1:15" ht="14.4" customHeight="1" x14ac:dyDescent="0.35">
      <c r="A27" s="26" t="s">
        <v>43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</row>
    <row r="28" spans="1:15" ht="15" thickBot="1" x14ac:dyDescent="0.4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1"/>
    </row>
  </sheetData>
  <mergeCells count="50">
    <mergeCell ref="N1:O1"/>
    <mergeCell ref="N2:O2"/>
    <mergeCell ref="N3:O3"/>
    <mergeCell ref="N4:O4"/>
    <mergeCell ref="A1:C4"/>
    <mergeCell ref="A26:O26"/>
    <mergeCell ref="A27:O28"/>
    <mergeCell ref="D25:E25"/>
    <mergeCell ref="G25:H25"/>
    <mergeCell ref="J25:K25"/>
    <mergeCell ref="A25:B25"/>
    <mergeCell ref="A6:B6"/>
    <mergeCell ref="G10:H10"/>
    <mergeCell ref="M10:N10"/>
    <mergeCell ref="E9:F9"/>
    <mergeCell ref="M25:N25"/>
    <mergeCell ref="A23:F23"/>
    <mergeCell ref="C10:D10"/>
    <mergeCell ref="C7:H7"/>
    <mergeCell ref="E6:F6"/>
    <mergeCell ref="M8:N8"/>
    <mergeCell ref="K6:L6"/>
    <mergeCell ref="I10:J10"/>
    <mergeCell ref="A10:B10"/>
    <mergeCell ref="K10:L10"/>
    <mergeCell ref="I8:J8"/>
    <mergeCell ref="A8:B8"/>
    <mergeCell ref="M6:N6"/>
    <mergeCell ref="K8:L8"/>
    <mergeCell ref="I7:J7"/>
    <mergeCell ref="K9:L9"/>
    <mergeCell ref="G9:H9"/>
    <mergeCell ref="K7:O7"/>
    <mergeCell ref="M9:N9"/>
    <mergeCell ref="E13:E14"/>
    <mergeCell ref="E10:F10"/>
    <mergeCell ref="D1:K4"/>
    <mergeCell ref="L1:M1"/>
    <mergeCell ref="L2:M2"/>
    <mergeCell ref="L3:M3"/>
    <mergeCell ref="L4:M4"/>
    <mergeCell ref="A5:O5"/>
    <mergeCell ref="C8:H8"/>
    <mergeCell ref="A9:B9"/>
    <mergeCell ref="I9:J9"/>
    <mergeCell ref="G6:H6"/>
    <mergeCell ref="C9:D9"/>
    <mergeCell ref="C6:D6"/>
    <mergeCell ref="I6:J6"/>
    <mergeCell ref="A7:B7"/>
  </mergeCells>
  <dataValidations count="1">
    <dataValidation type="list" allowBlank="1" sqref="H13:I22" xr:uid="{00000000-0002-0000-0000-000000000000}">
      <formula1>#REF!</formula1>
    </dataValidation>
  </dataValidations>
  <pageMargins left="0.7" right="0.7" top="0.75" bottom="0.75" header="0.3" footer="0.3"/>
  <pageSetup paperSize="9" scale="48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D8E5-2DE4-4C70-8463-0829AD416C45}">
  <sheetPr>
    <pageSetUpPr fitToPage="1"/>
  </sheetPr>
  <dimension ref="A1:O28"/>
  <sheetViews>
    <sheetView showGridLines="0" topLeftCell="A4" zoomScale="55" zoomScaleNormal="55" workbookViewId="0">
      <selection activeCell="E13" sqref="E13:E14"/>
    </sheetView>
  </sheetViews>
  <sheetFormatPr defaultRowHeight="14.5" x14ac:dyDescent="0.35"/>
  <cols>
    <col min="1" max="1" width="8" customWidth="1"/>
    <col min="2" max="2" width="10.6328125" customWidth="1"/>
    <col min="3" max="3" width="12.453125" customWidth="1"/>
    <col min="4" max="4" width="25.54296875" customWidth="1"/>
    <col min="5" max="5" width="24.6328125" customWidth="1"/>
    <col min="6" max="6" width="8.7265625" customWidth="1"/>
    <col min="7" max="8" width="8" customWidth="1"/>
    <col min="9" max="9" width="10.26953125" customWidth="1"/>
    <col min="10" max="11" width="9" customWidth="1"/>
    <col min="12" max="13" width="8.81640625" customWidth="1"/>
    <col min="14" max="14" width="11.54296875" customWidth="1"/>
    <col min="15" max="15" width="9.90625" customWidth="1"/>
  </cols>
  <sheetData>
    <row r="1" spans="1:15" ht="17.25" customHeight="1" x14ac:dyDescent="0.35">
      <c r="A1" s="44" t="e" vm="1">
        <v>#VALUE!</v>
      </c>
      <c r="B1" s="45"/>
      <c r="C1" s="46"/>
      <c r="D1" s="53" t="s">
        <v>0</v>
      </c>
      <c r="E1" s="54"/>
      <c r="F1" s="54"/>
      <c r="G1" s="54"/>
      <c r="H1" s="54"/>
      <c r="I1" s="54"/>
      <c r="J1" s="54"/>
      <c r="K1" s="55"/>
      <c r="L1" s="62" t="s">
        <v>44</v>
      </c>
      <c r="M1" s="63"/>
      <c r="N1" s="64">
        <v>46246</v>
      </c>
      <c r="O1" s="65"/>
    </row>
    <row r="2" spans="1:15" ht="18" customHeight="1" x14ac:dyDescent="0.35">
      <c r="A2" s="47"/>
      <c r="B2" s="48"/>
      <c r="C2" s="49"/>
      <c r="D2" s="56"/>
      <c r="E2" s="57"/>
      <c r="F2" s="57"/>
      <c r="G2" s="57"/>
      <c r="H2" s="57"/>
      <c r="I2" s="57"/>
      <c r="J2" s="57"/>
      <c r="K2" s="58"/>
      <c r="L2" s="66" t="s">
        <v>45</v>
      </c>
      <c r="M2" s="67"/>
      <c r="N2" s="68" t="s">
        <v>50</v>
      </c>
      <c r="O2" s="69"/>
    </row>
    <row r="3" spans="1:15" ht="16.5" customHeight="1" x14ac:dyDescent="0.35">
      <c r="A3" s="47"/>
      <c r="B3" s="48"/>
      <c r="C3" s="49"/>
      <c r="D3" s="56"/>
      <c r="E3" s="57"/>
      <c r="F3" s="57"/>
      <c r="G3" s="57"/>
      <c r="H3" s="57"/>
      <c r="I3" s="57"/>
      <c r="J3" s="57"/>
      <c r="K3" s="58"/>
      <c r="L3" s="66" t="s">
        <v>46</v>
      </c>
      <c r="M3" s="67"/>
      <c r="N3" s="68" t="s">
        <v>48</v>
      </c>
      <c r="O3" s="69"/>
    </row>
    <row r="4" spans="1:15" ht="15.75" customHeight="1" thickBot="1" x14ac:dyDescent="0.4">
      <c r="A4" s="50"/>
      <c r="B4" s="51"/>
      <c r="C4" s="52"/>
      <c r="D4" s="59"/>
      <c r="E4" s="60"/>
      <c r="F4" s="60"/>
      <c r="G4" s="60"/>
      <c r="H4" s="60"/>
      <c r="I4" s="60"/>
      <c r="J4" s="60"/>
      <c r="K4" s="61"/>
      <c r="L4" s="70" t="s">
        <v>47</v>
      </c>
      <c r="M4" s="71"/>
      <c r="N4" s="72" t="s">
        <v>49</v>
      </c>
      <c r="O4" s="73"/>
    </row>
    <row r="5" spans="1:15" ht="20" customHeight="1" thickBot="1" x14ac:dyDescent="0.4">
      <c r="A5" s="40" t="s">
        <v>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2"/>
    </row>
    <row r="6" spans="1:15" ht="22.25" customHeight="1" x14ac:dyDescent="0.35">
      <c r="A6" s="32" t="s">
        <v>41</v>
      </c>
      <c r="B6" s="33"/>
      <c r="C6" s="36" t="s">
        <v>58</v>
      </c>
      <c r="D6" s="36"/>
      <c r="E6" s="33" t="s">
        <v>2</v>
      </c>
      <c r="F6" s="33"/>
      <c r="G6" s="43">
        <v>46246</v>
      </c>
      <c r="H6" s="36"/>
      <c r="I6" s="33" t="s">
        <v>3</v>
      </c>
      <c r="J6" s="33"/>
      <c r="K6" s="36" t="s">
        <v>69</v>
      </c>
      <c r="L6" s="36"/>
      <c r="M6" s="33" t="s">
        <v>4</v>
      </c>
      <c r="N6" s="33"/>
      <c r="O6" s="11" t="s">
        <v>60</v>
      </c>
    </row>
    <row r="7" spans="1:15" ht="22.25" customHeight="1" x14ac:dyDescent="0.35">
      <c r="A7" s="32" t="s">
        <v>5</v>
      </c>
      <c r="B7" s="33"/>
      <c r="C7" s="36" t="s">
        <v>57</v>
      </c>
      <c r="D7" s="36"/>
      <c r="E7" s="36"/>
      <c r="F7" s="36"/>
      <c r="G7" s="36"/>
      <c r="H7" s="36"/>
      <c r="I7" s="33" t="s">
        <v>6</v>
      </c>
      <c r="J7" s="33"/>
      <c r="K7" s="36" t="s">
        <v>59</v>
      </c>
      <c r="L7" s="36"/>
      <c r="M7" s="36"/>
      <c r="N7" s="36"/>
      <c r="O7" s="39"/>
    </row>
    <row r="8" spans="1:15" ht="22.25" customHeight="1" x14ac:dyDescent="0.35">
      <c r="A8" s="32" t="s">
        <v>7</v>
      </c>
      <c r="B8" s="33"/>
      <c r="C8" s="36"/>
      <c r="D8" s="36"/>
      <c r="E8" s="36"/>
      <c r="F8" s="36"/>
      <c r="G8" s="36"/>
      <c r="H8" s="36"/>
      <c r="I8" s="33" t="s">
        <v>8</v>
      </c>
      <c r="J8" s="33"/>
      <c r="K8" s="36" t="s">
        <v>63</v>
      </c>
      <c r="L8" s="36"/>
      <c r="M8" s="33" t="s">
        <v>9</v>
      </c>
      <c r="N8" s="33"/>
      <c r="O8" s="11" t="s">
        <v>61</v>
      </c>
    </row>
    <row r="9" spans="1:15" ht="24.5" customHeight="1" x14ac:dyDescent="0.35">
      <c r="A9" s="32" t="s">
        <v>10</v>
      </c>
      <c r="B9" s="33"/>
      <c r="C9" s="36" t="s">
        <v>62</v>
      </c>
      <c r="D9" s="36"/>
      <c r="E9" s="33" t="s">
        <v>11</v>
      </c>
      <c r="F9" s="33"/>
      <c r="G9" s="36" t="s">
        <v>61</v>
      </c>
      <c r="H9" s="36"/>
      <c r="I9" s="33" t="s">
        <v>12</v>
      </c>
      <c r="J9" s="33"/>
      <c r="K9" s="36" t="s">
        <v>70</v>
      </c>
      <c r="L9" s="36"/>
      <c r="M9" s="33" t="s">
        <v>13</v>
      </c>
      <c r="N9" s="33"/>
      <c r="O9" s="12">
        <v>46265</v>
      </c>
    </row>
    <row r="10" spans="1:15" ht="22.25" customHeight="1" x14ac:dyDescent="0.35">
      <c r="A10" s="32" t="s">
        <v>14</v>
      </c>
      <c r="B10" s="33"/>
      <c r="C10" s="36" t="s">
        <v>55</v>
      </c>
      <c r="D10" s="36"/>
      <c r="E10" s="33" t="s">
        <v>15</v>
      </c>
      <c r="F10" s="33"/>
      <c r="G10" s="36"/>
      <c r="H10" s="36"/>
      <c r="I10" s="33" t="s">
        <v>16</v>
      </c>
      <c r="J10" s="33"/>
      <c r="K10" s="36"/>
      <c r="L10" s="36"/>
      <c r="M10" s="33" t="s">
        <v>17</v>
      </c>
      <c r="N10" s="33"/>
      <c r="O10" s="11"/>
    </row>
    <row r="11" spans="1:15" ht="15" thickBot="1" x14ac:dyDescent="0.4">
      <c r="A11" s="9"/>
      <c r="O11" s="10"/>
    </row>
    <row r="12" spans="1:15" ht="34.2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21" customHeight="1" x14ac:dyDescent="0.35">
      <c r="A13" s="15">
        <v>1</v>
      </c>
      <c r="B13" s="19">
        <v>1</v>
      </c>
      <c r="C13" s="19"/>
      <c r="D13" s="1" t="s">
        <v>52</v>
      </c>
      <c r="E13" s="37" t="s">
        <v>71</v>
      </c>
      <c r="F13" s="19"/>
      <c r="G13" s="20">
        <v>1</v>
      </c>
      <c r="H13" s="19" t="s">
        <v>39</v>
      </c>
      <c r="I13" s="19" t="s">
        <v>40</v>
      </c>
      <c r="J13" s="21">
        <v>445</v>
      </c>
      <c r="K13" s="21">
        <v>222</v>
      </c>
      <c r="L13" s="21">
        <v>250</v>
      </c>
      <c r="M13" s="20"/>
      <c r="N13" s="20">
        <v>6990</v>
      </c>
      <c r="O13" s="22">
        <f t="shared" ref="O13:O22" si="0">IF(COUNTA(J13:L13)=3,J13*K13*L13/1000000,"")</f>
        <v>24.697500000000002</v>
      </c>
    </row>
    <row r="14" spans="1:15" ht="21" customHeight="1" x14ac:dyDescent="0.35">
      <c r="A14" s="15">
        <v>2</v>
      </c>
      <c r="B14" s="19">
        <v>2</v>
      </c>
      <c r="C14" s="19"/>
      <c r="D14" s="1" t="s">
        <v>51</v>
      </c>
      <c r="E14" s="38"/>
      <c r="F14" s="19"/>
      <c r="G14" s="20">
        <v>1</v>
      </c>
      <c r="H14" s="19" t="s">
        <v>39</v>
      </c>
      <c r="I14" s="19" t="s">
        <v>40</v>
      </c>
      <c r="J14" s="21">
        <v>225</v>
      </c>
      <c r="K14" s="21">
        <v>80</v>
      </c>
      <c r="L14" s="21">
        <v>80</v>
      </c>
      <c r="M14" s="20"/>
      <c r="N14" s="20">
        <v>150</v>
      </c>
      <c r="O14" s="22">
        <f t="shared" si="0"/>
        <v>1.44</v>
      </c>
    </row>
    <row r="15" spans="1:15" ht="21" customHeight="1" x14ac:dyDescent="0.35">
      <c r="A15" s="15">
        <v>3</v>
      </c>
      <c r="B15" s="1"/>
      <c r="C15" s="19"/>
      <c r="D15" s="1"/>
      <c r="E15" s="1"/>
      <c r="F15" s="19"/>
      <c r="G15" s="20"/>
      <c r="H15" s="19"/>
      <c r="I15" s="19"/>
      <c r="J15" s="21"/>
      <c r="K15" s="21"/>
      <c r="L15" s="21"/>
      <c r="M15" s="20"/>
      <c r="N15" s="20"/>
      <c r="O15" s="22" t="str">
        <f t="shared" si="0"/>
        <v/>
      </c>
    </row>
    <row r="16" spans="1:15" ht="21" customHeight="1" x14ac:dyDescent="0.35">
      <c r="A16" s="15">
        <v>4</v>
      </c>
      <c r="B16" s="1"/>
      <c r="C16" s="1"/>
      <c r="D16" s="1"/>
      <c r="E16" s="1"/>
      <c r="F16" s="19"/>
      <c r="G16" s="20"/>
      <c r="H16" s="19"/>
      <c r="I16" s="19"/>
      <c r="J16" s="21"/>
      <c r="K16" s="21"/>
      <c r="L16" s="21"/>
      <c r="M16" s="20"/>
      <c r="N16" s="20"/>
      <c r="O16" s="22" t="str">
        <f>IF(COUNTA(J17:L17)=3,J17*K17*L17/1000000,"")</f>
        <v/>
      </c>
    </row>
    <row r="17" spans="1:15" ht="21" customHeight="1" x14ac:dyDescent="0.35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>IF(COUNTA(J18:L18)=3,J18*K18*L18/1000000,"")</f>
        <v/>
      </c>
    </row>
    <row r="18" spans="1:15" ht="21" customHeight="1" x14ac:dyDescent="0.35">
      <c r="A18" s="15">
        <v>6</v>
      </c>
      <c r="B18" s="1"/>
      <c r="C18" s="1"/>
      <c r="D18" s="1"/>
      <c r="E18" s="1"/>
      <c r="F18" s="1"/>
      <c r="G18" s="3"/>
      <c r="H18" s="1"/>
      <c r="I18" s="1"/>
      <c r="J18" s="4"/>
      <c r="K18" s="4"/>
      <c r="L18" s="4"/>
      <c r="M18" s="3"/>
      <c r="N18" s="3"/>
      <c r="O18" s="16" t="str">
        <f>IF(COUNTA(J19:L19)=3,J19*K19*L19/1000000,"")</f>
        <v/>
      </c>
    </row>
    <row r="19" spans="1:15" ht="21" customHeight="1" x14ac:dyDescent="0.35">
      <c r="A19" s="15">
        <v>7</v>
      </c>
      <c r="B19" s="1"/>
      <c r="C19" s="1"/>
      <c r="D19" s="1"/>
      <c r="E19" s="1"/>
      <c r="F19" s="1"/>
      <c r="G19" s="3"/>
      <c r="H19" s="1"/>
      <c r="I19" s="1"/>
      <c r="J19" s="4"/>
      <c r="K19" s="4"/>
      <c r="L19" s="4"/>
      <c r="M19" s="3"/>
      <c r="N19" s="3"/>
      <c r="O19" s="16" t="str">
        <f>IF(COUNTA(#REF!)=3,#REF!*#REF!*#REF!/1000000,"")</f>
        <v/>
      </c>
    </row>
    <row r="20" spans="1:15" ht="21" customHeight="1" x14ac:dyDescent="0.35">
      <c r="A20" s="15">
        <v>8</v>
      </c>
      <c r="B20" s="1"/>
      <c r="C20" s="1"/>
      <c r="D20" s="1"/>
      <c r="E20" s="1"/>
      <c r="F20" s="1"/>
      <c r="G20" s="3"/>
      <c r="H20" s="1"/>
      <c r="I20" s="1"/>
      <c r="J20" s="4"/>
      <c r="K20" s="4"/>
      <c r="L20" s="4"/>
      <c r="M20" s="3"/>
      <c r="N20" s="3"/>
      <c r="O20" s="16" t="str">
        <f t="shared" si="0"/>
        <v/>
      </c>
    </row>
    <row r="21" spans="1:15" ht="21" customHeight="1" x14ac:dyDescent="0.35">
      <c r="A21" s="15">
        <v>9</v>
      </c>
      <c r="B21" s="1"/>
      <c r="C21" s="1"/>
      <c r="D21" s="1"/>
      <c r="E21" s="1"/>
      <c r="F21" s="1"/>
      <c r="G21" s="3"/>
      <c r="H21" s="1"/>
      <c r="I21" s="1"/>
      <c r="J21" s="4"/>
      <c r="K21" s="4"/>
      <c r="L21" s="4"/>
      <c r="M21" s="3"/>
      <c r="N21" s="3"/>
      <c r="O21" s="16" t="str">
        <f t="shared" si="0"/>
        <v/>
      </c>
    </row>
    <row r="22" spans="1:15" ht="21" customHeight="1" thickBot="1" x14ac:dyDescent="0.4">
      <c r="A22" s="15">
        <v>10</v>
      </c>
      <c r="B22" s="1"/>
      <c r="C22" s="1"/>
      <c r="D22" s="1"/>
      <c r="E22" s="1"/>
      <c r="F22" s="1"/>
      <c r="G22" s="3"/>
      <c r="H22" s="1"/>
      <c r="I22" s="1"/>
      <c r="J22" s="4"/>
      <c r="K22" s="4"/>
      <c r="L22" s="4"/>
      <c r="M22" s="3"/>
      <c r="N22" s="3"/>
      <c r="O22" s="16" t="str">
        <f t="shared" si="0"/>
        <v/>
      </c>
    </row>
    <row r="23" spans="1:15" ht="22.25" customHeight="1" thickBot="1" x14ac:dyDescent="0.4">
      <c r="A23" s="34" t="s">
        <v>33</v>
      </c>
      <c r="B23" s="35"/>
      <c r="C23" s="35"/>
      <c r="D23" s="35"/>
      <c r="E23" s="35"/>
      <c r="F23" s="35"/>
      <c r="G23" s="5">
        <f>SUM(G13:G22)</f>
        <v>2</v>
      </c>
      <c r="H23" s="6"/>
      <c r="I23" s="6"/>
      <c r="J23" s="6"/>
      <c r="K23" s="6"/>
      <c r="L23" s="6"/>
      <c r="M23" s="5">
        <f>SUM(M13:M22)</f>
        <v>0</v>
      </c>
      <c r="N23" s="5">
        <f>SUM(N13:N22)</f>
        <v>7140</v>
      </c>
      <c r="O23" s="17">
        <f>SUM(O13:O22)</f>
        <v>26.137500000000003</v>
      </c>
    </row>
    <row r="24" spans="1:15" x14ac:dyDescent="0.35">
      <c r="A24" s="9"/>
      <c r="O24" s="10"/>
    </row>
    <row r="25" spans="1:15" ht="22.25" customHeight="1" thickBot="1" x14ac:dyDescent="0.4">
      <c r="A25" s="32" t="s">
        <v>34</v>
      </c>
      <c r="B25" s="33"/>
      <c r="C25" s="7">
        <f>COUNTA(B13:B22)</f>
        <v>2</v>
      </c>
      <c r="D25" s="33" t="s">
        <v>35</v>
      </c>
      <c r="E25" s="33"/>
      <c r="F25" s="8">
        <f>SUM(G13:G22)</f>
        <v>2</v>
      </c>
      <c r="G25" s="33" t="s">
        <v>36</v>
      </c>
      <c r="H25" s="33"/>
      <c r="I25" s="8">
        <f>SUM(M13:M22)</f>
        <v>0</v>
      </c>
      <c r="J25" s="33" t="s">
        <v>37</v>
      </c>
      <c r="K25" s="33"/>
      <c r="L25" s="8">
        <f>SUM(N13:N22)</f>
        <v>7140</v>
      </c>
      <c r="M25" s="33" t="s">
        <v>38</v>
      </c>
      <c r="N25" s="33"/>
      <c r="O25" s="18">
        <f>SUM(O13:O22)</f>
        <v>26.137500000000003</v>
      </c>
    </row>
    <row r="26" spans="1:15" ht="18.5" x14ac:dyDescent="0.35">
      <c r="A26" s="23" t="s">
        <v>42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</row>
    <row r="27" spans="1:15" ht="14.4" customHeight="1" x14ac:dyDescent="0.35">
      <c r="A27" s="26" t="s">
        <v>43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</row>
    <row r="28" spans="1:15" ht="15" thickBot="1" x14ac:dyDescent="0.4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1"/>
    </row>
  </sheetData>
  <mergeCells count="50"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  <mergeCell ref="A5:O5"/>
    <mergeCell ref="A6:B6"/>
    <mergeCell ref="C6:D6"/>
    <mergeCell ref="E6:F6"/>
    <mergeCell ref="G6:H6"/>
    <mergeCell ref="I6:J6"/>
    <mergeCell ref="K6:L6"/>
    <mergeCell ref="M6:N6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E13:E14"/>
    <mergeCell ref="A27:O28"/>
    <mergeCell ref="A26:O26"/>
    <mergeCell ref="A23:F23"/>
    <mergeCell ref="A25:B25"/>
    <mergeCell ref="D25:E25"/>
    <mergeCell ref="G25:H25"/>
    <mergeCell ref="J25:K25"/>
    <mergeCell ref="M25:N25"/>
  </mergeCells>
  <dataValidations count="1">
    <dataValidation type="list" allowBlank="1" sqref="H13:I22" xr:uid="{CA4B22FD-2ED4-4D39-83B5-7B289A33B9AE}">
      <formula1>#REF!</formula1>
    </dataValidation>
  </dataValidations>
  <pageMargins left="0.7" right="0.7" top="0.75" bottom="0.75" header="0.3" footer="0.3"/>
  <pageSetup paperSize="9" scale="48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956F-18A8-44F6-AF54-7926E2845DAE}">
  <sheetPr>
    <pageSetUpPr fitToPage="1"/>
  </sheetPr>
  <dimension ref="A1:O28"/>
  <sheetViews>
    <sheetView showGridLines="0" tabSelected="1" zoomScale="55" zoomScaleNormal="55" workbookViewId="0">
      <selection activeCell="R9" sqref="R9"/>
    </sheetView>
  </sheetViews>
  <sheetFormatPr defaultRowHeight="14.5" x14ac:dyDescent="0.35"/>
  <cols>
    <col min="1" max="1" width="8" customWidth="1"/>
    <col min="2" max="2" width="10.6328125" customWidth="1"/>
    <col min="3" max="3" width="12.453125" customWidth="1"/>
    <col min="4" max="4" width="25.54296875" customWidth="1"/>
    <col min="5" max="5" width="24.6328125" customWidth="1"/>
    <col min="6" max="6" width="8.7265625" customWidth="1"/>
    <col min="7" max="8" width="8" customWidth="1"/>
    <col min="9" max="9" width="10.26953125" customWidth="1"/>
    <col min="10" max="11" width="9" customWidth="1"/>
    <col min="12" max="13" width="8.81640625" customWidth="1"/>
    <col min="14" max="14" width="11.54296875" customWidth="1"/>
    <col min="15" max="15" width="9.90625" customWidth="1"/>
  </cols>
  <sheetData>
    <row r="1" spans="1:15" ht="17.25" customHeight="1" x14ac:dyDescent="0.35">
      <c r="A1" s="44" t="e" vm="1">
        <v>#VALUE!</v>
      </c>
      <c r="B1" s="45"/>
      <c r="C1" s="46"/>
      <c r="D1" s="53" t="s">
        <v>0</v>
      </c>
      <c r="E1" s="54"/>
      <c r="F1" s="54"/>
      <c r="G1" s="54"/>
      <c r="H1" s="54"/>
      <c r="I1" s="54"/>
      <c r="J1" s="54"/>
      <c r="K1" s="55"/>
      <c r="L1" s="62" t="s">
        <v>44</v>
      </c>
      <c r="M1" s="63"/>
      <c r="N1" s="64">
        <v>46246</v>
      </c>
      <c r="O1" s="65"/>
    </row>
    <row r="2" spans="1:15" ht="18" customHeight="1" x14ac:dyDescent="0.35">
      <c r="A2" s="47"/>
      <c r="B2" s="48"/>
      <c r="C2" s="49"/>
      <c r="D2" s="56"/>
      <c r="E2" s="57"/>
      <c r="F2" s="57"/>
      <c r="G2" s="57"/>
      <c r="H2" s="57"/>
      <c r="I2" s="57"/>
      <c r="J2" s="57"/>
      <c r="K2" s="58"/>
      <c r="L2" s="66" t="s">
        <v>45</v>
      </c>
      <c r="M2" s="67"/>
      <c r="N2" s="68" t="s">
        <v>50</v>
      </c>
      <c r="O2" s="69"/>
    </row>
    <row r="3" spans="1:15" ht="16.5" customHeight="1" x14ac:dyDescent="0.35">
      <c r="A3" s="47"/>
      <c r="B3" s="48"/>
      <c r="C3" s="49"/>
      <c r="D3" s="56"/>
      <c r="E3" s="57"/>
      <c r="F3" s="57"/>
      <c r="G3" s="57"/>
      <c r="H3" s="57"/>
      <c r="I3" s="57"/>
      <c r="J3" s="57"/>
      <c r="K3" s="58"/>
      <c r="L3" s="66" t="s">
        <v>46</v>
      </c>
      <c r="M3" s="67"/>
      <c r="N3" s="68" t="s">
        <v>48</v>
      </c>
      <c r="O3" s="69"/>
    </row>
    <row r="4" spans="1:15" ht="15.75" customHeight="1" thickBot="1" x14ac:dyDescent="0.4">
      <c r="A4" s="50"/>
      <c r="B4" s="51"/>
      <c r="C4" s="52"/>
      <c r="D4" s="59"/>
      <c r="E4" s="60"/>
      <c r="F4" s="60"/>
      <c r="G4" s="60"/>
      <c r="H4" s="60"/>
      <c r="I4" s="60"/>
      <c r="J4" s="60"/>
      <c r="K4" s="61"/>
      <c r="L4" s="70" t="s">
        <v>47</v>
      </c>
      <c r="M4" s="71"/>
      <c r="N4" s="72" t="s">
        <v>49</v>
      </c>
      <c r="O4" s="73"/>
    </row>
    <row r="5" spans="1:15" ht="20" customHeight="1" thickBot="1" x14ac:dyDescent="0.4">
      <c r="A5" s="40" t="s">
        <v>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2"/>
    </row>
    <row r="6" spans="1:15" ht="22.25" customHeight="1" x14ac:dyDescent="0.35">
      <c r="A6" s="32" t="s">
        <v>41</v>
      </c>
      <c r="B6" s="33"/>
      <c r="C6" s="36" t="s">
        <v>58</v>
      </c>
      <c r="D6" s="36"/>
      <c r="E6" s="33" t="s">
        <v>2</v>
      </c>
      <c r="F6" s="33"/>
      <c r="G6" s="43">
        <v>46246</v>
      </c>
      <c r="H6" s="36"/>
      <c r="I6" s="33" t="s">
        <v>3</v>
      </c>
      <c r="J6" s="33"/>
      <c r="K6" s="36" t="s">
        <v>69</v>
      </c>
      <c r="L6" s="36"/>
      <c r="M6" s="33" t="s">
        <v>4</v>
      </c>
      <c r="N6" s="33"/>
      <c r="O6" s="11" t="s">
        <v>60</v>
      </c>
    </row>
    <row r="7" spans="1:15" ht="22.25" customHeight="1" x14ac:dyDescent="0.35">
      <c r="A7" s="32" t="s">
        <v>5</v>
      </c>
      <c r="B7" s="33"/>
      <c r="C7" s="36" t="s">
        <v>57</v>
      </c>
      <c r="D7" s="36"/>
      <c r="E7" s="36"/>
      <c r="F7" s="36"/>
      <c r="G7" s="36"/>
      <c r="H7" s="36"/>
      <c r="I7" s="33" t="s">
        <v>6</v>
      </c>
      <c r="J7" s="33"/>
      <c r="K7" s="36" t="s">
        <v>59</v>
      </c>
      <c r="L7" s="36"/>
      <c r="M7" s="36"/>
      <c r="N7" s="36"/>
      <c r="O7" s="39"/>
    </row>
    <row r="8" spans="1:15" ht="22.25" customHeight="1" x14ac:dyDescent="0.35">
      <c r="A8" s="32" t="s">
        <v>7</v>
      </c>
      <c r="B8" s="33"/>
      <c r="C8" s="36"/>
      <c r="D8" s="36"/>
      <c r="E8" s="36"/>
      <c r="F8" s="36"/>
      <c r="G8" s="36"/>
      <c r="H8" s="36"/>
      <c r="I8" s="33" t="s">
        <v>8</v>
      </c>
      <c r="J8" s="33"/>
      <c r="K8" s="36" t="s">
        <v>63</v>
      </c>
      <c r="L8" s="36"/>
      <c r="M8" s="33" t="s">
        <v>9</v>
      </c>
      <c r="N8" s="33"/>
      <c r="O8" s="11" t="s">
        <v>61</v>
      </c>
    </row>
    <row r="9" spans="1:15" ht="24.5" customHeight="1" x14ac:dyDescent="0.35">
      <c r="A9" s="32" t="s">
        <v>10</v>
      </c>
      <c r="B9" s="33"/>
      <c r="C9" s="36" t="s">
        <v>62</v>
      </c>
      <c r="D9" s="36"/>
      <c r="E9" s="33" t="s">
        <v>11</v>
      </c>
      <c r="F9" s="33"/>
      <c r="G9" s="36" t="s">
        <v>61</v>
      </c>
      <c r="H9" s="36"/>
      <c r="I9" s="33" t="s">
        <v>12</v>
      </c>
      <c r="J9" s="33"/>
      <c r="K9" s="36" t="s">
        <v>70</v>
      </c>
      <c r="L9" s="36"/>
      <c r="M9" s="33" t="s">
        <v>13</v>
      </c>
      <c r="N9" s="33"/>
      <c r="O9" s="12">
        <v>46265</v>
      </c>
    </row>
    <row r="10" spans="1:15" ht="22.25" customHeight="1" x14ac:dyDescent="0.35">
      <c r="A10" s="32" t="s">
        <v>14</v>
      </c>
      <c r="B10" s="33"/>
      <c r="C10" s="36" t="s">
        <v>66</v>
      </c>
      <c r="D10" s="36"/>
      <c r="E10" s="33" t="s">
        <v>15</v>
      </c>
      <c r="F10" s="33"/>
      <c r="G10" s="36"/>
      <c r="H10" s="36"/>
      <c r="I10" s="33" t="s">
        <v>16</v>
      </c>
      <c r="J10" s="33"/>
      <c r="K10" s="36"/>
      <c r="L10" s="36"/>
      <c r="M10" s="33" t="s">
        <v>17</v>
      </c>
      <c r="N10" s="33"/>
      <c r="O10" s="11"/>
    </row>
    <row r="11" spans="1:15" ht="15" thickBot="1" x14ac:dyDescent="0.4">
      <c r="A11" s="9"/>
      <c r="O11" s="10"/>
    </row>
    <row r="12" spans="1:15" ht="34.2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21" customHeight="1" x14ac:dyDescent="0.35">
      <c r="A13" s="15">
        <v>1</v>
      </c>
      <c r="B13" s="19">
        <v>1</v>
      </c>
      <c r="C13" s="19"/>
      <c r="D13" s="1" t="s">
        <v>52</v>
      </c>
      <c r="E13" s="37" t="s">
        <v>71</v>
      </c>
      <c r="F13" s="19"/>
      <c r="G13" s="20">
        <v>1</v>
      </c>
      <c r="H13" s="19" t="s">
        <v>56</v>
      </c>
      <c r="I13" s="19" t="s">
        <v>40</v>
      </c>
      <c r="J13" s="21">
        <v>445</v>
      </c>
      <c r="K13" s="21">
        <v>222</v>
      </c>
      <c r="L13" s="21">
        <v>250</v>
      </c>
      <c r="M13" s="20"/>
      <c r="N13" s="20">
        <v>6050</v>
      </c>
      <c r="O13" s="22">
        <f t="shared" ref="O13:O22" si="0">IF(COUNTA(J13:L13)=3,J13*K13*L13/1000000,"")</f>
        <v>24.697500000000002</v>
      </c>
    </row>
    <row r="14" spans="1:15" ht="21" customHeight="1" x14ac:dyDescent="0.35">
      <c r="A14" s="15">
        <v>2</v>
      </c>
      <c r="B14" s="19">
        <v>2</v>
      </c>
      <c r="C14" s="19"/>
      <c r="D14" s="1" t="s">
        <v>51</v>
      </c>
      <c r="E14" s="38"/>
      <c r="F14" s="19"/>
      <c r="G14" s="20">
        <v>1</v>
      </c>
      <c r="H14" s="19" t="s">
        <v>56</v>
      </c>
      <c r="I14" s="19" t="s">
        <v>40</v>
      </c>
      <c r="J14" s="21">
        <v>225</v>
      </c>
      <c r="K14" s="21">
        <v>80</v>
      </c>
      <c r="L14" s="21">
        <v>80</v>
      </c>
      <c r="M14" s="20"/>
      <c r="N14" s="20">
        <v>140</v>
      </c>
      <c r="O14" s="22">
        <f t="shared" si="0"/>
        <v>1.44</v>
      </c>
    </row>
    <row r="15" spans="1:15" ht="21" customHeight="1" x14ac:dyDescent="0.35">
      <c r="A15" s="15">
        <v>3</v>
      </c>
      <c r="B15" s="1"/>
      <c r="C15" s="19"/>
      <c r="D15" s="1"/>
      <c r="E15" s="1"/>
      <c r="F15" s="19"/>
      <c r="G15" s="20"/>
      <c r="H15" s="19"/>
      <c r="I15" s="19"/>
      <c r="J15" s="21"/>
      <c r="K15" s="21"/>
      <c r="L15" s="21"/>
      <c r="M15" s="20"/>
      <c r="N15" s="20"/>
      <c r="O15" s="22" t="str">
        <f t="shared" si="0"/>
        <v/>
      </c>
    </row>
    <row r="16" spans="1:15" ht="21" customHeight="1" x14ac:dyDescent="0.35">
      <c r="A16" s="15">
        <v>4</v>
      </c>
      <c r="B16" s="1"/>
      <c r="C16" s="1"/>
      <c r="D16" s="1"/>
      <c r="E16" s="1"/>
      <c r="F16" s="19"/>
      <c r="G16" s="20"/>
      <c r="H16" s="19"/>
      <c r="I16" s="19"/>
      <c r="J16" s="21"/>
      <c r="K16" s="21"/>
      <c r="L16" s="21"/>
      <c r="M16" s="20"/>
      <c r="N16" s="20"/>
      <c r="O16" s="22" t="str">
        <f>IF(COUNTA(J17:L17)=3,J17*K17*L17/1000000,"")</f>
        <v/>
      </c>
    </row>
    <row r="17" spans="1:15" ht="21" customHeight="1" x14ac:dyDescent="0.35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>IF(COUNTA(J18:L18)=3,J18*K18*L18/1000000,"")</f>
        <v/>
      </c>
    </row>
    <row r="18" spans="1:15" ht="21" customHeight="1" x14ac:dyDescent="0.35">
      <c r="A18" s="15">
        <v>6</v>
      </c>
      <c r="B18" s="1"/>
      <c r="C18" s="1"/>
      <c r="D18" s="1"/>
      <c r="E18" s="1"/>
      <c r="F18" s="1"/>
      <c r="G18" s="3"/>
      <c r="H18" s="1"/>
      <c r="I18" s="1"/>
      <c r="J18" s="4"/>
      <c r="K18" s="4"/>
      <c r="L18" s="4"/>
      <c r="M18" s="3"/>
      <c r="N18" s="3"/>
      <c r="O18" s="16" t="str">
        <f>IF(COUNTA(J19:L19)=3,J19*K19*L19/1000000,"")</f>
        <v/>
      </c>
    </row>
    <row r="19" spans="1:15" ht="21" customHeight="1" x14ac:dyDescent="0.35">
      <c r="A19" s="15">
        <v>7</v>
      </c>
      <c r="B19" s="1"/>
      <c r="C19" s="1"/>
      <c r="D19" s="1"/>
      <c r="E19" s="1"/>
      <c r="F19" s="1"/>
      <c r="G19" s="3"/>
      <c r="H19" s="1"/>
      <c r="I19" s="1"/>
      <c r="J19" s="4"/>
      <c r="K19" s="4"/>
      <c r="L19" s="4"/>
      <c r="M19" s="3"/>
      <c r="N19" s="3"/>
      <c r="O19" s="16" t="str">
        <f>IF(COUNTA(#REF!)=3,#REF!*#REF!*#REF!/1000000,"")</f>
        <v/>
      </c>
    </row>
    <row r="20" spans="1:15" ht="21" customHeight="1" x14ac:dyDescent="0.35">
      <c r="A20" s="15">
        <v>8</v>
      </c>
      <c r="B20" s="1"/>
      <c r="C20" s="1"/>
      <c r="D20" s="1"/>
      <c r="E20" s="1"/>
      <c r="F20" s="1"/>
      <c r="G20" s="3"/>
      <c r="H20" s="1"/>
      <c r="I20" s="1"/>
      <c r="J20" s="4"/>
      <c r="K20" s="4"/>
      <c r="L20" s="4"/>
      <c r="M20" s="3"/>
      <c r="N20" s="3"/>
      <c r="O20" s="16" t="str">
        <f t="shared" si="0"/>
        <v/>
      </c>
    </row>
    <row r="21" spans="1:15" ht="21" customHeight="1" x14ac:dyDescent="0.35">
      <c r="A21" s="15">
        <v>9</v>
      </c>
      <c r="B21" s="1"/>
      <c r="C21" s="1"/>
      <c r="D21" s="1"/>
      <c r="E21" s="1"/>
      <c r="F21" s="1"/>
      <c r="G21" s="3"/>
      <c r="H21" s="1"/>
      <c r="I21" s="1"/>
      <c r="J21" s="4"/>
      <c r="K21" s="4"/>
      <c r="L21" s="4"/>
      <c r="M21" s="3"/>
      <c r="N21" s="3"/>
      <c r="O21" s="16" t="str">
        <f t="shared" si="0"/>
        <v/>
      </c>
    </row>
    <row r="22" spans="1:15" ht="21" customHeight="1" thickBot="1" x14ac:dyDescent="0.4">
      <c r="A22" s="15">
        <v>10</v>
      </c>
      <c r="B22" s="1"/>
      <c r="C22" s="1"/>
      <c r="D22" s="1"/>
      <c r="E22" s="1"/>
      <c r="F22" s="1"/>
      <c r="G22" s="3"/>
      <c r="H22" s="1"/>
      <c r="I22" s="1"/>
      <c r="J22" s="4"/>
      <c r="K22" s="4"/>
      <c r="L22" s="4"/>
      <c r="M22" s="3"/>
      <c r="N22" s="3"/>
      <c r="O22" s="16" t="str">
        <f t="shared" si="0"/>
        <v/>
      </c>
    </row>
    <row r="23" spans="1:15" ht="22.25" customHeight="1" thickBot="1" x14ac:dyDescent="0.4">
      <c r="A23" s="34" t="s">
        <v>33</v>
      </c>
      <c r="B23" s="35"/>
      <c r="C23" s="35"/>
      <c r="D23" s="35"/>
      <c r="E23" s="35"/>
      <c r="F23" s="35"/>
      <c r="G23" s="5">
        <f>SUM(G13:G22)</f>
        <v>2</v>
      </c>
      <c r="H23" s="6"/>
      <c r="I23" s="6"/>
      <c r="J23" s="6"/>
      <c r="K23" s="6"/>
      <c r="L23" s="6"/>
      <c r="M23" s="5">
        <f>SUM(M13:M22)</f>
        <v>0</v>
      </c>
      <c r="N23" s="5">
        <f>SUM(N13:N22)</f>
        <v>6190</v>
      </c>
      <c r="O23" s="17">
        <f>SUM(O13:O22)</f>
        <v>26.137500000000003</v>
      </c>
    </row>
    <row r="24" spans="1:15" x14ac:dyDescent="0.35">
      <c r="A24" s="9"/>
      <c r="O24" s="10"/>
    </row>
    <row r="25" spans="1:15" ht="22.25" customHeight="1" thickBot="1" x14ac:dyDescent="0.4">
      <c r="A25" s="32" t="s">
        <v>34</v>
      </c>
      <c r="B25" s="33"/>
      <c r="C25" s="7">
        <f>COUNTA(B13:B22)</f>
        <v>2</v>
      </c>
      <c r="D25" s="33" t="s">
        <v>35</v>
      </c>
      <c r="E25" s="33"/>
      <c r="F25" s="8">
        <f>SUM(G13:G22)</f>
        <v>2</v>
      </c>
      <c r="G25" s="33" t="s">
        <v>36</v>
      </c>
      <c r="H25" s="33"/>
      <c r="I25" s="8">
        <f>SUM(M13:M22)</f>
        <v>0</v>
      </c>
      <c r="J25" s="33" t="s">
        <v>37</v>
      </c>
      <c r="K25" s="33"/>
      <c r="L25" s="8">
        <f>SUM(N13:N22)</f>
        <v>6190</v>
      </c>
      <c r="M25" s="33" t="s">
        <v>38</v>
      </c>
      <c r="N25" s="33"/>
      <c r="O25" s="18">
        <f>SUM(O13:O22)</f>
        <v>26.137500000000003</v>
      </c>
    </row>
    <row r="26" spans="1:15" ht="18.5" x14ac:dyDescent="0.35">
      <c r="A26" s="23" t="s">
        <v>42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</row>
    <row r="27" spans="1:15" ht="14.4" customHeight="1" x14ac:dyDescent="0.35">
      <c r="A27" s="26" t="s">
        <v>43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</row>
    <row r="28" spans="1:15" ht="15" thickBot="1" x14ac:dyDescent="0.4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1"/>
    </row>
  </sheetData>
  <mergeCells count="50"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  <mergeCell ref="A5:O5"/>
    <mergeCell ref="A6:B6"/>
    <mergeCell ref="C6:D6"/>
    <mergeCell ref="E6:F6"/>
    <mergeCell ref="G6:H6"/>
    <mergeCell ref="I6:J6"/>
    <mergeCell ref="K6:L6"/>
    <mergeCell ref="M6:N6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23:F23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E13:E14"/>
    <mergeCell ref="A26:O26"/>
    <mergeCell ref="A27:O28"/>
    <mergeCell ref="A25:B25"/>
    <mergeCell ref="D25:E25"/>
    <mergeCell ref="G25:H25"/>
    <mergeCell ref="J25:K25"/>
    <mergeCell ref="M25:N25"/>
  </mergeCells>
  <dataValidations count="1">
    <dataValidation type="list" allowBlank="1" sqref="H13:I22" xr:uid="{FE7ED3F1-6D54-4BCB-91C7-F8BB70570AE2}">
      <formula1>#REF!</formula1>
    </dataValidation>
  </dataValidations>
  <pageMargins left="0.7" right="0.7" top="0.75" bottom="0.75" header="0.3" footer="0.3"/>
  <pageSetup paperSize="9" scale="4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ARKU1500660</vt:lpstr>
      <vt:lpstr>ARKU1500070</vt:lpstr>
      <vt:lpstr>ARKU1203024</vt:lpstr>
      <vt:lpstr>ARKU1203024!Yazdırma_Başlıkları</vt:lpstr>
      <vt:lpstr>ARKU1500070!Yazdırma_Başlıkları</vt:lpstr>
      <vt:lpstr>ARKU1500660!Yazdırma_Başlıkları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Sıla KANMAZ</dc:creator>
  <cp:lastModifiedBy>Burcu ADIGÜZEL</cp:lastModifiedBy>
  <cp:lastPrinted>2026-08-12T06:14:54Z</cp:lastPrinted>
  <dcterms:created xsi:type="dcterms:W3CDTF">2026-03-17T10:53:24Z</dcterms:created>
  <dcterms:modified xsi:type="dcterms:W3CDTF">2026-08-13T10:18:05Z</dcterms:modified>
</cp:coreProperties>
</file>