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procurement_vimpo_com/Documents/Masaüstü/00---039-VMP-S01064-ATP_5000m3_Libya/4-Logistics/BGZ_06_6th shipment-heater_FGL261191EXY/"/>
    </mc:Choice>
  </mc:AlternateContent>
  <xr:revisionPtr revIDLastSave="21" documentId="8_{822D1C97-1D4F-4D92-B54A-FE7BD5ECE63A}" xr6:coauthVersionLast="47" xr6:coauthVersionMax="47" xr10:uidLastSave="{B5FB51C0-ABA3-4053-A9E6-6B7A04F60884}"/>
  <bookViews>
    <workbookView xWindow="-110" yWindow="-110" windowWidth="19420" windowHeight="10300" xr2:uid="{00000000-000D-0000-FFFF-FFFF00000000}"/>
  </bookViews>
  <sheets>
    <sheet name="MAEU416218-3" sheetId="1" r:id="rId1"/>
  </sheets>
  <definedNames>
    <definedName name="_xlnm._FilterDatabase" localSheetId="0" hidden="1">'MAEU416218-3'!$A$12:$O$19</definedName>
    <definedName name="_xlnm.Print_Area" localSheetId="0">'MAEU416218-3'!$A$1:$O$25</definedName>
    <definedName name="_xlnm.Print_Titles" localSheetId="0">'MAEU416218-3'!$1:$12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I22" i="1"/>
  <c r="F22" i="1"/>
  <c r="C22" i="1"/>
  <c r="N20" i="1"/>
  <c r="M20" i="1"/>
  <c r="G20" i="1"/>
  <c r="O19" i="1"/>
  <c r="O18" i="1"/>
  <c r="O17" i="1"/>
  <c r="O16" i="1"/>
  <c r="O15" i="1"/>
  <c r="O14" i="1"/>
  <c r="O13" i="1"/>
  <c r="O22" i="1" l="1"/>
  <c r="O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Kendi logonuzu bu alana yerleştirebilirsiniz.</t>
        </r>
      </text>
    </comment>
    <comment ref="A2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<sst xmlns="http://schemas.openxmlformats.org/spreadsheetml/2006/main" count="64" uniqueCount="63">
  <si>
    <t>PACKING LIST
ÇEKİ LİSTESİ</t>
  </si>
  <si>
    <t>DOCUMENT &amp; SHIPMENT INFORMATION / BELGE VE SEVKİYAT BİLGİLERİ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</si>
  <si>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</si>
  <si>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</si>
  <si>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</si>
  <si>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</si>
  <si>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</si>
  <si>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</si>
  <si>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</si>
  <si>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</si>
  <si>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</si>
  <si>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</si>
  <si>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</si>
  <si>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</si>
  <si>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</si>
  <si>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</si>
  <si>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</si>
  <si>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</si>
  <si>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</si>
  <si>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</si>
  <si>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</si>
  <si>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</si>
  <si>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</si>
  <si>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</si>
  <si>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</si>
  <si>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</si>
  <si>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</si>
  <si>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</si>
  <si>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</si>
  <si>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</si>
  <si>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</si>
  <si>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</si>
  <si>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</si>
  <si>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</si>
  <si>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</si>
  <si>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</si>
  <si>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</si>
  <si>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</si>
  <si>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</si>
  <si>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Order No. / Sipariş No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</si>
  <si>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</si>
  <si>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</si>
  <si>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Yayın Tarihi</t>
  </si>
  <si>
    <t>Doküman No</t>
  </si>
  <si>
    <t>Revizyon Tarihi</t>
  </si>
  <si>
    <t>Revizyon No</t>
  </si>
  <si>
    <t>-</t>
  </si>
  <si>
    <t>00</t>
  </si>
  <si>
    <t>P07-F07</t>
  </si>
  <si>
    <t>VMP-S01064-B6</t>
  </si>
  <si>
    <t>CIF</t>
  </si>
  <si>
    <t>VİMPO MAKİNE A.Ş.</t>
  </si>
  <si>
    <t>ATP / Africa Road for Asphalt and Petroleum Insulation Industries</t>
  </si>
  <si>
    <t>BENGHAZI</t>
  </si>
  <si>
    <t>JPU VENUS 624S</t>
  </si>
  <si>
    <t>MERSİN</t>
  </si>
  <si>
    <t>MAEU416218-3</t>
  </si>
  <si>
    <t>pcs</t>
  </si>
  <si>
    <t>HEAT EXCHANGER for Bitumen Tanks
( Bitüm Tankı Isı Eşanjörü )</t>
  </si>
  <si>
    <t>Bulk</t>
  </si>
  <si>
    <t>8419.50.80.00.00</t>
  </si>
  <si>
    <t>Türkiye</t>
  </si>
  <si>
    <t>IHR2026000000066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</si>
</sst>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666666"/>
      <name val="Calibri"/>
    </font>
    <font>
      <b/>
      <sz val="14"/>
      <color rgb="FF1F4E78"/>
      <name val="Calibri"/>
    </font>
    <font>
      <sz val="10"/>
      <color rgb="FF666666"/>
      <name val="Calibri"/>
    </font>
    <font>
      <b/>
      <sz val="18"/>
      <color rgb="FF1F4E78"/>
      <name val="Calibri"/>
    </font>
    <font>
      <b/>
      <sz val="10"/>
      <color rgb="FFFFFFFF"/>
      <name val="Calibri"/>
    </font>
    <font>
      <b/>
      <sz val="10"/>
      <color rgb="FF1F4E78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7CC"/>
      </patternFill>
    </fill>
  </fills>
  <borders count="38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 style="medium">
        <color indexed="64"/>
      </left>
      <right/>
      <top style="medium">
        <color rgb="FF1F4E78"/>
      </top>
      <bottom style="thin">
        <color rgb="FFA6A6A6"/>
      </bottom>
      <diagonal/>
    </border>
    <border>
      <left/>
      <right style="thin">
        <color rgb="FFA6A6A6"/>
      </right>
      <top style="medium">
        <color rgb="FF1F4E78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medium">
        <color rgb="FF1F4E78"/>
      </top>
      <bottom style="thin">
        <color rgb="FFA6A6A6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rgb="FF1F4E78"/>
      </bottom>
      <diagonal/>
    </border>
    <border>
      <left/>
      <right/>
      <top style="medium">
        <color indexed="64"/>
      </top>
      <bottom style="medium">
        <color rgb="FF1F4E78"/>
      </bottom>
      <diagonal/>
    </border>
    <border>
      <left/>
      <right style="medium">
        <color indexed="64"/>
      </right>
      <top style="medium">
        <color indexed="64"/>
      </top>
      <bottom style="medium">
        <color rgb="FF1F4E78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7" fillId="6" borderId="9" xfId="0" applyFont="1" applyFill="1" applyBorder="1" applyAlignment="1">
      <alignment horizontal="left" vertical="center" wrapText="1"/>
    </xf>
    <xf numFmtId="165" fontId="7" fillId="6" borderId="9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4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3" fontId="10" fillId="6" borderId="25" xfId="0" applyNumberFormat="1" applyFont="1" applyFill="1" applyBorder="1" applyAlignment="1">
      <alignment horizontal="left" vertical="center"/>
    </xf>
    <xf numFmtId="3" fontId="10" fillId="6" borderId="19" xfId="0" applyNumberFormat="1" applyFont="1" applyFill="1" applyBorder="1" applyAlignment="1">
      <alignment horizontal="left" vertical="center"/>
    </xf>
    <xf numFmtId="3" fontId="10" fillId="6" borderId="26" xfId="0" applyNumberFormat="1" applyFont="1" applyFill="1" applyBorder="1" applyAlignment="1">
      <alignment horizontal="left" vertical="center"/>
    </xf>
    <xf numFmtId="3" fontId="10" fillId="6" borderId="20" xfId="0" applyNumberFormat="1" applyFont="1" applyFill="1" applyBorder="1" applyAlignment="1">
      <alignment horizontal="left" vertical="center"/>
    </xf>
    <xf numFmtId="3" fontId="10" fillId="6" borderId="27" xfId="0" applyNumberFormat="1" applyFont="1" applyFill="1" applyBorder="1" applyAlignment="1">
      <alignment horizontal="left" vertical="center"/>
    </xf>
    <xf numFmtId="3" fontId="10" fillId="6" borderId="21" xfId="0" applyNumberFormat="1" applyFont="1" applyFill="1" applyBorder="1" applyAlignment="1">
      <alignment horizontal="left" vertical="center"/>
    </xf>
    <xf numFmtId="0" fontId="5" fillId="4" borderId="35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vertical="center"/>
    </xf>
    <xf numFmtId="0" fontId="7" fillId="6" borderId="30" xfId="0" applyFont="1" applyFill="1" applyBorder="1" applyAlignment="1">
      <alignment horizontal="left" vertical="center" wrapText="1"/>
    </xf>
    <xf numFmtId="0" fontId="7" fillId="6" borderId="31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6" fillId="5" borderId="34" xfId="0" applyFont="1" applyFill="1" applyBorder="1" applyAlignment="1">
      <alignment horizontal="left" vertical="center" wrapText="1"/>
    </xf>
    <xf numFmtId="0" fontId="6" fillId="5" borderId="20" xfId="0" applyFont="1" applyFill="1" applyBorder="1" applyAlignment="1">
      <alignment horizontal="left" vertical="center" wrapText="1"/>
    </xf>
    <xf numFmtId="0" fontId="6" fillId="5" borderId="30" xfId="0" applyFont="1" applyFill="1" applyBorder="1" applyAlignment="1">
      <alignment horizontal="left" vertical="center" wrapText="1"/>
    </xf>
    <xf numFmtId="0" fontId="6" fillId="5" borderId="33" xfId="0" applyFont="1" applyFill="1" applyBorder="1" applyAlignment="1">
      <alignment horizontal="left" vertical="center" wrapText="1"/>
    </xf>
    <xf numFmtId="0" fontId="6" fillId="5" borderId="29" xfId="0" applyFont="1" applyFill="1" applyBorder="1" applyAlignment="1">
      <alignment horizontal="left" vertical="center" wrapText="1"/>
    </xf>
    <xf numFmtId="0" fontId="7" fillId="6" borderId="33" xfId="0" applyFont="1" applyFill="1" applyBorder="1" applyAlignment="1">
      <alignment horizontal="left" vertical="center" wrapText="1"/>
    </xf>
    <xf numFmtId="0" fontId="7" fillId="6" borderId="29" xfId="0" applyFont="1" applyFill="1" applyBorder="1" applyAlignment="1">
      <alignment horizontal="left" vertical="center" wrapText="1"/>
    </xf>
    <xf numFmtId="165" fontId="7" fillId="6" borderId="33" xfId="0" applyNumberFormat="1" applyFont="1" applyFill="1" applyBorder="1" applyAlignment="1">
      <alignment horizontal="left" vertical="center" wrapText="1"/>
    </xf>
    <xf numFmtId="165" fontId="7" fillId="6" borderId="29" xfId="0" applyNumberFormat="1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3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10" fillId="6" borderId="15" xfId="0" applyNumberFormat="1" applyFont="1" applyFill="1" applyBorder="1" applyAlignment="1">
      <alignment horizontal="left" vertical="center" wrapText="1"/>
    </xf>
    <xf numFmtId="14" fontId="10" fillId="6" borderId="16" xfId="0" applyNumberFormat="1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49" fontId="10" fillId="6" borderId="17" xfId="0" applyNumberFormat="1" applyFont="1" applyFill="1" applyBorder="1" applyAlignment="1">
      <alignment horizontal="left" vertical="center" wrapText="1"/>
    </xf>
    <xf numFmtId="49" fontId="10" fillId="6" borderId="18" xfId="0" applyNumberFormat="1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19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3AA2386-0872-B609-B92E-9C91901E06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19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7F0F4C9-381D-C088-0B6B-43AC545168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19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2A321FD9-81D2-B4FD-8B76-B91E330BF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39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19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8CFC342-6BDE-C0CB-F7D4-8426F7390E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19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B68EF0E-6222-7848-FE3B-B43DAC492A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25</xdr:row>
      <xdr:rowOff>63500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B815DBB-5A4C-5FDB-5663-5C0F711604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56550" cy="101219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25</xdr:row>
      <xdr:rowOff>63500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1E8C0FCC-CF6B-E5C0-AB69-6A64F18C9C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56550" cy="101219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D1C04BDE-0BC6-C60E-9CAA-CC9778CCDB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56550" cy="899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5"/>
  <sheetViews>
    <sheetView showGridLines="0" tabSelected="1" view="pageBreakPreview" zoomScale="60" zoomScaleNormal="55" workbookViewId="0">
      <selection activeCell="M14" sqref="M14"/>
    </sheetView>
  </sheetViews>
  <sheetFormatPr defaultRowHeight="14.5" x14ac:dyDescent="0.35"/>
  <cols>
    <col min="1" max="1" width="8" customWidth="1"/>
    <col min="2" max="2" width="13" customWidth="1"/>
    <col min="3" max="3" width="12.54296875" customWidth="1"/>
    <col min="4" max="4" width="28" customWidth="1"/>
    <col min="5" max="5" width="20.26953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72" t="e" vm="1">
        <v>#VALUE!</v>
      </c>
      <c r="B1" s="73"/>
      <c r="C1" s="74"/>
      <c r="D1" s="23" t="s">
        <v>0</v>
      </c>
      <c r="E1" s="24"/>
      <c r="F1" s="24"/>
      <c r="G1" s="24"/>
      <c r="H1" s="24"/>
      <c r="I1" s="24"/>
      <c r="J1" s="24"/>
      <c r="K1" s="25"/>
      <c r="L1" s="32" t="s">
        <v>42</v>
      </c>
      <c r="M1" s="33"/>
      <c r="N1" s="66">
        <v>46098</v>
      </c>
      <c r="O1" s="67"/>
    </row>
    <row r="2" spans="1:15" ht="18" customHeight="1" x14ac:dyDescent="0.35">
      <c r="A2" s="75"/>
      <c r="B2" s="76"/>
      <c r="C2" s="77"/>
      <c r="D2" s="26"/>
      <c r="E2" s="27"/>
      <c r="F2" s="27"/>
      <c r="G2" s="27"/>
      <c r="H2" s="27"/>
      <c r="I2" s="27"/>
      <c r="J2" s="27"/>
      <c r="K2" s="28"/>
      <c r="L2" s="34" t="s">
        <v>43</v>
      </c>
      <c r="M2" s="35"/>
      <c r="N2" s="68" t="s">
        <v>48</v>
      </c>
      <c r="O2" s="69"/>
    </row>
    <row r="3" spans="1:15" ht="16.5" customHeight="1" x14ac:dyDescent="0.35">
      <c r="A3" s="75"/>
      <c r="B3" s="76"/>
      <c r="C3" s="77"/>
      <c r="D3" s="26"/>
      <c r="E3" s="27"/>
      <c r="F3" s="27"/>
      <c r="G3" s="27"/>
      <c r="H3" s="27"/>
      <c r="I3" s="27"/>
      <c r="J3" s="27"/>
      <c r="K3" s="28"/>
      <c r="L3" s="34" t="s">
        <v>44</v>
      </c>
      <c r="M3" s="35"/>
      <c r="N3" s="68" t="s">
        <v>46</v>
      </c>
      <c r="O3" s="69"/>
    </row>
    <row r="4" spans="1:15" ht="15.75" customHeight="1" thickBot="1" x14ac:dyDescent="0.4">
      <c r="A4" s="78"/>
      <c r="B4" s="79"/>
      <c r="C4" s="80"/>
      <c r="D4" s="29"/>
      <c r="E4" s="30"/>
      <c r="F4" s="30"/>
      <c r="G4" s="30"/>
      <c r="H4" s="30"/>
      <c r="I4" s="30"/>
      <c r="J4" s="30"/>
      <c r="K4" s="31"/>
      <c r="L4" s="36" t="s">
        <v>45</v>
      </c>
      <c r="M4" s="37"/>
      <c r="N4" s="70" t="s">
        <v>47</v>
      </c>
      <c r="O4" s="71"/>
    </row>
    <row r="5" spans="1:15" ht="19.899999999999999" customHeight="1" thickBot="1" x14ac:dyDescent="0.4">
      <c r="A5" s="38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</row>
    <row r="6" spans="1:15" ht="22.15" customHeight="1" x14ac:dyDescent="0.35">
      <c r="A6" s="81" t="s">
        <v>39</v>
      </c>
      <c r="B6" s="48"/>
      <c r="C6" s="49" t="s">
        <v>49</v>
      </c>
      <c r="D6" s="50"/>
      <c r="E6" s="47" t="s">
        <v>2</v>
      </c>
      <c r="F6" s="48"/>
      <c r="G6" s="51">
        <v>46245</v>
      </c>
      <c r="H6" s="52"/>
      <c r="I6" s="47" t="s">
        <v>3</v>
      </c>
      <c r="J6" s="48"/>
      <c r="K6" s="49" t="s">
        <v>62</v>
      </c>
      <c r="L6" s="50"/>
      <c r="M6" s="47" t="s">
        <v>4</v>
      </c>
      <c r="N6" s="48"/>
      <c r="O6" s="11" t="s">
        <v>50</v>
      </c>
    </row>
    <row r="7" spans="1:15" ht="22.15" customHeight="1" x14ac:dyDescent="0.35">
      <c r="A7" s="44" t="s">
        <v>5</v>
      </c>
      <c r="B7" s="45"/>
      <c r="C7" s="41" t="s">
        <v>51</v>
      </c>
      <c r="D7" s="42"/>
      <c r="E7" s="42"/>
      <c r="F7" s="42"/>
      <c r="G7" s="42"/>
      <c r="H7" s="43"/>
      <c r="I7" s="46" t="s">
        <v>6</v>
      </c>
      <c r="J7" s="45"/>
      <c r="K7" s="41" t="s">
        <v>52</v>
      </c>
      <c r="L7" s="42"/>
      <c r="M7" s="42"/>
      <c r="N7" s="42"/>
      <c r="O7" s="55"/>
    </row>
    <row r="8" spans="1:15" ht="22.15" customHeight="1" x14ac:dyDescent="0.35">
      <c r="A8" s="44" t="s">
        <v>7</v>
      </c>
      <c r="B8" s="45"/>
      <c r="C8" s="41"/>
      <c r="D8" s="42"/>
      <c r="E8" s="42"/>
      <c r="F8" s="42"/>
      <c r="G8" s="42"/>
      <c r="H8" s="43"/>
      <c r="I8" s="46" t="s">
        <v>8</v>
      </c>
      <c r="J8" s="45"/>
      <c r="K8" s="41"/>
      <c r="L8" s="43"/>
      <c r="M8" s="46" t="s">
        <v>9</v>
      </c>
      <c r="N8" s="45"/>
      <c r="O8" s="11" t="s">
        <v>53</v>
      </c>
    </row>
    <row r="9" spans="1:15" ht="22.15" customHeight="1" x14ac:dyDescent="0.35">
      <c r="A9" s="44" t="s">
        <v>10</v>
      </c>
      <c r="B9" s="45"/>
      <c r="C9" s="41" t="s">
        <v>55</v>
      </c>
      <c r="D9" s="43"/>
      <c r="E9" s="46" t="s">
        <v>11</v>
      </c>
      <c r="F9" s="45"/>
      <c r="G9" s="41" t="s">
        <v>53</v>
      </c>
      <c r="H9" s="43"/>
      <c r="I9" s="46" t="s">
        <v>12</v>
      </c>
      <c r="J9" s="45"/>
      <c r="K9" s="41" t="s">
        <v>54</v>
      </c>
      <c r="L9" s="43"/>
      <c r="M9" s="46" t="s">
        <v>13</v>
      </c>
      <c r="N9" s="45"/>
      <c r="O9" s="12">
        <v>46265</v>
      </c>
    </row>
    <row r="10" spans="1:15" ht="22.15" customHeight="1" x14ac:dyDescent="0.35">
      <c r="A10" s="53" t="s">
        <v>14</v>
      </c>
      <c r="B10" s="54"/>
      <c r="C10" s="56" t="s">
        <v>56</v>
      </c>
      <c r="D10" s="56"/>
      <c r="E10" s="54" t="s">
        <v>15</v>
      </c>
      <c r="F10" s="54"/>
      <c r="G10" s="56"/>
      <c r="H10" s="56"/>
      <c r="I10" s="54" t="s">
        <v>16</v>
      </c>
      <c r="J10" s="54"/>
      <c r="K10" s="56"/>
      <c r="L10" s="56"/>
      <c r="M10" s="54" t="s">
        <v>17</v>
      </c>
      <c r="N10" s="54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44" customHeight="1" x14ac:dyDescent="0.35">
      <c r="A13" s="15">
        <v>1</v>
      </c>
      <c r="B13" s="1"/>
      <c r="C13" s="1"/>
      <c r="D13" s="1" t="s">
        <v>58</v>
      </c>
      <c r="E13" s="20" t="s">
        <v>60</v>
      </c>
      <c r="F13" s="20" t="s">
        <v>61</v>
      </c>
      <c r="G13" s="19">
        <v>4</v>
      </c>
      <c r="H13" s="20" t="s">
        <v>57</v>
      </c>
      <c r="I13" s="20" t="s">
        <v>59</v>
      </c>
      <c r="J13" s="21"/>
      <c r="K13" s="21"/>
      <c r="L13" s="21"/>
      <c r="M13" s="19"/>
      <c r="N13" s="19">
        <v>16740</v>
      </c>
      <c r="O13" s="22" t="str">
        <f t="shared" ref="O13:O19" si="0">IF(COUNTA(J13:L13)=3,J13*K13*L13/1000000,"")</f>
        <v/>
      </c>
    </row>
    <row r="14" spans="1:15" ht="44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44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44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44" customHeight="1" x14ac:dyDescent="0.35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44" customHeight="1" x14ac:dyDescent="0.35">
      <c r="A18" s="15">
        <v>6</v>
      </c>
      <c r="B18" s="1"/>
      <c r="C18" s="1"/>
      <c r="D18" s="1"/>
      <c r="E18" s="1"/>
      <c r="F18" s="1"/>
      <c r="G18" s="3"/>
      <c r="H18" s="1"/>
      <c r="I18" s="1"/>
      <c r="J18" s="4"/>
      <c r="K18" s="4"/>
      <c r="L18" s="4"/>
      <c r="M18" s="3"/>
      <c r="N18" s="3"/>
      <c r="O18" s="16" t="str">
        <f t="shared" si="0"/>
        <v/>
      </c>
    </row>
    <row r="19" spans="1:15" ht="44" customHeight="1" thickBot="1" x14ac:dyDescent="0.4">
      <c r="A19" s="15">
        <v>7</v>
      </c>
      <c r="B19" s="1"/>
      <c r="C19" s="1"/>
      <c r="D19" s="1"/>
      <c r="E19" s="1"/>
      <c r="F19" s="1"/>
      <c r="G19" s="3"/>
      <c r="H19" s="1"/>
      <c r="I19" s="1"/>
      <c r="J19" s="4"/>
      <c r="K19" s="4"/>
      <c r="L19" s="4"/>
      <c r="M19" s="3"/>
      <c r="N19" s="3"/>
      <c r="O19" s="16" t="str">
        <f t="shared" si="0"/>
        <v/>
      </c>
    </row>
    <row r="20" spans="1:15" ht="22.15" customHeight="1" thickBot="1" x14ac:dyDescent="0.4">
      <c r="A20" s="82" t="s">
        <v>33</v>
      </c>
      <c r="B20" s="83"/>
      <c r="C20" s="83"/>
      <c r="D20" s="83"/>
      <c r="E20" s="83"/>
      <c r="F20" s="83"/>
      <c r="G20" s="5">
        <f>SUM(G13:G19)</f>
        <v>4</v>
      </c>
      <c r="H20" s="6"/>
      <c r="I20" s="6"/>
      <c r="J20" s="6"/>
      <c r="K20" s="6"/>
      <c r="L20" s="6"/>
      <c r="M20" s="5">
        <f>SUM(M13:M19)</f>
        <v>0</v>
      </c>
      <c r="N20" s="5">
        <f>SUM(N13:N19)</f>
        <v>16740</v>
      </c>
      <c r="O20" s="17">
        <f>SUM(O13:O19)</f>
        <v>0</v>
      </c>
    </row>
    <row r="21" spans="1:15" x14ac:dyDescent="0.35">
      <c r="A21" s="9"/>
      <c r="O21" s="10"/>
    </row>
    <row r="22" spans="1:15" ht="22.15" customHeight="1" thickBot="1" x14ac:dyDescent="0.4">
      <c r="A22" s="53" t="s">
        <v>34</v>
      </c>
      <c r="B22" s="54"/>
      <c r="C22" s="7">
        <f>COUNTA(B13:B19)</f>
        <v>0</v>
      </c>
      <c r="D22" s="54" t="s">
        <v>35</v>
      </c>
      <c r="E22" s="54"/>
      <c r="F22" s="8">
        <f>SUM(G13:G19)</f>
        <v>4</v>
      </c>
      <c r="G22" s="54" t="s">
        <v>36</v>
      </c>
      <c r="H22" s="54"/>
      <c r="I22" s="8">
        <f>SUM(M13:M19)</f>
        <v>0</v>
      </c>
      <c r="J22" s="54" t="s">
        <v>37</v>
      </c>
      <c r="K22" s="54"/>
      <c r="L22" s="8">
        <f>SUM(N13:N19)</f>
        <v>16740</v>
      </c>
      <c r="M22" s="54" t="s">
        <v>38</v>
      </c>
      <c r="N22" s="54"/>
      <c r="O22" s="18">
        <f>SUM(O13:O19)</f>
        <v>0</v>
      </c>
    </row>
    <row r="23" spans="1:15" ht="18.5" x14ac:dyDescent="0.35">
      <c r="A23" s="57" t="s">
        <v>40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/>
    </row>
    <row r="24" spans="1:15" ht="14.5" customHeight="1" x14ac:dyDescent="0.35">
      <c r="A24" s="60" t="s">
        <v>41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</row>
    <row r="25" spans="1:15" ht="15" thickBot="1" x14ac:dyDescent="0.4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</row>
  </sheetData>
  <mergeCells count="49">
    <mergeCell ref="A23:O23"/>
    <mergeCell ref="A24:O25"/>
    <mergeCell ref="N1:O1"/>
    <mergeCell ref="N2:O2"/>
    <mergeCell ref="N3:O3"/>
    <mergeCell ref="N4:O4"/>
    <mergeCell ref="A1:C4"/>
    <mergeCell ref="D22:E22"/>
    <mergeCell ref="G22:H22"/>
    <mergeCell ref="A6:B6"/>
    <mergeCell ref="J22:K22"/>
    <mergeCell ref="M10:N10"/>
    <mergeCell ref="E9:F9"/>
    <mergeCell ref="C7:H7"/>
    <mergeCell ref="M22:N22"/>
    <mergeCell ref="A20:F20"/>
    <mergeCell ref="E6:F6"/>
    <mergeCell ref="A22:B22"/>
    <mergeCell ref="K7:O7"/>
    <mergeCell ref="I10:J10"/>
    <mergeCell ref="A10:B10"/>
    <mergeCell ref="K10:L10"/>
    <mergeCell ref="G10:H10"/>
    <mergeCell ref="C10:D10"/>
    <mergeCell ref="A7:B7"/>
    <mergeCell ref="K8:L8"/>
    <mergeCell ref="E10:F10"/>
    <mergeCell ref="I7:J7"/>
    <mergeCell ref="A5:O5"/>
    <mergeCell ref="C8:H8"/>
    <mergeCell ref="A9:B9"/>
    <mergeCell ref="I8:J8"/>
    <mergeCell ref="A8:B8"/>
    <mergeCell ref="M8:N8"/>
    <mergeCell ref="M9:N9"/>
    <mergeCell ref="M6:N6"/>
    <mergeCell ref="K6:L6"/>
    <mergeCell ref="G9:H9"/>
    <mergeCell ref="I9:J9"/>
    <mergeCell ref="G6:H6"/>
    <mergeCell ref="C9:D9"/>
    <mergeCell ref="C6:D6"/>
    <mergeCell ref="I6:J6"/>
    <mergeCell ref="K9:L9"/>
    <mergeCell ref="D1:K4"/>
    <mergeCell ref="L1:M1"/>
    <mergeCell ref="L2:M2"/>
    <mergeCell ref="L3:M3"/>
    <mergeCell ref="L4:M4"/>
  </mergeCells>
  <dataValidations count="1">
    <dataValidation type="list" allowBlank="1" sqref="H13:I19" xr:uid="{00000000-0002-0000-0000-000000000000}">
      <formula1>#REF!</formula1>
    </dataValidation>
  </dataValidations>
  <pageMargins left="0.7" right="0.7" top="0.75" bottom="0.75" header="0.3" footer="0.3"/>
  <pageSetup paperSize="9" scale="7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MAEU416218-3</vt:lpstr>
      <vt:lpstr>'MAEU416218-3'!Yazdırma_Alanı</vt:lpstr>
      <vt:lpstr>'MAEU416218-3'!Yazdırma_Başlıkları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KANMAZ</dc:creator>
  <cp:lastModifiedBy>Burcu ADIGÜZEL</cp:lastModifiedBy>
  <cp:lastPrinted>2026-08-12T07:00:01Z</cp:lastPrinted>
  <dcterms:created xsi:type="dcterms:W3CDTF">2026-03-17T10:53:24Z</dcterms:created>
  <dcterms:modified xsi:type="dcterms:W3CDTF">2026-08-13T06:00:09Z</dcterms:modified>
</cp:coreProperties>
</file>