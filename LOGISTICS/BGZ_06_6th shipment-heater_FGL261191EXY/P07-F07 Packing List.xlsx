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6_6th shipment-heater_FGL261191EXY/"/>
    </mc:Choice>
  </mc:AlternateContent>
  <xr:revisionPtr revIDLastSave="30" documentId="8_{EC6B45BC-F439-47F8-8776-38D0CB9260A6}" xr6:coauthVersionLast="47" xr6:coauthVersionMax="47" xr10:uidLastSave="{61CC9DB5-22E6-4AEC-9C14-36EBAA42946C}"/>
  <bookViews>
    <workbookView xWindow="-110" yWindow="-110" windowWidth="19420" windowHeight="10300" xr2:uid="{00000000-000D-0000-FFFF-FFFF00000000}"/>
  </bookViews>
  <sheets>
    <sheet name="Packing List" sheetId="1" r:id="rId1"/>
  </sheets>
  <definedNames>
    <definedName name="_xlnm._FilterDatabase" localSheetId="0" hidden="1">'Packing List'!$A$12:$O$22</definedName>
    <definedName name="_xlnm.Print_Titles" localSheetId="0">'Packing List'!$1:$12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I25" i="1"/>
  <c r="F25" i="1"/>
  <c r="C25" i="1"/>
  <c r="N23" i="1"/>
  <c r="M23" i="1"/>
  <c r="G23" i="1"/>
  <c r="O22" i="1"/>
  <c r="O21" i="1"/>
  <c r="O20" i="1"/>
  <c r="O19" i="1"/>
  <c r="O18" i="1"/>
  <c r="O17" i="1"/>
  <c r="O16" i="1"/>
  <c r="O15" i="1"/>
  <c r="O14" i="1"/>
  <c r="O13" i="1"/>
  <c r="O25" i="1" l="1"/>
  <c r="O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A2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<sst xmlns="http://schemas.openxmlformats.org/spreadsheetml/2006/main" count="61" uniqueCount="60">
  <si>
    <t>PACKING LIST
ÇEKİ LİSTESİ</t>
  </si>
  <si>
    <t>DOCUMENT &amp; SHIPMENT INFORMATION / BELGE VE SEVKİYAT BİLGİLERİ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</si>
  <si>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</si>
  <si>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</si>
  <si>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</si>
  <si>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</si>
  <si>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</si>
  <si>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</si>
  <si>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</si>
  <si>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</si>
  <si>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</si>
  <si>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</si>
  <si>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</si>
  <si>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</si>
  <si>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</si>
  <si>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</si>
  <si>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</si>
  <si>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</si>
  <si>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</si>
  <si>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</si>
  <si>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</si>
  <si>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</si>
  <si>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</si>
  <si>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</si>
  <si>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</si>
  <si>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</si>
  <si>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</si>
  <si>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</si>
  <si>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</si>
  <si>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</si>
  <si>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</si>
  <si>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</si>
  <si>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</si>
  <si>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</si>
  <si>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</si>
  <si>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</si>
  <si>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</si>
  <si>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</si>
  <si>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</si>
  <si>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Order No. / Sipariş No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</si>
  <si>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</si>
  <si>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</si>
  <si>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Yayın Tarihi</t>
  </si>
  <si>
    <t>Doküman No</t>
  </si>
  <si>
    <t>Revizyon Tarihi</t>
  </si>
  <si>
    <t>Revizyon No</t>
  </si>
  <si>
    <t>-</t>
  </si>
  <si>
    <t>00</t>
  </si>
  <si>
    <t>P07-F07</t>
  </si>
  <si>
    <t>VMP-S01064-B6</t>
  </si>
  <si>
    <t>CIF</t>
  </si>
  <si>
    <t>VİMPO MAKİNE A.Ş.</t>
  </si>
  <si>
    <t>ATP / Africa Road for Asphalt and Petroleum Insulation Industries</t>
  </si>
  <si>
    <t>BENGHAZI</t>
  </si>
  <si>
    <t>JPU VENUS 624S</t>
  </si>
  <si>
    <t>MERSİN</t>
  </si>
  <si>
    <t>MAEU416218-3</t>
  </si>
  <si>
    <t>pcs</t>
  </si>
  <si>
    <t>HEAT EXCHANGER for Bitumen Tanks
( Bitüm Tankı Isı Eşanjörü )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</si>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</sst>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b/>
      <sz val="14"/>
      <color rgb="FF666666"/>
      <name val="Calibri"/>
    </font>
    <font>
      <b/>
      <sz val="14"/>
      <color rgb="FF1F4E78"/>
      <name val="Calibri"/>
    </font>
    <font>
      <sz val="10"/>
      <color rgb="FF666666"/>
      <name val="Calibri"/>
    </font>
    <font>
      <b/>
      <sz val="18"/>
      <color rgb="FF1F4E78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7CC"/>
      </patternFill>
    </fill>
  </fills>
  <borders count="38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 style="medium">
        <color indexed="64"/>
      </left>
      <right/>
      <top style="medium">
        <color rgb="FF1F4E78"/>
      </top>
      <bottom style="thin">
        <color rgb="FFA6A6A6"/>
      </bottom>
      <diagonal/>
    </border>
    <border>
      <left/>
      <right style="thin">
        <color rgb="FFA6A6A6"/>
      </right>
      <top style="medium">
        <color rgb="FF1F4E78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medium">
        <color rgb="FF1F4E78"/>
      </top>
      <bottom style="thin">
        <color rgb="FFA6A6A6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rgb="FF1F4E78"/>
      </bottom>
      <diagonal/>
    </border>
    <border>
      <left/>
      <right/>
      <top style="medium">
        <color indexed="64"/>
      </top>
      <bottom style="medium">
        <color rgb="FF1F4E78"/>
      </bottom>
      <diagonal/>
    </border>
    <border>
      <left/>
      <right style="medium">
        <color indexed="64"/>
      </right>
      <top style="medium">
        <color indexed="64"/>
      </top>
      <bottom style="medium">
        <color rgb="FF1F4E78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0" fillId="0" borderId="6" xfId="0" applyBorder="1"/>
    <xf numFmtId="0" fontId="0" fillId="0" borderId="7" xfId="0" applyBorder="1"/>
    <xf numFmtId="0" fontId="7" fillId="6" borderId="9" xfId="0" applyFont="1" applyFill="1" applyBorder="1" applyAlignment="1">
      <alignment horizontal="left" vertical="center" wrapText="1"/>
    </xf>
    <xf numFmtId="165" fontId="7" fillId="6" borderId="9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10" fillId="6" borderId="15" xfId="0" applyNumberFormat="1" applyFont="1" applyFill="1" applyBorder="1" applyAlignment="1">
      <alignment horizontal="left" vertical="center" wrapText="1"/>
    </xf>
    <xf numFmtId="14" fontId="10" fillId="6" borderId="16" xfId="0" applyNumberFormat="1" applyFont="1" applyFill="1" applyBorder="1" applyAlignment="1">
      <alignment horizontal="left" vertical="center" wrapText="1"/>
    </xf>
    <xf numFmtId="165" fontId="10" fillId="6" borderId="2" xfId="0" applyNumberFormat="1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49" fontId="10" fillId="6" borderId="17" xfId="0" applyNumberFormat="1" applyFont="1" applyFill="1" applyBorder="1" applyAlignment="1">
      <alignment horizontal="left" vertical="center" wrapText="1"/>
    </xf>
    <xf numFmtId="49" fontId="10" fillId="6" borderId="18" xfId="0" applyNumberFormat="1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0" fillId="0" borderId="1" xfId="0" applyBorder="1"/>
    <xf numFmtId="0" fontId="6" fillId="5" borderId="8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3" fontId="10" fillId="6" borderId="25" xfId="0" applyNumberFormat="1" applyFont="1" applyFill="1" applyBorder="1" applyAlignment="1">
      <alignment horizontal="left" vertical="center"/>
    </xf>
    <xf numFmtId="3" fontId="10" fillId="6" borderId="19" xfId="0" applyNumberFormat="1" applyFont="1" applyFill="1" applyBorder="1" applyAlignment="1">
      <alignment horizontal="left" vertical="center"/>
    </xf>
    <xf numFmtId="3" fontId="10" fillId="6" borderId="26" xfId="0" applyNumberFormat="1" applyFont="1" applyFill="1" applyBorder="1" applyAlignment="1">
      <alignment horizontal="left" vertical="center"/>
    </xf>
    <xf numFmtId="3" fontId="10" fillId="6" borderId="20" xfId="0" applyNumberFormat="1" applyFont="1" applyFill="1" applyBorder="1" applyAlignment="1">
      <alignment horizontal="left" vertical="center"/>
    </xf>
    <xf numFmtId="3" fontId="10" fillId="6" borderId="27" xfId="0" applyNumberFormat="1" applyFont="1" applyFill="1" applyBorder="1" applyAlignment="1">
      <alignment horizontal="left" vertical="center"/>
    </xf>
    <xf numFmtId="3" fontId="10" fillId="6" borderId="21" xfId="0" applyNumberFormat="1" applyFont="1" applyFill="1" applyBorder="1" applyAlignment="1">
      <alignment horizontal="left" vertical="center"/>
    </xf>
    <xf numFmtId="0" fontId="6" fillId="5" borderId="28" xfId="0" applyFont="1" applyFill="1" applyBorder="1" applyAlignment="1">
      <alignment horizontal="left" vertical="center" wrapText="1"/>
    </xf>
    <xf numFmtId="0" fontId="6" fillId="5" borderId="29" xfId="0" applyFont="1" applyFill="1" applyBorder="1" applyAlignment="1">
      <alignment horizontal="left" vertical="center" wrapText="1"/>
    </xf>
    <xf numFmtId="0" fontId="7" fillId="6" borderId="30" xfId="0" applyFont="1" applyFill="1" applyBorder="1" applyAlignment="1">
      <alignment horizontal="left" vertical="center" wrapText="1"/>
    </xf>
    <xf numFmtId="0" fontId="7" fillId="6" borderId="31" xfId="0" applyFont="1" applyFill="1" applyBorder="1" applyAlignment="1">
      <alignment horizontal="left" vertical="center" wrapText="1"/>
    </xf>
    <xf numFmtId="0" fontId="7" fillId="6" borderId="32" xfId="0" applyFont="1" applyFill="1" applyBorder="1" applyAlignment="1">
      <alignment horizontal="left" vertical="center" wrapText="1"/>
    </xf>
    <xf numFmtId="0" fontId="6" fillId="5" borderId="30" xfId="0" applyFont="1" applyFill="1" applyBorder="1" applyAlignment="1">
      <alignment horizontal="left" vertical="center" wrapText="1"/>
    </xf>
    <xf numFmtId="0" fontId="6" fillId="5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6" fillId="5" borderId="33" xfId="0" applyFont="1" applyFill="1" applyBorder="1" applyAlignment="1">
      <alignment horizontal="left" vertical="center" wrapText="1"/>
    </xf>
    <xf numFmtId="0" fontId="6" fillId="5" borderId="34" xfId="0" applyFont="1" applyFill="1" applyBorder="1" applyAlignment="1">
      <alignment horizontal="left" vertical="center" wrapText="1"/>
    </xf>
    <xf numFmtId="0" fontId="7" fillId="6" borderId="33" xfId="0" applyFont="1" applyFill="1" applyBorder="1" applyAlignment="1">
      <alignment horizontal="left" vertical="center" wrapText="1"/>
    </xf>
    <xf numFmtId="0" fontId="7" fillId="6" borderId="29" xfId="0" applyFont="1" applyFill="1" applyBorder="1" applyAlignment="1">
      <alignment horizontal="left" vertical="center" wrapText="1"/>
    </xf>
    <xf numFmtId="165" fontId="7" fillId="6" borderId="33" xfId="0" applyNumberFormat="1" applyFont="1" applyFill="1" applyBorder="1" applyAlignment="1">
      <alignment horizontal="left" vertical="center" wrapText="1"/>
    </xf>
    <xf numFmtId="165" fontId="7" fillId="6" borderId="29" xfId="0" applyNumberFormat="1" applyFont="1" applyFill="1" applyBorder="1" applyAlignment="1">
      <alignment horizontal="left" vertical="center" wrapText="1"/>
    </xf>
    <xf numFmtId="0" fontId="5" fillId="4" borderId="35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4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3AA2386-0872-B609-B92E-9C91901E06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7F0F4C9-381D-C088-0B6B-43AC54516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2A321FD9-81D2-B4FD-8B76-B91E330BF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39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CFC342-6BDE-C0CB-F7D4-8426F7390E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8B68EF0E-6222-7848-FE3B-B43DAC492A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showGridLines="0" tabSelected="1" zoomScale="55" zoomScaleNormal="55" workbookViewId="0">
      <selection activeCell="C6" sqref="C6:D6"/>
    </sheetView>
  </sheetViews>
  <sheetFormatPr defaultRowHeight="14.5" x14ac:dyDescent="0.35"/>
  <cols>
    <col min="1" max="1" width="8" customWidth="1"/>
    <col min="2" max="2" width="13" customWidth="1"/>
    <col min="3" max="3" width="12.54296875" customWidth="1"/>
    <col min="4" max="4" width="28" customWidth="1"/>
    <col min="5" max="5" width="20.26953125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34" t="e" vm="1">
        <v>#VALUE!</v>
      </c>
      <c r="B1" s="35"/>
      <c r="C1" s="36"/>
      <c r="D1" s="48" t="s">
        <v>0</v>
      </c>
      <c r="E1" s="49"/>
      <c r="F1" s="49"/>
      <c r="G1" s="49"/>
      <c r="H1" s="49"/>
      <c r="I1" s="49"/>
      <c r="J1" s="49"/>
      <c r="K1" s="50"/>
      <c r="L1" s="57" t="s">
        <v>42</v>
      </c>
      <c r="M1" s="58"/>
      <c r="N1" s="28">
        <v>46098</v>
      </c>
      <c r="O1" s="29"/>
    </row>
    <row r="2" spans="1:15" ht="18" customHeight="1" x14ac:dyDescent="0.35">
      <c r="A2" s="37"/>
      <c r="B2" s="38"/>
      <c r="C2" s="39"/>
      <c r="D2" s="51"/>
      <c r="E2" s="52"/>
      <c r="F2" s="52"/>
      <c r="G2" s="52"/>
      <c r="H2" s="52"/>
      <c r="I2" s="52"/>
      <c r="J2" s="52"/>
      <c r="K2" s="53"/>
      <c r="L2" s="59" t="s">
        <v>43</v>
      </c>
      <c r="M2" s="60"/>
      <c r="N2" s="30" t="s">
        <v>48</v>
      </c>
      <c r="O2" s="31"/>
    </row>
    <row r="3" spans="1:15" ht="16.5" customHeight="1" x14ac:dyDescent="0.35">
      <c r="A3" s="37"/>
      <c r="B3" s="38"/>
      <c r="C3" s="39"/>
      <c r="D3" s="51"/>
      <c r="E3" s="52"/>
      <c r="F3" s="52"/>
      <c r="G3" s="52"/>
      <c r="H3" s="52"/>
      <c r="I3" s="52"/>
      <c r="J3" s="52"/>
      <c r="K3" s="53"/>
      <c r="L3" s="59" t="s">
        <v>44</v>
      </c>
      <c r="M3" s="60"/>
      <c r="N3" s="30" t="s">
        <v>46</v>
      </c>
      <c r="O3" s="31"/>
    </row>
    <row r="4" spans="1:15" ht="15.75" customHeight="1" thickBot="1" x14ac:dyDescent="0.4">
      <c r="A4" s="40"/>
      <c r="B4" s="41"/>
      <c r="C4" s="42"/>
      <c r="D4" s="54"/>
      <c r="E4" s="55"/>
      <c r="F4" s="55"/>
      <c r="G4" s="55"/>
      <c r="H4" s="55"/>
      <c r="I4" s="55"/>
      <c r="J4" s="55"/>
      <c r="K4" s="56"/>
      <c r="L4" s="61" t="s">
        <v>45</v>
      </c>
      <c r="M4" s="62"/>
      <c r="N4" s="32" t="s">
        <v>47</v>
      </c>
      <c r="O4" s="33"/>
    </row>
    <row r="5" spans="1:15" ht="19.899999999999999" customHeight="1" thickBot="1" x14ac:dyDescent="0.4">
      <c r="A5" s="77" t="s">
        <v>1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</row>
    <row r="6" spans="1:15" ht="22.15" customHeight="1" x14ac:dyDescent="0.35">
      <c r="A6" s="63" t="s">
        <v>39</v>
      </c>
      <c r="B6" s="64"/>
      <c r="C6" s="73" t="s">
        <v>49</v>
      </c>
      <c r="D6" s="74"/>
      <c r="E6" s="71" t="s">
        <v>2</v>
      </c>
      <c r="F6" s="64"/>
      <c r="G6" s="75">
        <v>46245</v>
      </c>
      <c r="H6" s="76"/>
      <c r="I6" s="71" t="s">
        <v>3</v>
      </c>
      <c r="J6" s="64"/>
      <c r="K6" s="73"/>
      <c r="L6" s="74"/>
      <c r="M6" s="71" t="s">
        <v>4</v>
      </c>
      <c r="N6" s="64"/>
      <c r="O6" s="11" t="s">
        <v>50</v>
      </c>
    </row>
    <row r="7" spans="1:15" ht="22.15" customHeight="1" x14ac:dyDescent="0.35">
      <c r="A7" s="72" t="s">
        <v>5</v>
      </c>
      <c r="B7" s="69"/>
      <c r="C7" s="65" t="s">
        <v>51</v>
      </c>
      <c r="D7" s="66"/>
      <c r="E7" s="66"/>
      <c r="F7" s="66"/>
      <c r="G7" s="66"/>
      <c r="H7" s="70"/>
      <c r="I7" s="68" t="s">
        <v>6</v>
      </c>
      <c r="J7" s="69"/>
      <c r="K7" s="65" t="s">
        <v>52</v>
      </c>
      <c r="L7" s="66"/>
      <c r="M7" s="66"/>
      <c r="N7" s="66"/>
      <c r="O7" s="67"/>
    </row>
    <row r="8" spans="1:15" ht="22.15" customHeight="1" x14ac:dyDescent="0.35">
      <c r="A8" s="72" t="s">
        <v>7</v>
      </c>
      <c r="B8" s="69"/>
      <c r="C8" s="65"/>
      <c r="D8" s="66"/>
      <c r="E8" s="66"/>
      <c r="F8" s="66"/>
      <c r="G8" s="66"/>
      <c r="H8" s="70"/>
      <c r="I8" s="68" t="s">
        <v>8</v>
      </c>
      <c r="J8" s="69"/>
      <c r="K8" s="65"/>
      <c r="L8" s="70"/>
      <c r="M8" s="68" t="s">
        <v>9</v>
      </c>
      <c r="N8" s="69"/>
      <c r="O8" s="11" t="s">
        <v>53</v>
      </c>
    </row>
    <row r="9" spans="1:15" ht="22.15" customHeight="1" x14ac:dyDescent="0.35">
      <c r="A9" s="72" t="s">
        <v>10</v>
      </c>
      <c r="B9" s="69"/>
      <c r="C9" s="65" t="s">
        <v>55</v>
      </c>
      <c r="D9" s="70"/>
      <c r="E9" s="68" t="s">
        <v>11</v>
      </c>
      <c r="F9" s="69"/>
      <c r="G9" s="65" t="s">
        <v>53</v>
      </c>
      <c r="H9" s="70"/>
      <c r="I9" s="68" t="s">
        <v>12</v>
      </c>
      <c r="J9" s="69"/>
      <c r="K9" s="65" t="s">
        <v>54</v>
      </c>
      <c r="L9" s="70"/>
      <c r="M9" s="68" t="s">
        <v>13</v>
      </c>
      <c r="N9" s="69"/>
      <c r="O9" s="12">
        <v>46265</v>
      </c>
    </row>
    <row r="10" spans="1:15" ht="22.15" customHeight="1" x14ac:dyDescent="0.35">
      <c r="A10" s="45" t="s">
        <v>14</v>
      </c>
      <c r="B10" s="43"/>
      <c r="C10" s="46" t="s">
        <v>56</v>
      </c>
      <c r="D10" s="46"/>
      <c r="E10" s="43" t="s">
        <v>15</v>
      </c>
      <c r="F10" s="43"/>
      <c r="G10" s="46"/>
      <c r="H10" s="46"/>
      <c r="I10" s="43" t="s">
        <v>16</v>
      </c>
      <c r="J10" s="43"/>
      <c r="K10" s="46"/>
      <c r="L10" s="46"/>
      <c r="M10" s="43" t="s">
        <v>17</v>
      </c>
      <c r="N10" s="43"/>
      <c r="O10" s="11"/>
    </row>
    <row r="11" spans="1:15" ht="15" thickBot="1" x14ac:dyDescent="0.4">
      <c r="A11" s="9"/>
      <c r="O11" s="10"/>
    </row>
    <row r="12" spans="1:15" ht="34.15" customHeight="1" thickBot="1" x14ac:dyDescent="0.4">
      <c r="A12" s="13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14" t="s">
        <v>32</v>
      </c>
    </row>
    <row r="13" spans="1:15" ht="44" customHeight="1" x14ac:dyDescent="0.35">
      <c r="A13" s="15">
        <v>1</v>
      </c>
      <c r="B13" s="1"/>
      <c r="C13" s="1"/>
      <c r="D13" s="1" t="s">
        <v>58</v>
      </c>
      <c r="E13" s="1"/>
      <c r="F13" s="1"/>
      <c r="G13" s="80">
        <v>4</v>
      </c>
      <c r="H13" s="81" t="s">
        <v>57</v>
      </c>
      <c r="I13" s="81" t="s">
        <v>59</v>
      </c>
      <c r="J13" s="82"/>
      <c r="K13" s="82"/>
      <c r="L13" s="82"/>
      <c r="M13" s="80"/>
      <c r="N13" s="80"/>
      <c r="O13" s="83" t="str">
        <f t="shared" ref="O13:O22" si="0">IF(COUNTA(J13:L13)=3,J13*K13*L13/1000000,"")</f>
        <v/>
      </c>
    </row>
    <row r="14" spans="1:15" ht="44" customHeight="1" x14ac:dyDescent="0.35">
      <c r="A14" s="15">
        <v>2</v>
      </c>
      <c r="B14" s="1"/>
      <c r="C14" s="1"/>
      <c r="D14" s="1"/>
      <c r="E14" s="1"/>
      <c r="F14" s="1"/>
      <c r="G14" s="3"/>
      <c r="H14" s="1"/>
      <c r="I14" s="1"/>
      <c r="J14" s="4"/>
      <c r="K14" s="4"/>
      <c r="L14" s="4"/>
      <c r="M14" s="3"/>
      <c r="N14" s="3"/>
      <c r="O14" s="16" t="str">
        <f t="shared" si="0"/>
        <v/>
      </c>
    </row>
    <row r="15" spans="1:15" ht="44" customHeight="1" x14ac:dyDescent="0.35">
      <c r="A15" s="15">
        <v>3</v>
      </c>
      <c r="B15" s="1"/>
      <c r="C15" s="1"/>
      <c r="D15" s="1"/>
      <c r="E15" s="1"/>
      <c r="F15" s="1"/>
      <c r="G15" s="3"/>
      <c r="H15" s="1"/>
      <c r="I15" s="1"/>
      <c r="J15" s="4"/>
      <c r="K15" s="4"/>
      <c r="L15" s="4"/>
      <c r="M15" s="3"/>
      <c r="N15" s="3"/>
      <c r="O15" s="16" t="str">
        <f t="shared" si="0"/>
        <v/>
      </c>
    </row>
    <row r="16" spans="1:15" ht="44" customHeight="1" x14ac:dyDescent="0.35">
      <c r="A16" s="15">
        <v>4</v>
      </c>
      <c r="B16" s="1"/>
      <c r="C16" s="1"/>
      <c r="D16" s="1"/>
      <c r="E16" s="1"/>
      <c r="F16" s="1"/>
      <c r="G16" s="3"/>
      <c r="H16" s="1"/>
      <c r="I16" s="1"/>
      <c r="J16" s="4"/>
      <c r="K16" s="4"/>
      <c r="L16" s="4"/>
      <c r="M16" s="3"/>
      <c r="N16" s="3"/>
      <c r="O16" s="16" t="str">
        <f t="shared" si="0"/>
        <v/>
      </c>
    </row>
    <row r="17" spans="1:15" ht="44" customHeight="1" x14ac:dyDescent="0.35">
      <c r="A17" s="15">
        <v>5</v>
      </c>
      <c r="B17" s="1"/>
      <c r="C17" s="1"/>
      <c r="D17" s="1"/>
      <c r="E17" s="1"/>
      <c r="F17" s="1"/>
      <c r="G17" s="3"/>
      <c r="H17" s="1"/>
      <c r="I17" s="1"/>
      <c r="J17" s="4"/>
      <c r="K17" s="4"/>
      <c r="L17" s="4"/>
      <c r="M17" s="3"/>
      <c r="N17" s="3"/>
      <c r="O17" s="16" t="str">
        <f t="shared" si="0"/>
        <v/>
      </c>
    </row>
    <row r="18" spans="1:15" ht="44" customHeight="1" x14ac:dyDescent="0.35">
      <c r="A18" s="15">
        <v>6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16" t="str">
        <f t="shared" si="0"/>
        <v/>
      </c>
    </row>
    <row r="19" spans="1:15" ht="44" customHeight="1" x14ac:dyDescent="0.35">
      <c r="A19" s="15">
        <v>7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16" t="str">
        <f t="shared" si="0"/>
        <v/>
      </c>
    </row>
    <row r="20" spans="1:15" ht="44" customHeight="1" x14ac:dyDescent="0.35">
      <c r="A20" s="15">
        <v>8</v>
      </c>
      <c r="B20" s="1"/>
      <c r="C20" s="1"/>
      <c r="D20" s="1"/>
      <c r="E20" s="1"/>
      <c r="F20" s="1"/>
      <c r="G20" s="3"/>
      <c r="H20" s="1"/>
      <c r="I20" s="1"/>
      <c r="J20" s="4"/>
      <c r="K20" s="4"/>
      <c r="L20" s="4"/>
      <c r="M20" s="3"/>
      <c r="N20" s="3"/>
      <c r="O20" s="16" t="str">
        <f t="shared" si="0"/>
        <v/>
      </c>
    </row>
    <row r="21" spans="1:15" ht="44" customHeight="1" x14ac:dyDescent="0.35">
      <c r="A21" s="15">
        <v>9</v>
      </c>
      <c r="B21" s="1"/>
      <c r="C21" s="1"/>
      <c r="D21" s="1"/>
      <c r="E21" s="1"/>
      <c r="F21" s="1"/>
      <c r="G21" s="3"/>
      <c r="H21" s="1"/>
      <c r="I21" s="1"/>
      <c r="J21" s="4"/>
      <c r="K21" s="4"/>
      <c r="L21" s="4"/>
      <c r="M21" s="3"/>
      <c r="N21" s="3"/>
      <c r="O21" s="16" t="str">
        <f t="shared" si="0"/>
        <v/>
      </c>
    </row>
    <row r="22" spans="1:15" ht="44" customHeight="1" thickBot="1" x14ac:dyDescent="0.4">
      <c r="A22" s="15">
        <v>10</v>
      </c>
      <c r="B22" s="1"/>
      <c r="C22" s="1"/>
      <c r="D22" s="1"/>
      <c r="E22" s="1"/>
      <c r="F22" s="1"/>
      <c r="G22" s="3"/>
      <c r="H22" s="1"/>
      <c r="I22" s="1"/>
      <c r="J22" s="4"/>
      <c r="K22" s="4"/>
      <c r="L22" s="4"/>
      <c r="M22" s="3"/>
      <c r="N22" s="3"/>
      <c r="O22" s="16" t="str">
        <f t="shared" si="0"/>
        <v/>
      </c>
    </row>
    <row r="23" spans="1:15" ht="22.15" customHeight="1" thickBot="1" x14ac:dyDescent="0.4">
      <c r="A23" s="47" t="s">
        <v>33</v>
      </c>
      <c r="B23" s="44"/>
      <c r="C23" s="44"/>
      <c r="D23" s="44"/>
      <c r="E23" s="44"/>
      <c r="F23" s="44"/>
      <c r="G23" s="5">
        <f>SUM(G13:G22)</f>
        <v>4</v>
      </c>
      <c r="H23" s="6"/>
      <c r="I23" s="6"/>
      <c r="J23" s="6"/>
      <c r="K23" s="6"/>
      <c r="L23" s="6"/>
      <c r="M23" s="5">
        <f>SUM(M13:M22)</f>
        <v>0</v>
      </c>
      <c r="N23" s="5">
        <f>SUM(N13:N22)</f>
        <v>0</v>
      </c>
      <c r="O23" s="17">
        <f>SUM(O13:O22)</f>
        <v>0</v>
      </c>
    </row>
    <row r="24" spans="1:15" x14ac:dyDescent="0.35">
      <c r="A24" s="9"/>
      <c r="O24" s="10"/>
    </row>
    <row r="25" spans="1:15" ht="22.15" customHeight="1" thickBot="1" x14ac:dyDescent="0.4">
      <c r="A25" s="45" t="s">
        <v>34</v>
      </c>
      <c r="B25" s="43"/>
      <c r="C25" s="7">
        <f>COUNTA(B13:B22)</f>
        <v>0</v>
      </c>
      <c r="D25" s="43" t="s">
        <v>35</v>
      </c>
      <c r="E25" s="43"/>
      <c r="F25" s="8">
        <f>SUM(G13:G22)</f>
        <v>4</v>
      </c>
      <c r="G25" s="43" t="s">
        <v>36</v>
      </c>
      <c r="H25" s="43"/>
      <c r="I25" s="8">
        <f>SUM(M13:M22)</f>
        <v>0</v>
      </c>
      <c r="J25" s="43" t="s">
        <v>37</v>
      </c>
      <c r="K25" s="43"/>
      <c r="L25" s="8">
        <f>SUM(N13:N22)</f>
        <v>0</v>
      </c>
      <c r="M25" s="43" t="s">
        <v>38</v>
      </c>
      <c r="N25" s="43"/>
      <c r="O25" s="18">
        <f>SUM(O13:O22)</f>
        <v>0</v>
      </c>
    </row>
    <row r="26" spans="1:15" ht="18.5" x14ac:dyDescent="0.35">
      <c r="A26" s="19" t="s">
        <v>40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1"/>
    </row>
    <row r="27" spans="1:15" ht="14.5" customHeight="1" x14ac:dyDescent="0.35">
      <c r="A27" s="22" t="s">
        <v>41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 spans="1:15" ht="15" thickBot="1" x14ac:dyDescent="0.4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</row>
  </sheetData>
  <mergeCells count="49">
    <mergeCell ref="D1:K4"/>
    <mergeCell ref="L1:M1"/>
    <mergeCell ref="L2:M2"/>
    <mergeCell ref="L3:M3"/>
    <mergeCell ref="L4:M4"/>
    <mergeCell ref="A5:O5"/>
    <mergeCell ref="C8:H8"/>
    <mergeCell ref="A9:B9"/>
    <mergeCell ref="I8:J8"/>
    <mergeCell ref="A8:B8"/>
    <mergeCell ref="M8:N8"/>
    <mergeCell ref="I10:J10"/>
    <mergeCell ref="A10:B10"/>
    <mergeCell ref="K10:L10"/>
    <mergeCell ref="K6:L6"/>
    <mergeCell ref="G9:H9"/>
    <mergeCell ref="I9:J9"/>
    <mergeCell ref="G6:H6"/>
    <mergeCell ref="C9:D9"/>
    <mergeCell ref="C6:D6"/>
    <mergeCell ref="I6:J6"/>
    <mergeCell ref="K9:L9"/>
    <mergeCell ref="M9:N9"/>
    <mergeCell ref="G10:H10"/>
    <mergeCell ref="M10:N10"/>
    <mergeCell ref="E9:F9"/>
    <mergeCell ref="C7:H7"/>
    <mergeCell ref="M25:N25"/>
    <mergeCell ref="A23:F23"/>
    <mergeCell ref="E6:F6"/>
    <mergeCell ref="C10:D10"/>
    <mergeCell ref="A7:B7"/>
    <mergeCell ref="M6:N6"/>
    <mergeCell ref="K8:L8"/>
    <mergeCell ref="E10:F10"/>
    <mergeCell ref="I7:J7"/>
    <mergeCell ref="A25:B25"/>
    <mergeCell ref="K7:O7"/>
    <mergeCell ref="A26:O26"/>
    <mergeCell ref="A27:O28"/>
    <mergeCell ref="N1:O1"/>
    <mergeCell ref="N2:O2"/>
    <mergeCell ref="N3:O3"/>
    <mergeCell ref="N4:O4"/>
    <mergeCell ref="A1:C4"/>
    <mergeCell ref="D25:E25"/>
    <mergeCell ref="G25:H25"/>
    <mergeCell ref="A6:B6"/>
    <mergeCell ref="J25:K25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#REF!</xm:f>
          </x14:formula1>
          <xm:sqref>H13:H22</xm:sqref>
        </x14:dataValidation>
        <x14:dataValidation type="list" allowBlank="1" xr:uid="{00000000-0002-0000-0000-000001000000}">
          <x14:formula1>
            <xm:f>#REF!</xm:f>
          </x14:formula1>
          <xm:sqref>I13:I22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Packing List</vt:lpstr>
      <vt:lpstr>'Packing List'!Yazdırma_Başlıkları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KANMAZ</dc:creator>
  <cp:lastModifiedBy>Burcu ADIGÜZEL</cp:lastModifiedBy>
  <cp:lastPrinted>2026-03-17T10:52:36Z</cp:lastPrinted>
  <dcterms:created xsi:type="dcterms:W3CDTF">2026-03-17T10:53:24Z</dcterms:created>
  <dcterms:modified xsi:type="dcterms:W3CDTF">2026-08-11T12:32:22Z</dcterms:modified>
</cp:coreProperties>
</file>