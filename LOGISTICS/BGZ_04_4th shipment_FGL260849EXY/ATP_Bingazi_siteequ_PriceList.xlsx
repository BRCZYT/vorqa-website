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BGZ_04_4th shipment/"/>
    </mc:Choice>
  </mc:AlternateContent>
  <xr:revisionPtr revIDLastSave="0" documentId="8_{2195DE11-AF7C-43A5-BA4C-30C9D0B0479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iteeq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1" l="1"/>
  <c r="N64" i="1"/>
  <c r="N4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3" i="1"/>
  <c r="N65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66" i="1" s="1"/>
</calcChain>
</file>

<file path=xl/sharedStrings.xml><?xml version="1.0" encoding="utf-8"?>
<sst xmlns="http://schemas.openxmlformats.org/spreadsheetml/2006/main" count="503" uniqueCount="97">
  <si>
    <t>PROJE KODU</t>
  </si>
  <si>
    <t>PROJE ADI</t>
  </si>
  <si>
    <t>MÜŞTERİ</t>
  </si>
  <si>
    <t>Tip</t>
  </si>
  <si>
    <t>No</t>
  </si>
  <si>
    <t>Malzeme</t>
  </si>
  <si>
    <t xml:space="preserve">TALEP MİKTARI   </t>
  </si>
  <si>
    <t>Ölçü Birimi</t>
  </si>
  <si>
    <t>TEDARİKÇİ</t>
  </si>
  <si>
    <t>SATINALMA ONAY TARİHİ</t>
  </si>
  <si>
    <t>TEDARİKÇİ TESLİM TARİHİ</t>
  </si>
  <si>
    <t>PARA BİRİMİ (TL/EUR)</t>
  </si>
  <si>
    <t>Birim Fiyat</t>
  </si>
  <si>
    <t>Toplam Fiyat</t>
  </si>
  <si>
    <t>VMP-S01064-2</t>
  </si>
  <si>
    <t>ATP_SITE_Bingazi</t>
  </si>
  <si>
    <t>ATP</t>
  </si>
  <si>
    <t>Main</t>
  </si>
  <si>
    <t>KAYNAKÇI ELDİVENİ</t>
  </si>
  <si>
    <t>Adet</t>
  </si>
  <si>
    <t>FT MAKİNE</t>
  </si>
  <si>
    <t>TL</t>
  </si>
  <si>
    <t>SARI MONTAJ ELDİVENİ BEYBİ</t>
  </si>
  <si>
    <t>BAŞ MASKESİ</t>
  </si>
  <si>
    <t xml:space="preserve">MASKE CAMI SİYAH </t>
  </si>
  <si>
    <t>TAŞLAMA GÖZLÜĞÜ</t>
  </si>
  <si>
    <t>4*2,5 TTR KABLO 380 GRUP PRİZ 380 ERKEK 20 MT</t>
  </si>
  <si>
    <t>3*2,5 TTR KABLO 220 GRUP PRİZ 220 ERKEK 20 MT</t>
  </si>
  <si>
    <t>ATLAS ATCK 105-10 TON 5 MT CARASKAL</t>
  </si>
  <si>
    <t>500 GR ÇEKİÇ</t>
  </si>
  <si>
    <t>5 KG BALYOZ</t>
  </si>
  <si>
    <t>İZELTAŞ 12 PRÇ ALLEN SETİ</t>
  </si>
  <si>
    <t>İZELTAŞ 160 MM YAN KESKİ</t>
  </si>
  <si>
    <t>İZELTAŞ DÜZ TORNAVİDA 5*150</t>
  </si>
  <si>
    <t>İZELTAŞ KONTROL KALEMİ</t>
  </si>
  <si>
    <t>İZELTAŞ YILDIZ TORNAVİDA 4,5*150</t>
  </si>
  <si>
    <t>İZELTAŞ 160 MM PENSE</t>
  </si>
  <si>
    <t>İZELTAŞ 500 MM LEVYE</t>
  </si>
  <si>
    <t>İZELTAŞ 12 Lİ AÇIK AĞIZ ANAHTAR TKM</t>
  </si>
  <si>
    <t>İZELTAŞ 12 Lİ YILDIZ ANAHTAR TKM</t>
  </si>
  <si>
    <t>İZELTAŞ 1/2 BORU ANAHTARI</t>
  </si>
  <si>
    <t>İZELTAŞ 3 '' BORU ANAHTARI</t>
  </si>
  <si>
    <t>SELÜLOZİK TİNER</t>
  </si>
  <si>
    <t>25 CM RULO DEKOR</t>
  </si>
  <si>
    <t>PARMAK RULO DEKOR</t>
  </si>
  <si>
    <t>8 MM BİTS LOKMA</t>
  </si>
  <si>
    <t>BOSCH GSB 13 RE ELEKTRİKLİ MATKAP</t>
  </si>
  <si>
    <t xml:space="preserve">BOSCH GWS 750 TAŞLAMA </t>
  </si>
  <si>
    <t>EGESAN 230*3 KESME TAŞI</t>
  </si>
  <si>
    <t>EGESAN 180*8 TAŞLAMA TAŞI</t>
  </si>
  <si>
    <t>GÖNYE 35 CM</t>
  </si>
  <si>
    <t>3 TON PEHLİVAN KRİKO</t>
  </si>
  <si>
    <t>SU TERAZİSİ 60 CM MIKNATISLI</t>
  </si>
  <si>
    <t>BAĞ TELİ</t>
  </si>
  <si>
    <t>TEFLON BANT</t>
  </si>
  <si>
    <t>SİYAH ELEKTRİK BANDI</t>
  </si>
  <si>
    <t>ŞERİT METRE 30 MT FİSCO</t>
  </si>
  <si>
    <t>ŞERİT METRE 5 MT FİSCO</t>
  </si>
  <si>
    <t>DUMAN EMİCİ FAN  4000-4500 M3</t>
  </si>
  <si>
    <t>100 W PROJEKTÖR LAMBA</t>
  </si>
  <si>
    <t>BÜYÜK SİLİNDİR MAKİNESİ</t>
  </si>
  <si>
    <t>ADET</t>
  </si>
  <si>
    <t>PANO-40 MT KABLO,  380 V Multi-Outlet Electrical Panel / Distribution Board</t>
  </si>
  <si>
    <t>TMC</t>
  </si>
  <si>
    <t>Sefer</t>
  </si>
  <si>
    <t>Kaynak Makinesi (Kartsız) Soyberg 250 A Trafolu (kartsız) 350-400A</t>
  </si>
  <si>
    <t>ESER TEKNİK</t>
  </si>
  <si>
    <t>35 KAYNAK KABLOSU</t>
  </si>
  <si>
    <t>METRE</t>
  </si>
  <si>
    <t>KAYNAK PENSESİ 600 AMPER</t>
  </si>
  <si>
    <t>ŞALAMA SET+LPG SAAT</t>
  </si>
  <si>
    <t>LPG SAAT</t>
  </si>
  <si>
    <t>OKSİJEN SAAT</t>
  </si>
  <si>
    <t>MAVİ KIRMIZI HORTUM</t>
  </si>
  <si>
    <t>JAKI 70-95 ERKEK</t>
  </si>
  <si>
    <t>BAZİK ELEKTROD 4MM</t>
  </si>
  <si>
    <t>RUTİL ELEKTROD 4 MM</t>
  </si>
  <si>
    <t>BAZİK ELEKTROD 3,25 MM</t>
  </si>
  <si>
    <t>RUTİL ELEKTROD 3,25 MM</t>
  </si>
  <si>
    <t>BAZİK ELEKTROD 2,5 MM</t>
  </si>
  <si>
    <t>ELEKTROD FIRINI BMK1 1 PAKETLİK</t>
  </si>
  <si>
    <t>UZUN KOLLU TİŞÖRT</t>
  </si>
  <si>
    <t>GÜNTEKS TEKSTİL</t>
  </si>
  <si>
    <t>KOT PANTOLON</t>
  </si>
  <si>
    <t>KOT GÖMLEK</t>
  </si>
  <si>
    <t>Starline 1470-AL Otomatik Ayarlı Beyaz Baret</t>
  </si>
  <si>
    <t>OFİS ORGANİZE</t>
  </si>
  <si>
    <t>Starline 1470-AL Otomatik Ayarlı Mavi Baret</t>
  </si>
  <si>
    <t>Eksed P-117 MT Paraşüt Tipi Emniyet Kemeri</t>
  </si>
  <si>
    <t>KAYNAK MAKİNESİ SETİ (4 Ad. 2.El Redresör + 50mm Kablo + Pense + Jaki)</t>
  </si>
  <si>
    <t>Set</t>
  </si>
  <si>
    <t>1 TAKIM LAZER KESİM + BÜKÜM</t>
  </si>
  <si>
    <t>TOPLAM</t>
  </si>
  <si>
    <t xml:space="preserve">NAKLİYE  </t>
  </si>
  <si>
    <t>FLADOR</t>
  </si>
  <si>
    <t>BAYDOĞANLAR</t>
  </si>
  <si>
    <t>İLİHAN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</si>
</sst>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₺&quot;"/>
  </numFmts>
  <fonts count="3" x14ac:knownFonts="1">
    <font>
      <sz val="11"/>
      <color theme="1"/>
      <name val="Calibri"/>
      <family val="2"/>
      <charset val="1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/>
    <xf numFmtId="165" fontId="2" fillId="0" borderId="5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165" fontId="2" fillId="0" borderId="0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E1" zoomScale="85" zoomScaleNormal="85" workbookViewId="0">
      <selection activeCell="R5" sqref="R5"/>
    </sheetView>
  </sheetViews>
  <sheetFormatPr defaultColWidth="8.6328125" defaultRowHeight="14.5" x14ac:dyDescent="0.35"/>
  <cols>
    <col min="1" max="1" width="14" customWidth="1"/>
    <col min="2" max="2" width="18" hidden="1" customWidth="1"/>
    <col min="3" max="3" width="8" hidden="1" customWidth="1"/>
    <col min="4" max="4" width="7" hidden="1" customWidth="1"/>
    <col min="5" max="5" width="5" style="6" customWidth="1"/>
    <col min="6" max="6" width="46" customWidth="1"/>
    <col min="7" max="7" width="9" style="6" customWidth="1"/>
    <col min="8" max="8" width="10" style="6" customWidth="1"/>
    <col min="9" max="9" width="15.81640625" style="6" bestFit="1" customWidth="1"/>
    <col min="10" max="10" width="14" hidden="1" customWidth="1"/>
    <col min="11" max="11" width="13" hidden="1" customWidth="1"/>
    <col min="12" max="12" width="10" style="6" hidden="1" customWidth="1"/>
    <col min="13" max="13" width="15" style="6" customWidth="1"/>
    <col min="14" max="14" width="16" style="6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5">
        <v>1</v>
      </c>
      <c r="F2" s="2" t="s">
        <v>18</v>
      </c>
      <c r="G2" s="5">
        <v>180</v>
      </c>
      <c r="H2" s="5" t="s">
        <v>19</v>
      </c>
      <c r="I2" s="5" t="s">
        <v>20</v>
      </c>
      <c r="J2" s="3">
        <v>46076</v>
      </c>
      <c r="K2" s="3">
        <v>46132</v>
      </c>
      <c r="L2" s="5" t="s">
        <v>21</v>
      </c>
      <c r="M2" s="7">
        <v>245</v>
      </c>
      <c r="N2" s="7">
        <f>M2*G2</f>
        <v>44100</v>
      </c>
    </row>
    <row r="3" spans="1:14" x14ac:dyDescent="0.35">
      <c r="A3" s="2" t="s">
        <v>14</v>
      </c>
      <c r="B3" s="2" t="s">
        <v>15</v>
      </c>
      <c r="C3" s="2" t="s">
        <v>16</v>
      </c>
      <c r="D3" s="2" t="s">
        <v>17</v>
      </c>
      <c r="E3" s="5">
        <v>2</v>
      </c>
      <c r="F3" s="2" t="s">
        <v>22</v>
      </c>
      <c r="G3" s="5">
        <v>300</v>
      </c>
      <c r="H3" s="5" t="s">
        <v>19</v>
      </c>
      <c r="I3" s="5" t="s">
        <v>20</v>
      </c>
      <c r="J3" s="3"/>
      <c r="K3" s="3"/>
      <c r="L3" s="5" t="s">
        <v>21</v>
      </c>
      <c r="M3" s="7">
        <v>40</v>
      </c>
      <c r="N3" s="7">
        <f t="shared" ref="N3:N33" si="0">M3*G3</f>
        <v>12000</v>
      </c>
    </row>
    <row r="4" spans="1:14" x14ac:dyDescent="0.35">
      <c r="A4" s="2" t="s">
        <v>14</v>
      </c>
      <c r="B4" s="2" t="s">
        <v>15</v>
      </c>
      <c r="C4" s="2" t="s">
        <v>16</v>
      </c>
      <c r="D4" s="2" t="s">
        <v>17</v>
      </c>
      <c r="E4" s="5">
        <v>3</v>
      </c>
      <c r="F4" s="2" t="s">
        <v>23</v>
      </c>
      <c r="G4" s="5">
        <v>10</v>
      </c>
      <c r="H4" s="5" t="s">
        <v>19</v>
      </c>
      <c r="I4" s="5" t="s">
        <v>20</v>
      </c>
      <c r="J4" s="3"/>
      <c r="K4" s="3"/>
      <c r="L4" s="5" t="s">
        <v>21</v>
      </c>
      <c r="M4" s="7">
        <v>120</v>
      </c>
      <c r="N4" s="7">
        <f t="shared" si="0"/>
        <v>1200</v>
      </c>
    </row>
    <row r="5" spans="1:14" x14ac:dyDescent="0.35">
      <c r="A5" s="2" t="s">
        <v>14</v>
      </c>
      <c r="B5" s="2" t="s">
        <v>15</v>
      </c>
      <c r="C5" s="2" t="s">
        <v>16</v>
      </c>
      <c r="D5" s="2" t="s">
        <v>17</v>
      </c>
      <c r="E5" s="5">
        <v>4</v>
      </c>
      <c r="F5" s="2" t="s">
        <v>24</v>
      </c>
      <c r="G5" s="5">
        <v>100</v>
      </c>
      <c r="H5" s="5" t="s">
        <v>19</v>
      </c>
      <c r="I5" s="5" t="s">
        <v>20</v>
      </c>
      <c r="J5" s="3"/>
      <c r="K5" s="3"/>
      <c r="L5" s="5" t="s">
        <v>21</v>
      </c>
      <c r="M5" s="7">
        <v>12</v>
      </c>
      <c r="N5" s="7">
        <f t="shared" si="0"/>
        <v>1200</v>
      </c>
    </row>
    <row r="6" spans="1:14" x14ac:dyDescent="0.35">
      <c r="A6" s="2" t="s">
        <v>14</v>
      </c>
      <c r="B6" s="2" t="s">
        <v>15</v>
      </c>
      <c r="C6" s="2" t="s">
        <v>16</v>
      </c>
      <c r="D6" s="2" t="s">
        <v>17</v>
      </c>
      <c r="E6" s="5">
        <v>5</v>
      </c>
      <c r="F6" s="2" t="s">
        <v>25</v>
      </c>
      <c r="G6" s="5">
        <v>20</v>
      </c>
      <c r="H6" s="5" t="s">
        <v>19</v>
      </c>
      <c r="I6" s="5" t="s">
        <v>20</v>
      </c>
      <c r="J6" s="3"/>
      <c r="K6" s="3"/>
      <c r="L6" s="5" t="s">
        <v>21</v>
      </c>
      <c r="M6" s="7">
        <v>20</v>
      </c>
      <c r="N6" s="7">
        <f t="shared" si="0"/>
        <v>400</v>
      </c>
    </row>
    <row r="7" spans="1:14" x14ac:dyDescent="0.35">
      <c r="A7" s="2" t="s">
        <v>14</v>
      </c>
      <c r="B7" s="2" t="s">
        <v>15</v>
      </c>
      <c r="C7" s="2" t="s">
        <v>16</v>
      </c>
      <c r="D7" s="2" t="s">
        <v>17</v>
      </c>
      <c r="E7" s="5">
        <v>6</v>
      </c>
      <c r="F7" s="2" t="s">
        <v>26</v>
      </c>
      <c r="G7" s="5">
        <v>4</v>
      </c>
      <c r="H7" s="5" t="s">
        <v>19</v>
      </c>
      <c r="I7" s="5" t="s">
        <v>20</v>
      </c>
      <c r="J7" s="3"/>
      <c r="K7" s="3"/>
      <c r="L7" s="5" t="s">
        <v>21</v>
      </c>
      <c r="M7" s="7">
        <v>2050</v>
      </c>
      <c r="N7" s="7">
        <f t="shared" si="0"/>
        <v>8200</v>
      </c>
    </row>
    <row r="8" spans="1:14" x14ac:dyDescent="0.35">
      <c r="A8" s="2" t="s">
        <v>14</v>
      </c>
      <c r="B8" s="2" t="s">
        <v>15</v>
      </c>
      <c r="C8" s="2" t="s">
        <v>16</v>
      </c>
      <c r="D8" s="2" t="s">
        <v>17</v>
      </c>
      <c r="E8" s="5">
        <v>7</v>
      </c>
      <c r="F8" s="2" t="s">
        <v>27</v>
      </c>
      <c r="G8" s="5">
        <v>4</v>
      </c>
      <c r="H8" s="5" t="s">
        <v>19</v>
      </c>
      <c r="I8" s="5" t="s">
        <v>20</v>
      </c>
      <c r="J8" s="3"/>
      <c r="K8" s="3"/>
      <c r="L8" s="5" t="s">
        <v>21</v>
      </c>
      <c r="M8" s="7">
        <v>1500</v>
      </c>
      <c r="N8" s="7">
        <f t="shared" si="0"/>
        <v>6000</v>
      </c>
    </row>
    <row r="9" spans="1:14" x14ac:dyDescent="0.35">
      <c r="A9" s="2" t="s">
        <v>14</v>
      </c>
      <c r="B9" s="2" t="s">
        <v>15</v>
      </c>
      <c r="C9" s="2" t="s">
        <v>16</v>
      </c>
      <c r="D9" s="2" t="s">
        <v>17</v>
      </c>
      <c r="E9" s="5">
        <v>8</v>
      </c>
      <c r="F9" s="2" t="s">
        <v>28</v>
      </c>
      <c r="G9" s="5">
        <v>8</v>
      </c>
      <c r="H9" s="5" t="s">
        <v>19</v>
      </c>
      <c r="I9" s="5" t="s">
        <v>20</v>
      </c>
      <c r="J9" s="3"/>
      <c r="K9" s="3"/>
      <c r="L9" s="5" t="s">
        <v>21</v>
      </c>
      <c r="M9" s="7">
        <v>25900</v>
      </c>
      <c r="N9" s="7">
        <f t="shared" si="0"/>
        <v>207200</v>
      </c>
    </row>
    <row r="10" spans="1:14" x14ac:dyDescent="0.35">
      <c r="A10" s="2" t="s">
        <v>14</v>
      </c>
      <c r="B10" s="2" t="s">
        <v>15</v>
      </c>
      <c r="C10" s="2" t="s">
        <v>16</v>
      </c>
      <c r="D10" s="2" t="s">
        <v>17</v>
      </c>
      <c r="E10" s="5">
        <v>9</v>
      </c>
      <c r="F10" s="2" t="s">
        <v>29</v>
      </c>
      <c r="G10" s="5">
        <v>5</v>
      </c>
      <c r="H10" s="5" t="s">
        <v>19</v>
      </c>
      <c r="I10" s="5" t="s">
        <v>20</v>
      </c>
      <c r="J10" s="3"/>
      <c r="K10" s="3"/>
      <c r="L10" s="5" t="s">
        <v>21</v>
      </c>
      <c r="M10" s="7">
        <v>90</v>
      </c>
      <c r="N10" s="7">
        <f t="shared" si="0"/>
        <v>450</v>
      </c>
    </row>
    <row r="11" spans="1:14" x14ac:dyDescent="0.35">
      <c r="A11" s="2" t="s">
        <v>14</v>
      </c>
      <c r="B11" s="2" t="s">
        <v>15</v>
      </c>
      <c r="C11" s="2" t="s">
        <v>16</v>
      </c>
      <c r="D11" s="2" t="s">
        <v>17</v>
      </c>
      <c r="E11" s="5">
        <v>10</v>
      </c>
      <c r="F11" s="2" t="s">
        <v>30</v>
      </c>
      <c r="G11" s="5">
        <v>3</v>
      </c>
      <c r="H11" s="5" t="s">
        <v>19</v>
      </c>
      <c r="I11" s="5" t="s">
        <v>20</v>
      </c>
      <c r="J11" s="3"/>
      <c r="K11" s="3"/>
      <c r="L11" s="5" t="s">
        <v>21</v>
      </c>
      <c r="M11" s="7">
        <v>475</v>
      </c>
      <c r="N11" s="7">
        <f t="shared" si="0"/>
        <v>1425</v>
      </c>
    </row>
    <row r="12" spans="1:14" x14ac:dyDescent="0.35">
      <c r="A12" s="2" t="s">
        <v>14</v>
      </c>
      <c r="B12" s="2" t="s">
        <v>15</v>
      </c>
      <c r="C12" s="2" t="s">
        <v>16</v>
      </c>
      <c r="D12" s="2" t="s">
        <v>17</v>
      </c>
      <c r="E12" s="5">
        <v>11</v>
      </c>
      <c r="F12" s="2" t="s">
        <v>31</v>
      </c>
      <c r="G12" s="5">
        <v>1</v>
      </c>
      <c r="H12" s="5" t="s">
        <v>19</v>
      </c>
      <c r="I12" s="5" t="s">
        <v>20</v>
      </c>
      <c r="J12" s="3"/>
      <c r="K12" s="3"/>
      <c r="L12" s="5" t="s">
        <v>21</v>
      </c>
      <c r="M12" s="7">
        <v>770</v>
      </c>
      <c r="N12" s="7">
        <f t="shared" si="0"/>
        <v>770</v>
      </c>
    </row>
    <row r="13" spans="1:14" x14ac:dyDescent="0.35">
      <c r="A13" s="2" t="s">
        <v>14</v>
      </c>
      <c r="B13" s="2" t="s">
        <v>15</v>
      </c>
      <c r="C13" s="2" t="s">
        <v>16</v>
      </c>
      <c r="D13" s="2" t="s">
        <v>17</v>
      </c>
      <c r="E13" s="5">
        <v>12</v>
      </c>
      <c r="F13" s="2" t="s">
        <v>32</v>
      </c>
      <c r="G13" s="5">
        <v>5</v>
      </c>
      <c r="H13" s="5" t="s">
        <v>19</v>
      </c>
      <c r="I13" s="5" t="s">
        <v>20</v>
      </c>
      <c r="J13" s="3"/>
      <c r="K13" s="3"/>
      <c r="L13" s="5" t="s">
        <v>21</v>
      </c>
      <c r="M13" s="7">
        <v>700</v>
      </c>
      <c r="N13" s="7">
        <f t="shared" si="0"/>
        <v>3500</v>
      </c>
    </row>
    <row r="14" spans="1:14" x14ac:dyDescent="0.35">
      <c r="A14" s="2" t="s">
        <v>14</v>
      </c>
      <c r="B14" s="2" t="s">
        <v>15</v>
      </c>
      <c r="C14" s="2" t="s">
        <v>16</v>
      </c>
      <c r="D14" s="2" t="s">
        <v>17</v>
      </c>
      <c r="E14" s="5">
        <v>13</v>
      </c>
      <c r="F14" s="2" t="s">
        <v>33</v>
      </c>
      <c r="G14" s="5">
        <v>5</v>
      </c>
      <c r="H14" s="5" t="s">
        <v>19</v>
      </c>
      <c r="I14" s="5" t="s">
        <v>20</v>
      </c>
      <c r="J14" s="3"/>
      <c r="K14" s="3"/>
      <c r="L14" s="5" t="s">
        <v>21</v>
      </c>
      <c r="M14" s="7">
        <v>190</v>
      </c>
      <c r="N14" s="7">
        <f t="shared" si="0"/>
        <v>950</v>
      </c>
    </row>
    <row r="15" spans="1:14" x14ac:dyDescent="0.35">
      <c r="A15" s="2" t="s">
        <v>14</v>
      </c>
      <c r="B15" s="2" t="s">
        <v>15</v>
      </c>
      <c r="C15" s="2" t="s">
        <v>16</v>
      </c>
      <c r="D15" s="2" t="s">
        <v>17</v>
      </c>
      <c r="E15" s="5">
        <v>14</v>
      </c>
      <c r="F15" s="2" t="s">
        <v>34</v>
      </c>
      <c r="G15" s="5">
        <v>5</v>
      </c>
      <c r="H15" s="5" t="s">
        <v>19</v>
      </c>
      <c r="I15" s="5" t="s">
        <v>20</v>
      </c>
      <c r="J15" s="3"/>
      <c r="K15" s="3"/>
      <c r="L15" s="5" t="s">
        <v>21</v>
      </c>
      <c r="M15" s="7">
        <v>140</v>
      </c>
      <c r="N15" s="7">
        <f t="shared" si="0"/>
        <v>700</v>
      </c>
    </row>
    <row r="16" spans="1:14" x14ac:dyDescent="0.35">
      <c r="A16" s="2" t="s">
        <v>14</v>
      </c>
      <c r="B16" s="2" t="s">
        <v>15</v>
      </c>
      <c r="C16" s="2" t="s">
        <v>16</v>
      </c>
      <c r="D16" s="2" t="s">
        <v>17</v>
      </c>
      <c r="E16" s="5">
        <v>15</v>
      </c>
      <c r="F16" s="2" t="s">
        <v>35</v>
      </c>
      <c r="G16" s="5">
        <v>5</v>
      </c>
      <c r="H16" s="5" t="s">
        <v>19</v>
      </c>
      <c r="I16" s="5" t="s">
        <v>20</v>
      </c>
      <c r="J16" s="3"/>
      <c r="K16" s="3"/>
      <c r="L16" s="5" t="s">
        <v>21</v>
      </c>
      <c r="M16" s="7">
        <v>215</v>
      </c>
      <c r="N16" s="7">
        <f t="shared" si="0"/>
        <v>1075</v>
      </c>
    </row>
    <row r="17" spans="1:14" x14ac:dyDescent="0.35">
      <c r="A17" s="2" t="s">
        <v>14</v>
      </c>
      <c r="B17" s="2" t="s">
        <v>15</v>
      </c>
      <c r="C17" s="2" t="s">
        <v>16</v>
      </c>
      <c r="D17" s="2" t="s">
        <v>17</v>
      </c>
      <c r="E17" s="5">
        <v>16</v>
      </c>
      <c r="F17" s="2" t="s">
        <v>36</v>
      </c>
      <c r="G17" s="5">
        <v>5</v>
      </c>
      <c r="H17" s="5" t="s">
        <v>19</v>
      </c>
      <c r="I17" s="5" t="s">
        <v>20</v>
      </c>
      <c r="J17" s="3"/>
      <c r="K17" s="3"/>
      <c r="L17" s="5" t="s">
        <v>21</v>
      </c>
      <c r="M17" s="7">
        <v>560</v>
      </c>
      <c r="N17" s="7">
        <f t="shared" si="0"/>
        <v>2800</v>
      </c>
    </row>
    <row r="18" spans="1:14" x14ac:dyDescent="0.35">
      <c r="A18" s="2" t="s">
        <v>14</v>
      </c>
      <c r="B18" s="2" t="s">
        <v>15</v>
      </c>
      <c r="C18" s="2" t="s">
        <v>16</v>
      </c>
      <c r="D18" s="2" t="s">
        <v>17</v>
      </c>
      <c r="E18" s="5">
        <v>17</v>
      </c>
      <c r="F18" s="2" t="s">
        <v>37</v>
      </c>
      <c r="G18" s="5">
        <v>10</v>
      </c>
      <c r="H18" s="5" t="s">
        <v>19</v>
      </c>
      <c r="I18" s="5" t="s">
        <v>20</v>
      </c>
      <c r="J18" s="3"/>
      <c r="K18" s="3"/>
      <c r="L18" s="5" t="s">
        <v>21</v>
      </c>
      <c r="M18" s="7">
        <v>715</v>
      </c>
      <c r="N18" s="7">
        <f t="shared" si="0"/>
        <v>7150</v>
      </c>
    </row>
    <row r="19" spans="1:14" x14ac:dyDescent="0.35">
      <c r="A19" s="2" t="s">
        <v>14</v>
      </c>
      <c r="B19" s="2" t="s">
        <v>15</v>
      </c>
      <c r="C19" s="2" t="s">
        <v>16</v>
      </c>
      <c r="D19" s="2" t="s">
        <v>17</v>
      </c>
      <c r="E19" s="5">
        <v>18</v>
      </c>
      <c r="F19" s="2" t="s">
        <v>38</v>
      </c>
      <c r="G19" s="5">
        <v>1</v>
      </c>
      <c r="H19" s="5" t="s">
        <v>19</v>
      </c>
      <c r="I19" s="5" t="s">
        <v>20</v>
      </c>
      <c r="J19" s="3"/>
      <c r="K19" s="3"/>
      <c r="L19" s="5" t="s">
        <v>21</v>
      </c>
      <c r="M19" s="7">
        <v>1750</v>
      </c>
      <c r="N19" s="7">
        <f t="shared" si="0"/>
        <v>1750</v>
      </c>
    </row>
    <row r="20" spans="1:14" x14ac:dyDescent="0.35">
      <c r="A20" s="2" t="s">
        <v>14</v>
      </c>
      <c r="B20" s="2" t="s">
        <v>15</v>
      </c>
      <c r="C20" s="2" t="s">
        <v>16</v>
      </c>
      <c r="D20" s="2" t="s">
        <v>17</v>
      </c>
      <c r="E20" s="5">
        <v>19</v>
      </c>
      <c r="F20" s="2" t="s">
        <v>39</v>
      </c>
      <c r="G20" s="5">
        <v>1</v>
      </c>
      <c r="H20" s="5" t="s">
        <v>19</v>
      </c>
      <c r="I20" s="5" t="s">
        <v>20</v>
      </c>
      <c r="J20" s="3"/>
      <c r="K20" s="3"/>
      <c r="L20" s="5" t="s">
        <v>21</v>
      </c>
      <c r="M20" s="7">
        <v>3950</v>
      </c>
      <c r="N20" s="7">
        <f t="shared" si="0"/>
        <v>3950</v>
      </c>
    </row>
    <row r="21" spans="1:14" x14ac:dyDescent="0.35">
      <c r="A21" s="2" t="s">
        <v>14</v>
      </c>
      <c r="B21" s="2" t="s">
        <v>15</v>
      </c>
      <c r="C21" s="2" t="s">
        <v>16</v>
      </c>
      <c r="D21" s="2" t="s">
        <v>17</v>
      </c>
      <c r="E21" s="5">
        <v>20</v>
      </c>
      <c r="F21" s="2" t="s">
        <v>40</v>
      </c>
      <c r="G21" s="5">
        <v>1</v>
      </c>
      <c r="H21" s="5" t="s">
        <v>19</v>
      </c>
      <c r="I21" s="5" t="s">
        <v>20</v>
      </c>
      <c r="J21" s="3"/>
      <c r="K21" s="3"/>
      <c r="L21" s="5" t="s">
        <v>21</v>
      </c>
      <c r="M21" s="7">
        <v>1625</v>
      </c>
      <c r="N21" s="7">
        <f t="shared" si="0"/>
        <v>1625</v>
      </c>
    </row>
    <row r="22" spans="1:14" x14ac:dyDescent="0.35">
      <c r="A22" s="2" t="s">
        <v>14</v>
      </c>
      <c r="B22" s="2" t="s">
        <v>15</v>
      </c>
      <c r="C22" s="2" t="s">
        <v>16</v>
      </c>
      <c r="D22" s="2" t="s">
        <v>17</v>
      </c>
      <c r="E22" s="5">
        <v>21</v>
      </c>
      <c r="F22" s="2" t="s">
        <v>41</v>
      </c>
      <c r="G22" s="5">
        <v>1</v>
      </c>
      <c r="H22" s="5" t="s">
        <v>19</v>
      </c>
      <c r="I22" s="5" t="s">
        <v>20</v>
      </c>
      <c r="J22" s="3"/>
      <c r="K22" s="3"/>
      <c r="L22" s="5" t="s">
        <v>21</v>
      </c>
      <c r="M22" s="7">
        <v>3690</v>
      </c>
      <c r="N22" s="7">
        <f t="shared" si="0"/>
        <v>3690</v>
      </c>
    </row>
    <row r="23" spans="1:14" x14ac:dyDescent="0.35">
      <c r="A23" s="2" t="s">
        <v>14</v>
      </c>
      <c r="B23" s="2" t="s">
        <v>15</v>
      </c>
      <c r="C23" s="2" t="s">
        <v>16</v>
      </c>
      <c r="D23" s="2" t="s">
        <v>17</v>
      </c>
      <c r="E23" s="5">
        <v>22</v>
      </c>
      <c r="F23" s="2" t="s">
        <v>42</v>
      </c>
      <c r="G23" s="5">
        <v>4</v>
      </c>
      <c r="H23" s="5" t="s">
        <v>19</v>
      </c>
      <c r="I23" s="5" t="s">
        <v>20</v>
      </c>
      <c r="J23" s="3"/>
      <c r="K23" s="3"/>
      <c r="L23" s="5" t="s">
        <v>21</v>
      </c>
      <c r="M23" s="7">
        <v>750</v>
      </c>
      <c r="N23" s="7">
        <f t="shared" si="0"/>
        <v>3000</v>
      </c>
    </row>
    <row r="24" spans="1:14" x14ac:dyDescent="0.35">
      <c r="A24" s="2" t="s">
        <v>14</v>
      </c>
      <c r="B24" s="2" t="s">
        <v>15</v>
      </c>
      <c r="C24" s="2" t="s">
        <v>16</v>
      </c>
      <c r="D24" s="2" t="s">
        <v>17</v>
      </c>
      <c r="E24" s="5">
        <v>23</v>
      </c>
      <c r="F24" s="2" t="s">
        <v>43</v>
      </c>
      <c r="G24" s="5">
        <v>4</v>
      </c>
      <c r="H24" s="5" t="s">
        <v>19</v>
      </c>
      <c r="I24" s="5" t="s">
        <v>20</v>
      </c>
      <c r="J24" s="3"/>
      <c r="K24" s="3"/>
      <c r="L24" s="5" t="s">
        <v>21</v>
      </c>
      <c r="M24" s="7">
        <v>185</v>
      </c>
      <c r="N24" s="7">
        <f t="shared" si="0"/>
        <v>740</v>
      </c>
    </row>
    <row r="25" spans="1:14" x14ac:dyDescent="0.35">
      <c r="A25" s="2" t="s">
        <v>14</v>
      </c>
      <c r="B25" s="2" t="s">
        <v>15</v>
      </c>
      <c r="C25" s="2" t="s">
        <v>16</v>
      </c>
      <c r="D25" s="2" t="s">
        <v>17</v>
      </c>
      <c r="E25" s="5">
        <v>24</v>
      </c>
      <c r="F25" s="2" t="s">
        <v>44</v>
      </c>
      <c r="G25" s="5">
        <v>15</v>
      </c>
      <c r="H25" s="5" t="s">
        <v>19</v>
      </c>
      <c r="I25" s="5" t="s">
        <v>20</v>
      </c>
      <c r="J25" s="3"/>
      <c r="K25" s="3"/>
      <c r="L25" s="5" t="s">
        <v>21</v>
      </c>
      <c r="M25" s="7">
        <v>50</v>
      </c>
      <c r="N25" s="7">
        <f t="shared" si="0"/>
        <v>750</v>
      </c>
    </row>
    <row r="26" spans="1:14" x14ac:dyDescent="0.35">
      <c r="A26" s="2" t="s">
        <v>14</v>
      </c>
      <c r="B26" s="2" t="s">
        <v>15</v>
      </c>
      <c r="C26" s="2" t="s">
        <v>16</v>
      </c>
      <c r="D26" s="2" t="s">
        <v>17</v>
      </c>
      <c r="E26" s="5">
        <v>25</v>
      </c>
      <c r="F26" s="2" t="s">
        <v>45</v>
      </c>
      <c r="G26" s="5">
        <v>10</v>
      </c>
      <c r="H26" s="5" t="s">
        <v>19</v>
      </c>
      <c r="I26" s="5" t="s">
        <v>20</v>
      </c>
      <c r="J26" s="3"/>
      <c r="K26" s="3"/>
      <c r="L26" s="5" t="s">
        <v>21</v>
      </c>
      <c r="M26" s="7">
        <v>65</v>
      </c>
      <c r="N26" s="7">
        <f t="shared" si="0"/>
        <v>650</v>
      </c>
    </row>
    <row r="27" spans="1:14" x14ac:dyDescent="0.35">
      <c r="A27" s="2" t="s">
        <v>14</v>
      </c>
      <c r="B27" s="2" t="s">
        <v>15</v>
      </c>
      <c r="C27" s="2" t="s">
        <v>16</v>
      </c>
      <c r="D27" s="2" t="s">
        <v>17</v>
      </c>
      <c r="E27" s="5">
        <v>26</v>
      </c>
      <c r="F27" s="2" t="s">
        <v>46</v>
      </c>
      <c r="G27" s="5">
        <v>1</v>
      </c>
      <c r="H27" s="5" t="s">
        <v>19</v>
      </c>
      <c r="I27" s="5" t="s">
        <v>20</v>
      </c>
      <c r="J27" s="3"/>
      <c r="K27" s="3"/>
      <c r="L27" s="5" t="s">
        <v>21</v>
      </c>
      <c r="M27" s="7">
        <v>3300</v>
      </c>
      <c r="N27" s="7">
        <f t="shared" si="0"/>
        <v>3300</v>
      </c>
    </row>
    <row r="28" spans="1:14" x14ac:dyDescent="0.35">
      <c r="A28" s="2" t="s">
        <v>14</v>
      </c>
      <c r="B28" s="2" t="s">
        <v>15</v>
      </c>
      <c r="C28" s="2" t="s">
        <v>16</v>
      </c>
      <c r="D28" s="2" t="s">
        <v>17</v>
      </c>
      <c r="E28" s="5">
        <v>27</v>
      </c>
      <c r="F28" s="2" t="s">
        <v>47</v>
      </c>
      <c r="G28" s="5">
        <v>1</v>
      </c>
      <c r="H28" s="5" t="s">
        <v>19</v>
      </c>
      <c r="I28" s="5" t="s">
        <v>20</v>
      </c>
      <c r="J28" s="3"/>
      <c r="K28" s="3"/>
      <c r="L28" s="5" t="s">
        <v>21</v>
      </c>
      <c r="M28" s="7">
        <v>2800</v>
      </c>
      <c r="N28" s="7">
        <f t="shared" si="0"/>
        <v>2800</v>
      </c>
    </row>
    <row r="29" spans="1:14" x14ac:dyDescent="0.35">
      <c r="A29" s="2" t="s">
        <v>14</v>
      </c>
      <c r="B29" s="2" t="s">
        <v>15</v>
      </c>
      <c r="C29" s="2" t="s">
        <v>16</v>
      </c>
      <c r="D29" s="2" t="s">
        <v>17</v>
      </c>
      <c r="E29" s="5">
        <v>28</v>
      </c>
      <c r="F29" s="2" t="s">
        <v>48</v>
      </c>
      <c r="G29" s="5">
        <v>125</v>
      </c>
      <c r="H29" s="5" t="s">
        <v>19</v>
      </c>
      <c r="I29" s="5" t="s">
        <v>20</v>
      </c>
      <c r="J29" s="3"/>
      <c r="K29" s="3"/>
      <c r="L29" s="5" t="s">
        <v>21</v>
      </c>
      <c r="M29" s="7">
        <v>65</v>
      </c>
      <c r="N29" s="7">
        <f t="shared" si="0"/>
        <v>8125</v>
      </c>
    </row>
    <row r="30" spans="1:14" x14ac:dyDescent="0.35">
      <c r="A30" s="2" t="s">
        <v>14</v>
      </c>
      <c r="B30" s="2" t="s">
        <v>15</v>
      </c>
      <c r="C30" s="2" t="s">
        <v>16</v>
      </c>
      <c r="D30" s="2" t="s">
        <v>17</v>
      </c>
      <c r="E30" s="5">
        <v>29</v>
      </c>
      <c r="F30" s="2" t="s">
        <v>49</v>
      </c>
      <c r="G30" s="5">
        <v>150</v>
      </c>
      <c r="H30" s="5" t="s">
        <v>19</v>
      </c>
      <c r="I30" s="5" t="s">
        <v>20</v>
      </c>
      <c r="J30" s="3"/>
      <c r="K30" s="3"/>
      <c r="L30" s="5" t="s">
        <v>21</v>
      </c>
      <c r="M30" s="7">
        <v>88</v>
      </c>
      <c r="N30" s="7">
        <f t="shared" si="0"/>
        <v>13200</v>
      </c>
    </row>
    <row r="31" spans="1:14" x14ac:dyDescent="0.35">
      <c r="A31" s="2" t="s">
        <v>14</v>
      </c>
      <c r="B31" s="2" t="s">
        <v>15</v>
      </c>
      <c r="C31" s="2" t="s">
        <v>16</v>
      </c>
      <c r="D31" s="2" t="s">
        <v>17</v>
      </c>
      <c r="E31" s="5">
        <v>30</v>
      </c>
      <c r="F31" s="2" t="s">
        <v>50</v>
      </c>
      <c r="G31" s="5">
        <v>3</v>
      </c>
      <c r="H31" s="5" t="s">
        <v>19</v>
      </c>
      <c r="I31" s="5" t="s">
        <v>20</v>
      </c>
      <c r="J31" s="3"/>
      <c r="K31" s="3"/>
      <c r="L31" s="5" t="s">
        <v>21</v>
      </c>
      <c r="M31" s="7">
        <v>290</v>
      </c>
      <c r="N31" s="7">
        <f t="shared" si="0"/>
        <v>870</v>
      </c>
    </row>
    <row r="32" spans="1:14" x14ac:dyDescent="0.35">
      <c r="A32" s="2" t="s">
        <v>14</v>
      </c>
      <c r="B32" s="2" t="s">
        <v>15</v>
      </c>
      <c r="C32" s="2" t="s">
        <v>16</v>
      </c>
      <c r="D32" s="2" t="s">
        <v>17</v>
      </c>
      <c r="E32" s="5">
        <v>31</v>
      </c>
      <c r="F32" s="2" t="s">
        <v>51</v>
      </c>
      <c r="G32" s="5">
        <v>1</v>
      </c>
      <c r="H32" s="5" t="s">
        <v>19</v>
      </c>
      <c r="I32" s="5" t="s">
        <v>20</v>
      </c>
      <c r="J32" s="3"/>
      <c r="K32" s="3"/>
      <c r="L32" s="5" t="s">
        <v>21</v>
      </c>
      <c r="M32" s="7">
        <v>10650</v>
      </c>
      <c r="N32" s="7">
        <f t="shared" si="0"/>
        <v>10650</v>
      </c>
    </row>
    <row r="33" spans="1:14" x14ac:dyDescent="0.35">
      <c r="A33" s="2" t="s">
        <v>14</v>
      </c>
      <c r="B33" s="2" t="s">
        <v>15</v>
      </c>
      <c r="C33" s="2" t="s">
        <v>16</v>
      </c>
      <c r="D33" s="2" t="s">
        <v>17</v>
      </c>
      <c r="E33" s="5">
        <v>32</v>
      </c>
      <c r="F33" s="2" t="s">
        <v>52</v>
      </c>
      <c r="G33" s="5">
        <v>5</v>
      </c>
      <c r="H33" s="5" t="s">
        <v>19</v>
      </c>
      <c r="I33" s="5" t="s">
        <v>20</v>
      </c>
      <c r="J33" s="3"/>
      <c r="K33" s="3"/>
      <c r="L33" s="5" t="s">
        <v>21</v>
      </c>
      <c r="M33" s="7">
        <v>550</v>
      </c>
      <c r="N33" s="7">
        <f t="shared" si="0"/>
        <v>2750</v>
      </c>
    </row>
    <row r="34" spans="1:14" x14ac:dyDescent="0.35">
      <c r="A34" s="2" t="s">
        <v>14</v>
      </c>
      <c r="B34" s="2" t="s">
        <v>15</v>
      </c>
      <c r="C34" s="2" t="s">
        <v>16</v>
      </c>
      <c r="D34" s="2" t="s">
        <v>17</v>
      </c>
      <c r="E34" s="5">
        <v>33</v>
      </c>
      <c r="F34" s="2" t="s">
        <v>53</v>
      </c>
      <c r="G34" s="5">
        <v>20</v>
      </c>
      <c r="H34" s="5" t="s">
        <v>19</v>
      </c>
      <c r="I34" s="5" t="s">
        <v>20</v>
      </c>
      <c r="J34" s="3"/>
      <c r="K34" s="3"/>
      <c r="L34" s="5" t="s">
        <v>21</v>
      </c>
      <c r="M34" s="7">
        <v>42</v>
      </c>
      <c r="N34" s="7">
        <f t="shared" ref="N34:N64" si="1">M34*G34</f>
        <v>840</v>
      </c>
    </row>
    <row r="35" spans="1:14" x14ac:dyDescent="0.35">
      <c r="A35" s="2" t="s">
        <v>14</v>
      </c>
      <c r="B35" s="2" t="s">
        <v>15</v>
      </c>
      <c r="C35" s="2" t="s">
        <v>16</v>
      </c>
      <c r="D35" s="2" t="s">
        <v>17</v>
      </c>
      <c r="E35" s="5">
        <v>34</v>
      </c>
      <c r="F35" s="2" t="s">
        <v>54</v>
      </c>
      <c r="G35" s="5">
        <v>10</v>
      </c>
      <c r="H35" s="5" t="s">
        <v>19</v>
      </c>
      <c r="I35" s="5" t="s">
        <v>20</v>
      </c>
      <c r="J35" s="3"/>
      <c r="K35" s="3"/>
      <c r="L35" s="5" t="s">
        <v>21</v>
      </c>
      <c r="M35" s="7">
        <v>5</v>
      </c>
      <c r="N35" s="7">
        <f t="shared" si="1"/>
        <v>50</v>
      </c>
    </row>
    <row r="36" spans="1:14" x14ac:dyDescent="0.35">
      <c r="A36" s="2"/>
      <c r="B36" s="2"/>
      <c r="C36" s="2"/>
      <c r="D36" s="2"/>
      <c r="E36" s="5">
        <v>35</v>
      </c>
      <c r="F36" s="2" t="s">
        <v>55</v>
      </c>
      <c r="G36" s="5">
        <v>20</v>
      </c>
      <c r="H36" s="5" t="s">
        <v>19</v>
      </c>
      <c r="I36" s="5" t="s">
        <v>20</v>
      </c>
      <c r="J36" s="3"/>
      <c r="K36" s="3"/>
      <c r="L36" s="5" t="s">
        <v>21</v>
      </c>
      <c r="M36" s="7">
        <v>12</v>
      </c>
      <c r="N36" s="7">
        <f t="shared" si="1"/>
        <v>240</v>
      </c>
    </row>
    <row r="37" spans="1:14" x14ac:dyDescent="0.35">
      <c r="A37" s="2"/>
      <c r="B37" s="2"/>
      <c r="C37" s="2"/>
      <c r="D37" s="2"/>
      <c r="E37" s="5">
        <v>36</v>
      </c>
      <c r="F37" s="2" t="s">
        <v>56</v>
      </c>
      <c r="G37" s="5">
        <v>1</v>
      </c>
      <c r="H37" s="5" t="s">
        <v>19</v>
      </c>
      <c r="I37" s="5" t="s">
        <v>20</v>
      </c>
      <c r="J37" s="3"/>
      <c r="K37" s="3"/>
      <c r="L37" s="5" t="s">
        <v>21</v>
      </c>
      <c r="M37" s="7">
        <v>1900</v>
      </c>
      <c r="N37" s="7">
        <f t="shared" si="1"/>
        <v>1900</v>
      </c>
    </row>
    <row r="38" spans="1:14" x14ac:dyDescent="0.35">
      <c r="A38" s="2"/>
      <c r="B38" s="2"/>
      <c r="C38" s="2"/>
      <c r="D38" s="2"/>
      <c r="E38" s="5">
        <v>37</v>
      </c>
      <c r="F38" s="2" t="s">
        <v>57</v>
      </c>
      <c r="G38" s="5">
        <v>5</v>
      </c>
      <c r="H38" s="5" t="s">
        <v>19</v>
      </c>
      <c r="I38" s="5" t="s">
        <v>20</v>
      </c>
      <c r="J38" s="3"/>
      <c r="K38" s="3"/>
      <c r="L38" s="5" t="s">
        <v>21</v>
      </c>
      <c r="M38" s="7">
        <v>240</v>
      </c>
      <c r="N38" s="7">
        <f t="shared" si="1"/>
        <v>1200</v>
      </c>
    </row>
    <row r="39" spans="1:14" x14ac:dyDescent="0.35">
      <c r="A39" s="2"/>
      <c r="B39" s="2"/>
      <c r="C39" s="2"/>
      <c r="D39" s="2"/>
      <c r="E39" s="5">
        <v>38</v>
      </c>
      <c r="F39" s="2" t="s">
        <v>58</v>
      </c>
      <c r="G39" s="5">
        <v>1</v>
      </c>
      <c r="H39" s="5" t="s">
        <v>19</v>
      </c>
      <c r="I39" s="5" t="s">
        <v>20</v>
      </c>
      <c r="J39" s="3"/>
      <c r="K39" s="3"/>
      <c r="L39" s="5" t="s">
        <v>21</v>
      </c>
      <c r="M39" s="7">
        <v>17850</v>
      </c>
      <c r="N39" s="7">
        <f t="shared" si="1"/>
        <v>17850</v>
      </c>
    </row>
    <row r="40" spans="1:14" x14ac:dyDescent="0.35">
      <c r="A40" s="2"/>
      <c r="B40" s="2"/>
      <c r="C40" s="2"/>
      <c r="D40" s="2"/>
      <c r="E40" s="5">
        <v>39</v>
      </c>
      <c r="F40" s="2" t="s">
        <v>59</v>
      </c>
      <c r="G40" s="5">
        <v>5</v>
      </c>
      <c r="H40" s="5" t="s">
        <v>19</v>
      </c>
      <c r="I40" s="5" t="s">
        <v>20</v>
      </c>
      <c r="J40" s="3"/>
      <c r="K40" s="3"/>
      <c r="L40" s="5" t="s">
        <v>21</v>
      </c>
      <c r="M40" s="7">
        <v>350</v>
      </c>
      <c r="N40" s="7">
        <f t="shared" si="1"/>
        <v>1750</v>
      </c>
    </row>
    <row r="41" spans="1:14" x14ac:dyDescent="0.35">
      <c r="A41" s="2" t="s">
        <v>14</v>
      </c>
      <c r="B41" s="2" t="s">
        <v>15</v>
      </c>
      <c r="C41" s="2" t="s">
        <v>16</v>
      </c>
      <c r="D41" s="2" t="s">
        <v>17</v>
      </c>
      <c r="E41" s="10">
        <v>37</v>
      </c>
      <c r="F41" s="11" t="s">
        <v>60</v>
      </c>
      <c r="G41" s="10">
        <v>1</v>
      </c>
      <c r="H41" s="10" t="s">
        <v>61</v>
      </c>
      <c r="I41" s="10" t="s">
        <v>96</v>
      </c>
      <c r="J41" s="12">
        <v>46113</v>
      </c>
      <c r="K41" s="12">
        <v>46096</v>
      </c>
      <c r="L41" s="10" t="s">
        <v>21</v>
      </c>
      <c r="M41" s="13">
        <v>500000</v>
      </c>
      <c r="N41" s="13">
        <f t="shared" si="1"/>
        <v>500000</v>
      </c>
    </row>
    <row r="42" spans="1:14" ht="15" thickBot="1" x14ac:dyDescent="0.4">
      <c r="A42" s="2" t="s">
        <v>14</v>
      </c>
      <c r="B42" s="2" t="s">
        <v>15</v>
      </c>
      <c r="C42" s="2" t="s">
        <v>16</v>
      </c>
      <c r="D42" s="2" t="s">
        <v>17</v>
      </c>
      <c r="E42" s="5">
        <v>38</v>
      </c>
      <c r="F42" s="2" t="s">
        <v>62</v>
      </c>
      <c r="G42" s="5">
        <v>3</v>
      </c>
      <c r="H42" s="5" t="s">
        <v>61</v>
      </c>
      <c r="I42" s="5" t="s">
        <v>63</v>
      </c>
      <c r="J42" s="3">
        <v>46113</v>
      </c>
      <c r="K42" s="3">
        <v>46132</v>
      </c>
      <c r="L42" s="5" t="s">
        <v>21</v>
      </c>
      <c r="M42" s="7">
        <v>20000</v>
      </c>
      <c r="N42" s="7">
        <f t="shared" si="1"/>
        <v>60000</v>
      </c>
    </row>
    <row r="43" spans="1:14" x14ac:dyDescent="0.35">
      <c r="A43" s="2" t="s">
        <v>14</v>
      </c>
      <c r="B43" s="2" t="s">
        <v>15</v>
      </c>
      <c r="C43" s="2" t="s">
        <v>16</v>
      </c>
      <c r="D43" s="2" t="s">
        <v>17</v>
      </c>
      <c r="E43" s="14">
        <v>39</v>
      </c>
      <c r="F43" s="15" t="s">
        <v>65</v>
      </c>
      <c r="G43" s="16">
        <v>4</v>
      </c>
      <c r="H43" s="16" t="s">
        <v>19</v>
      </c>
      <c r="I43" s="16" t="s">
        <v>66</v>
      </c>
      <c r="J43" s="17">
        <v>46083</v>
      </c>
      <c r="K43" s="17">
        <v>46083</v>
      </c>
      <c r="L43" s="16" t="s">
        <v>21</v>
      </c>
      <c r="M43" s="18">
        <v>45000</v>
      </c>
      <c r="N43" s="19">
        <f t="shared" si="1"/>
        <v>180000</v>
      </c>
    </row>
    <row r="44" spans="1:14" ht="15" thickBot="1" x14ac:dyDescent="0.4">
      <c r="A44" s="2" t="s">
        <v>14</v>
      </c>
      <c r="B44" s="2" t="s">
        <v>15</v>
      </c>
      <c r="C44" s="2" t="s">
        <v>16</v>
      </c>
      <c r="D44" s="2" t="s">
        <v>17</v>
      </c>
      <c r="E44" s="20">
        <v>55</v>
      </c>
      <c r="F44" s="21" t="s">
        <v>89</v>
      </c>
      <c r="G44" s="22">
        <v>1</v>
      </c>
      <c r="H44" s="22" t="s">
        <v>90</v>
      </c>
      <c r="I44" s="22" t="s">
        <v>66</v>
      </c>
      <c r="J44" s="23"/>
      <c r="K44" s="23"/>
      <c r="L44" s="22" t="s">
        <v>21</v>
      </c>
      <c r="M44" s="24">
        <v>229680</v>
      </c>
      <c r="N44" s="25">
        <f>M44*G44</f>
        <v>229680</v>
      </c>
    </row>
    <row r="45" spans="1:14" x14ac:dyDescent="0.35">
      <c r="A45" s="2" t="s">
        <v>14</v>
      </c>
      <c r="B45" s="2" t="s">
        <v>15</v>
      </c>
      <c r="C45" s="2" t="s">
        <v>16</v>
      </c>
      <c r="D45" s="2" t="s">
        <v>17</v>
      </c>
      <c r="E45" s="5">
        <v>40</v>
      </c>
      <c r="F45" s="2" t="s">
        <v>67</v>
      </c>
      <c r="G45" s="5">
        <v>300</v>
      </c>
      <c r="H45" s="5" t="s">
        <v>68</v>
      </c>
      <c r="I45" s="5" t="s">
        <v>66</v>
      </c>
      <c r="J45" s="3">
        <v>46083</v>
      </c>
      <c r="K45" s="3">
        <v>46122</v>
      </c>
      <c r="L45" s="5" t="s">
        <v>21</v>
      </c>
      <c r="M45" s="7">
        <v>470</v>
      </c>
      <c r="N45" s="7">
        <f t="shared" si="1"/>
        <v>141000</v>
      </c>
    </row>
    <row r="46" spans="1:14" x14ac:dyDescent="0.35">
      <c r="A46" s="2" t="s">
        <v>14</v>
      </c>
      <c r="B46" s="2" t="s">
        <v>15</v>
      </c>
      <c r="C46" s="2" t="s">
        <v>16</v>
      </c>
      <c r="D46" s="2" t="s">
        <v>17</v>
      </c>
      <c r="E46" s="5">
        <v>41</v>
      </c>
      <c r="F46" s="2" t="s">
        <v>69</v>
      </c>
      <c r="G46" s="5">
        <v>20</v>
      </c>
      <c r="H46" s="5" t="s">
        <v>61</v>
      </c>
      <c r="I46" s="5" t="s">
        <v>66</v>
      </c>
      <c r="J46" s="3"/>
      <c r="K46" s="3"/>
      <c r="L46" s="5" t="s">
        <v>21</v>
      </c>
      <c r="M46" s="7">
        <v>1000</v>
      </c>
      <c r="N46" s="7">
        <f t="shared" si="1"/>
        <v>20000</v>
      </c>
    </row>
    <row r="47" spans="1:14" x14ac:dyDescent="0.35">
      <c r="A47" s="2" t="s">
        <v>14</v>
      </c>
      <c r="B47" s="2" t="s">
        <v>15</v>
      </c>
      <c r="C47" s="2" t="s">
        <v>16</v>
      </c>
      <c r="D47" s="2" t="s">
        <v>17</v>
      </c>
      <c r="E47" s="5">
        <v>42</v>
      </c>
      <c r="F47" s="2" t="s">
        <v>70</v>
      </c>
      <c r="G47" s="5">
        <v>3</v>
      </c>
      <c r="H47" s="5" t="s">
        <v>61</v>
      </c>
      <c r="I47" s="5" t="s">
        <v>66</v>
      </c>
      <c r="J47" s="3"/>
      <c r="K47" s="3"/>
      <c r="L47" s="5" t="s">
        <v>21</v>
      </c>
      <c r="M47" s="7">
        <v>5700</v>
      </c>
      <c r="N47" s="7">
        <f t="shared" si="1"/>
        <v>17100</v>
      </c>
    </row>
    <row r="48" spans="1:14" x14ac:dyDescent="0.35">
      <c r="A48" s="2" t="s">
        <v>14</v>
      </c>
      <c r="B48" s="2" t="s">
        <v>15</v>
      </c>
      <c r="C48" s="2" t="s">
        <v>16</v>
      </c>
      <c r="D48" s="2" t="s">
        <v>17</v>
      </c>
      <c r="E48" s="5">
        <v>43</v>
      </c>
      <c r="F48" s="2" t="s">
        <v>71</v>
      </c>
      <c r="G48" s="5">
        <v>3</v>
      </c>
      <c r="H48" s="5" t="s">
        <v>61</v>
      </c>
      <c r="I48" s="5" t="s">
        <v>66</v>
      </c>
      <c r="J48" s="3"/>
      <c r="K48" s="3"/>
      <c r="L48" s="5" t="s">
        <v>21</v>
      </c>
      <c r="M48" s="7">
        <v>2300</v>
      </c>
      <c r="N48" s="7">
        <f t="shared" si="1"/>
        <v>6900</v>
      </c>
    </row>
    <row r="49" spans="1:14" x14ac:dyDescent="0.35">
      <c r="A49" s="2" t="s">
        <v>14</v>
      </c>
      <c r="B49" s="2" t="s">
        <v>15</v>
      </c>
      <c r="C49" s="2" t="s">
        <v>16</v>
      </c>
      <c r="D49" s="2" t="s">
        <v>17</v>
      </c>
      <c r="E49" s="5">
        <v>44</v>
      </c>
      <c r="F49" s="2" t="s">
        <v>72</v>
      </c>
      <c r="G49" s="5">
        <v>3</v>
      </c>
      <c r="H49" s="5" t="s">
        <v>61</v>
      </c>
      <c r="I49" s="5" t="s">
        <v>66</v>
      </c>
      <c r="J49" s="3"/>
      <c r="K49" s="3"/>
      <c r="L49" s="5" t="s">
        <v>21</v>
      </c>
      <c r="M49" s="7">
        <v>3500</v>
      </c>
      <c r="N49" s="7">
        <f t="shared" si="1"/>
        <v>10500</v>
      </c>
    </row>
    <row r="50" spans="1:14" x14ac:dyDescent="0.35">
      <c r="A50" s="2" t="s">
        <v>14</v>
      </c>
      <c r="B50" s="2" t="s">
        <v>15</v>
      </c>
      <c r="C50" s="2" t="s">
        <v>16</v>
      </c>
      <c r="D50" s="2" t="s">
        <v>17</v>
      </c>
      <c r="E50" s="5">
        <v>45</v>
      </c>
      <c r="F50" s="2" t="s">
        <v>73</v>
      </c>
      <c r="G50" s="5">
        <v>30</v>
      </c>
      <c r="H50" s="5" t="s">
        <v>68</v>
      </c>
      <c r="I50" s="5" t="s">
        <v>66</v>
      </c>
      <c r="J50" s="3"/>
      <c r="K50" s="3"/>
      <c r="L50" s="5" t="s">
        <v>21</v>
      </c>
      <c r="M50" s="7">
        <v>200</v>
      </c>
      <c r="N50" s="7">
        <f t="shared" si="1"/>
        <v>6000</v>
      </c>
    </row>
    <row r="51" spans="1:14" x14ac:dyDescent="0.35">
      <c r="A51" s="2" t="s">
        <v>14</v>
      </c>
      <c r="B51" s="2" t="s">
        <v>15</v>
      </c>
      <c r="C51" s="2" t="s">
        <v>16</v>
      </c>
      <c r="D51" s="2" t="s">
        <v>17</v>
      </c>
      <c r="E51" s="5">
        <v>46</v>
      </c>
      <c r="F51" s="2" t="s">
        <v>74</v>
      </c>
      <c r="G51" s="5">
        <v>15</v>
      </c>
      <c r="H51" s="5" t="s">
        <v>61</v>
      </c>
      <c r="I51" s="5" t="s">
        <v>66</v>
      </c>
      <c r="J51" s="3"/>
      <c r="K51" s="3"/>
      <c r="L51" s="5" t="s">
        <v>21</v>
      </c>
      <c r="M51" s="7">
        <v>475</v>
      </c>
      <c r="N51" s="7">
        <f t="shared" si="1"/>
        <v>7125</v>
      </c>
    </row>
    <row r="52" spans="1:14" x14ac:dyDescent="0.35">
      <c r="A52" s="2" t="s">
        <v>14</v>
      </c>
      <c r="B52" s="2" t="s">
        <v>15</v>
      </c>
      <c r="C52" s="2" t="s">
        <v>16</v>
      </c>
      <c r="D52" s="2" t="s">
        <v>17</v>
      </c>
      <c r="E52" s="5">
        <v>48</v>
      </c>
      <c r="F52" s="2" t="s">
        <v>75</v>
      </c>
      <c r="G52" s="5">
        <v>35100</v>
      </c>
      <c r="H52" s="5" t="s">
        <v>61</v>
      </c>
      <c r="I52" s="5" t="s">
        <v>66</v>
      </c>
      <c r="J52" s="3"/>
      <c r="K52" s="3"/>
      <c r="L52" s="5" t="s">
        <v>21</v>
      </c>
      <c r="M52" s="7">
        <v>6.9</v>
      </c>
      <c r="N52" s="7">
        <f t="shared" si="1"/>
        <v>242190</v>
      </c>
    </row>
    <row r="53" spans="1:14" x14ac:dyDescent="0.35">
      <c r="A53" s="2" t="s">
        <v>14</v>
      </c>
      <c r="B53" s="2" t="s">
        <v>15</v>
      </c>
      <c r="C53" s="2" t="s">
        <v>16</v>
      </c>
      <c r="D53" s="2" t="s">
        <v>17</v>
      </c>
      <c r="E53" s="5">
        <v>40</v>
      </c>
      <c r="F53" s="2" t="s">
        <v>76</v>
      </c>
      <c r="G53" s="5">
        <v>10800</v>
      </c>
      <c r="H53" s="5" t="s">
        <v>61</v>
      </c>
      <c r="I53" s="5" t="s">
        <v>66</v>
      </c>
      <c r="J53" s="3"/>
      <c r="K53" s="3"/>
      <c r="L53" s="5" t="s">
        <v>21</v>
      </c>
      <c r="M53" s="7">
        <v>5.85</v>
      </c>
      <c r="N53" s="7">
        <f t="shared" si="1"/>
        <v>63179.999999999993</v>
      </c>
    </row>
    <row r="54" spans="1:14" x14ac:dyDescent="0.35">
      <c r="A54" s="2" t="s">
        <v>14</v>
      </c>
      <c r="B54" s="2" t="s">
        <v>15</v>
      </c>
      <c r="C54" s="2" t="s">
        <v>16</v>
      </c>
      <c r="D54" s="2" t="s">
        <v>17</v>
      </c>
      <c r="E54" s="5">
        <v>41</v>
      </c>
      <c r="F54" s="2" t="s">
        <v>77</v>
      </c>
      <c r="G54" s="5">
        <v>13500</v>
      </c>
      <c r="H54" s="5" t="s">
        <v>61</v>
      </c>
      <c r="I54" s="5" t="s">
        <v>66</v>
      </c>
      <c r="J54" s="3"/>
      <c r="K54" s="3"/>
      <c r="L54" s="5" t="s">
        <v>21</v>
      </c>
      <c r="M54" s="7">
        <v>4.8</v>
      </c>
      <c r="N54" s="7">
        <f t="shared" si="1"/>
        <v>64800</v>
      </c>
    </row>
    <row r="55" spans="1:14" x14ac:dyDescent="0.35">
      <c r="A55" s="2" t="s">
        <v>14</v>
      </c>
      <c r="B55" s="2" t="s">
        <v>15</v>
      </c>
      <c r="C55" s="2" t="s">
        <v>16</v>
      </c>
      <c r="D55" s="2" t="s">
        <v>17</v>
      </c>
      <c r="E55" s="5">
        <v>42</v>
      </c>
      <c r="F55" s="2" t="s">
        <v>78</v>
      </c>
      <c r="G55" s="5">
        <v>12000</v>
      </c>
      <c r="H55" s="5" t="s">
        <v>61</v>
      </c>
      <c r="I55" s="5" t="s">
        <v>66</v>
      </c>
      <c r="J55" s="3"/>
      <c r="K55" s="3"/>
      <c r="L55" s="5" t="s">
        <v>21</v>
      </c>
      <c r="M55" s="7">
        <v>3.94</v>
      </c>
      <c r="N55" s="7">
        <f t="shared" si="1"/>
        <v>47280</v>
      </c>
    </row>
    <row r="56" spans="1:14" x14ac:dyDescent="0.35">
      <c r="A56" s="2" t="s">
        <v>14</v>
      </c>
      <c r="B56" s="2" t="s">
        <v>15</v>
      </c>
      <c r="C56" s="2" t="s">
        <v>16</v>
      </c>
      <c r="D56" s="2" t="s">
        <v>17</v>
      </c>
      <c r="E56" s="5">
        <v>43</v>
      </c>
      <c r="F56" s="2" t="s">
        <v>79</v>
      </c>
      <c r="G56" s="5">
        <v>6000</v>
      </c>
      <c r="H56" s="5" t="s">
        <v>61</v>
      </c>
      <c r="I56" s="5" t="s">
        <v>66</v>
      </c>
      <c r="J56" s="3"/>
      <c r="K56" s="3"/>
      <c r="L56" s="5" t="s">
        <v>21</v>
      </c>
      <c r="M56" s="7">
        <v>3.75</v>
      </c>
      <c r="N56" s="7">
        <f t="shared" si="1"/>
        <v>22500</v>
      </c>
    </row>
    <row r="57" spans="1:14" ht="15" thickBot="1" x14ac:dyDescent="0.4">
      <c r="A57" s="2"/>
      <c r="B57" s="2"/>
      <c r="C57" s="2"/>
      <c r="D57" s="2"/>
      <c r="E57" s="5">
        <v>44</v>
      </c>
      <c r="F57" s="2" t="s">
        <v>80</v>
      </c>
      <c r="G57" s="5">
        <v>3</v>
      </c>
      <c r="H57" s="5" t="s">
        <v>61</v>
      </c>
      <c r="I57" s="5" t="s">
        <v>66</v>
      </c>
      <c r="J57" s="3"/>
      <c r="K57" s="3"/>
      <c r="L57" s="5" t="s">
        <v>21</v>
      </c>
      <c r="M57" s="7">
        <v>22500</v>
      </c>
      <c r="N57" s="7">
        <f t="shared" si="1"/>
        <v>67500</v>
      </c>
    </row>
    <row r="58" spans="1:14" x14ac:dyDescent="0.35">
      <c r="A58" s="2" t="s">
        <v>14</v>
      </c>
      <c r="B58" s="2" t="s">
        <v>15</v>
      </c>
      <c r="C58" s="2" t="s">
        <v>16</v>
      </c>
      <c r="D58" s="2" t="s">
        <v>17</v>
      </c>
      <c r="E58" s="14">
        <v>49</v>
      </c>
      <c r="F58" s="15" t="s">
        <v>81</v>
      </c>
      <c r="G58" s="16">
        <v>60</v>
      </c>
      <c r="H58" s="16" t="s">
        <v>19</v>
      </c>
      <c r="I58" s="16" t="s">
        <v>82</v>
      </c>
      <c r="J58" s="17"/>
      <c r="K58" s="17"/>
      <c r="L58" s="16" t="s">
        <v>21</v>
      </c>
      <c r="M58" s="18">
        <v>500</v>
      </c>
      <c r="N58" s="19">
        <f t="shared" si="1"/>
        <v>30000</v>
      </c>
    </row>
    <row r="59" spans="1:14" x14ac:dyDescent="0.35">
      <c r="A59" s="2" t="s">
        <v>14</v>
      </c>
      <c r="B59" s="2" t="s">
        <v>15</v>
      </c>
      <c r="C59" s="2" t="s">
        <v>16</v>
      </c>
      <c r="D59" s="2" t="s">
        <v>17</v>
      </c>
      <c r="E59" s="26">
        <v>50</v>
      </c>
      <c r="F59" s="27" t="s">
        <v>83</v>
      </c>
      <c r="G59" s="28">
        <v>60</v>
      </c>
      <c r="H59" s="28" t="s">
        <v>19</v>
      </c>
      <c r="I59" s="28" t="s">
        <v>82</v>
      </c>
      <c r="J59" s="29"/>
      <c r="K59" s="29"/>
      <c r="L59" s="28" t="s">
        <v>21</v>
      </c>
      <c r="M59" s="30">
        <v>850</v>
      </c>
      <c r="N59" s="31">
        <f t="shared" si="1"/>
        <v>51000</v>
      </c>
    </row>
    <row r="60" spans="1:14" ht="15" thickBot="1" x14ac:dyDescent="0.4">
      <c r="A60" s="2" t="s">
        <v>14</v>
      </c>
      <c r="B60" s="2" t="s">
        <v>15</v>
      </c>
      <c r="C60" s="2" t="s">
        <v>16</v>
      </c>
      <c r="D60" s="2" t="s">
        <v>17</v>
      </c>
      <c r="E60" s="20">
        <v>51</v>
      </c>
      <c r="F60" s="21" t="s">
        <v>84</v>
      </c>
      <c r="G60" s="22">
        <v>60</v>
      </c>
      <c r="H60" s="22" t="s">
        <v>19</v>
      </c>
      <c r="I60" s="22" t="s">
        <v>82</v>
      </c>
      <c r="J60" s="23"/>
      <c r="K60" s="23"/>
      <c r="L60" s="22" t="s">
        <v>21</v>
      </c>
      <c r="M60" s="24">
        <v>950</v>
      </c>
      <c r="N60" s="25">
        <f t="shared" si="1"/>
        <v>57000</v>
      </c>
    </row>
    <row r="61" spans="1:14" x14ac:dyDescent="0.35">
      <c r="A61" s="2" t="s">
        <v>14</v>
      </c>
      <c r="B61" s="2" t="s">
        <v>15</v>
      </c>
      <c r="C61" s="2" t="s">
        <v>16</v>
      </c>
      <c r="D61" s="2" t="s">
        <v>17</v>
      </c>
      <c r="E61" s="14">
        <v>52</v>
      </c>
      <c r="F61" s="15" t="s">
        <v>85</v>
      </c>
      <c r="G61" s="16">
        <v>3</v>
      </c>
      <c r="H61" s="16" t="s">
        <v>19</v>
      </c>
      <c r="I61" s="16" t="s">
        <v>86</v>
      </c>
      <c r="J61" s="17"/>
      <c r="K61" s="17"/>
      <c r="L61" s="16" t="s">
        <v>21</v>
      </c>
      <c r="M61" s="18">
        <v>150</v>
      </c>
      <c r="N61" s="19">
        <f t="shared" si="1"/>
        <v>450</v>
      </c>
    </row>
    <row r="62" spans="1:14" x14ac:dyDescent="0.35">
      <c r="A62" s="2" t="s">
        <v>14</v>
      </c>
      <c r="B62" s="2" t="s">
        <v>15</v>
      </c>
      <c r="C62" s="2" t="s">
        <v>16</v>
      </c>
      <c r="D62" s="2" t="s">
        <v>17</v>
      </c>
      <c r="E62" s="26">
        <v>53</v>
      </c>
      <c r="F62" s="27" t="s">
        <v>87</v>
      </c>
      <c r="G62" s="28">
        <v>17</v>
      </c>
      <c r="H62" s="28" t="s">
        <v>19</v>
      </c>
      <c r="I62" s="28" t="s">
        <v>86</v>
      </c>
      <c r="J62" s="29"/>
      <c r="K62" s="29"/>
      <c r="L62" s="28" t="s">
        <v>21</v>
      </c>
      <c r="M62" s="30">
        <v>150</v>
      </c>
      <c r="N62" s="31">
        <f t="shared" si="1"/>
        <v>2550</v>
      </c>
    </row>
    <row r="63" spans="1:14" ht="15" thickBot="1" x14ac:dyDescent="0.4">
      <c r="A63" s="2" t="s">
        <v>14</v>
      </c>
      <c r="B63" s="2" t="s">
        <v>15</v>
      </c>
      <c r="C63" s="2" t="s">
        <v>16</v>
      </c>
      <c r="D63" s="2" t="s">
        <v>17</v>
      </c>
      <c r="E63" s="20">
        <v>54</v>
      </c>
      <c r="F63" s="21" t="s">
        <v>88</v>
      </c>
      <c r="G63" s="22">
        <v>3</v>
      </c>
      <c r="H63" s="22" t="s">
        <v>19</v>
      </c>
      <c r="I63" s="22" t="s">
        <v>86</v>
      </c>
      <c r="J63" s="23"/>
      <c r="K63" s="23"/>
      <c r="L63" s="22" t="s">
        <v>21</v>
      </c>
      <c r="M63" s="24">
        <v>4850</v>
      </c>
      <c r="N63" s="25">
        <f t="shared" si="1"/>
        <v>14550</v>
      </c>
    </row>
    <row r="64" spans="1:14" x14ac:dyDescent="0.35">
      <c r="A64" s="2" t="s">
        <v>14</v>
      </c>
      <c r="B64" s="2" t="s">
        <v>15</v>
      </c>
      <c r="C64" s="2" t="s">
        <v>16</v>
      </c>
      <c r="D64" s="2" t="s">
        <v>17</v>
      </c>
      <c r="E64" s="5">
        <v>56</v>
      </c>
      <c r="F64" s="2" t="s">
        <v>91</v>
      </c>
      <c r="G64" s="5">
        <v>1</v>
      </c>
      <c r="H64" s="5" t="s">
        <v>19</v>
      </c>
      <c r="I64" s="5" t="s">
        <v>95</v>
      </c>
      <c r="J64" s="3"/>
      <c r="K64" s="3"/>
      <c r="L64" s="5" t="s">
        <v>21</v>
      </c>
      <c r="M64" s="7">
        <v>155750</v>
      </c>
      <c r="N64" s="7">
        <f t="shared" si="1"/>
        <v>155750</v>
      </c>
    </row>
    <row r="65" spans="1:14" x14ac:dyDescent="0.35">
      <c r="A65" s="2" t="s">
        <v>14</v>
      </c>
      <c r="B65" s="2" t="s">
        <v>15</v>
      </c>
      <c r="C65" s="2" t="s">
        <v>16</v>
      </c>
      <c r="D65" s="2" t="s">
        <v>17</v>
      </c>
      <c r="E65" s="5">
        <v>57</v>
      </c>
      <c r="F65" s="2" t="s">
        <v>93</v>
      </c>
      <c r="G65" s="5">
        <v>1</v>
      </c>
      <c r="H65" s="5" t="s">
        <v>64</v>
      </c>
      <c r="I65" s="5" t="s">
        <v>94</v>
      </c>
      <c r="J65" s="3"/>
      <c r="K65" s="3"/>
      <c r="L65" s="5" t="s">
        <v>21</v>
      </c>
      <c r="M65" s="7">
        <v>150000</v>
      </c>
      <c r="N65" s="7">
        <f>M65*G65</f>
        <v>150000</v>
      </c>
    </row>
    <row r="66" spans="1:14" x14ac:dyDescent="0.35">
      <c r="M66" s="8" t="s">
        <v>92</v>
      </c>
      <c r="N66" s="9">
        <f>SUM(N2:N64)</f>
        <v>2377855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siteequ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Burcu ADIGÜZEL</cp:lastModifiedBy>
  <cp:revision>0</cp:revision>
  <dcterms:created xsi:type="dcterms:W3CDTF">2026-06-03T13:35:42Z</dcterms:created>
  <dcterms:modified xsi:type="dcterms:W3CDTF">2026-06-03T14:00:02Z</dcterms:modified>
  <dc:language>en-US</dc:language>
</cp:coreProperties>
</file>