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mpo-my.sharepoint.com/personal/procurement_vimpo_com/Documents/Masaüstü/00---039-VMP-S01064-ATP_5000m3_Libya/4-Logistics/BGZ_04_4th shipment_FGL260849EXY/"/>
    </mc:Choice>
  </mc:AlternateContent>
  <xr:revisionPtr revIDLastSave="367" documentId="8_{8F74755E-A4BE-40CD-9068-B51EF45E5C0B}" xr6:coauthVersionLast="47" xr6:coauthVersionMax="47" xr10:uidLastSave="{EAAC4243-87CB-4503-BBAC-D91836A619E9}"/>
  <bookViews>
    <workbookView xWindow="-110" yWindow="-110" windowWidth="19420" windowHeight="10300" activeTab="3" xr2:uid="{00000000-000D-0000-FFFF-FFFF00000000}"/>
  </bookViews>
  <sheets>
    <sheet name="sum" sheetId="1" r:id="rId1"/>
    <sheet name="ARKU1203805-1" sheetId="5" r:id="rId2"/>
    <sheet name="ARKU1203805-2" sheetId="6" r:id="rId3"/>
    <sheet name="ARKU1203805-3" sheetId="7" r:id="rId4"/>
  </sheets>
  <definedNames>
    <definedName name="_xlnm.Print_Area" localSheetId="0">sum!$A$1:$D$5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7" l="1"/>
  <c r="C2" i="1"/>
  <c r="M34" i="6"/>
  <c r="O23" i="5"/>
  <c r="L36" i="7"/>
  <c r="I36" i="7"/>
  <c r="B4" i="1" s="1"/>
  <c r="N34" i="7"/>
  <c r="M34" i="7"/>
  <c r="J34" i="7"/>
  <c r="C36" i="7" s="1"/>
  <c r="C4" i="1" s="1"/>
  <c r="G34" i="7"/>
  <c r="F36" i="7" s="1"/>
  <c r="O33" i="7"/>
  <c r="O32" i="7"/>
  <c r="O31" i="7"/>
  <c r="O30" i="7"/>
  <c r="O29" i="7"/>
  <c r="O28" i="7"/>
  <c r="O27" i="7"/>
  <c r="O26" i="7"/>
  <c r="O25" i="7"/>
  <c r="O24" i="7"/>
  <c r="O23" i="7"/>
  <c r="O22" i="7"/>
  <c r="O20" i="7"/>
  <c r="O19" i="7"/>
  <c r="O18" i="7"/>
  <c r="O17" i="7"/>
  <c r="O16" i="7"/>
  <c r="O15" i="7"/>
  <c r="O14" i="7"/>
  <c r="O13" i="7"/>
  <c r="L36" i="6"/>
  <c r="I36" i="6"/>
  <c r="B3" i="1" s="1"/>
  <c r="N34" i="6"/>
  <c r="J34" i="6"/>
  <c r="C36" i="6" s="1"/>
  <c r="C3" i="1" s="1"/>
  <c r="G34" i="6"/>
  <c r="F36" i="6" s="1"/>
  <c r="O33" i="6"/>
  <c r="O31" i="6"/>
  <c r="O32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L36" i="5"/>
  <c r="I36" i="5"/>
  <c r="B2" i="1" s="1"/>
  <c r="N34" i="5"/>
  <c r="M34" i="5"/>
  <c r="J34" i="5"/>
  <c r="C36" i="5" s="1"/>
  <c r="G34" i="5"/>
  <c r="F36" i="5" s="1"/>
  <c r="O33" i="5"/>
  <c r="O32" i="5"/>
  <c r="O31" i="5"/>
  <c r="O30" i="5"/>
  <c r="O29" i="5"/>
  <c r="O28" i="5"/>
  <c r="O27" i="5"/>
  <c r="O26" i="5"/>
  <c r="O25" i="5"/>
  <c r="O24" i="5"/>
  <c r="O22" i="5"/>
  <c r="O21" i="5"/>
  <c r="O20" i="5"/>
  <c r="O19" i="5"/>
  <c r="O18" i="5"/>
  <c r="O17" i="5"/>
  <c r="O16" i="5"/>
  <c r="O15" i="5"/>
  <c r="O14" i="5"/>
  <c r="O13" i="5"/>
  <c r="B5" i="1" l="1"/>
  <c r="C5" i="1"/>
  <c r="O36" i="7"/>
  <c r="O36" i="6"/>
  <c r="O34" i="6"/>
  <c r="O36" i="5"/>
  <c r="O34" i="5"/>
  <c r="O3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447520B4-8BDF-4A41-9BF4-7BF0BCC437E7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8" authorId="0" shapeId="0" xr:uid="{00000000-0006-0000-0400-000002000000}">
      <text>
        <r>
          <rPr>
            <sz val="11"/>
            <color theme="1"/>
            <rFont val="Aptos Narrow"/>
            <family val="2"/>
            <charset val="162"/>
            <scheme val="minor"/>
          </rPr>
          <t>Firma adı ve iletişim bilgilerini kurumsal kimliğinize göre güncelleyin.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383833B9-8705-442C-B6F0-016334B8D3C9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8" authorId="0" shapeId="0" xr:uid="{3E009139-ABC9-4697-BEF7-0F19B68BB8D0}">
      <text>
        <r>
          <rPr>
            <sz val="11"/>
            <color theme="1"/>
            <rFont val="Aptos Narrow"/>
            <family val="2"/>
            <charset val="162"/>
            <scheme val="minor"/>
          </rPr>
          <t>Firma adı ve iletişim bilgilerini kurumsal kimliğinize göre güncelleyin.</t>
        </r>
      </text>
    </comment>
    <comment ref="A48" authorId="0" shapeId="0" xr:uid="{00000000-0006-0000-0500-000002000000}">
      <text>
        <r>
          <rPr>
            <sz val="11"/>
            <color theme="1"/>
            <rFont val="Aptos Narrow"/>
            <family val="2"/>
            <charset val="162"/>
            <scheme val="minor"/>
          </rPr>
          <t>Firma adı ve iletişim bilgilerini kurumsal kimliğinize göre güncelleyin.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38" authorId="0" shapeId="0" xr:uid="{3EE4962D-A780-49FF-99F4-6B8F93BE3B89}">
      <text>
        <r>
          <rPr>
            <sz val="11"/>
            <color theme="1"/>
            <rFont val="Aptos Narrow"/>
            <family val="2"/>
            <charset val="162"/>
            <scheme val="minor"/>
          </rPr>
          <t>Firma adı ve iletişim bilgilerini kurumsal kimliğinize göre güncelleyin.</t>
        </r>
      </text>
    </comment>
    <comment ref="A48" authorId="0" shapeId="0" xr:uid="{00000000-0006-0000-0600-000002000000}">
      <text>
        <r>
          <rPr>
            <sz val="11"/>
            <color theme="1"/>
            <rFont val="Aptos Narrow"/>
            <family val="2"/>
            <charset val="16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<sst xmlns="http://schemas.openxmlformats.org/spreadsheetml/2006/main" count="473" uniqueCount="198">
  <si>
    <t>PACKING LIST
ÇEKİ LİSTESİ</t>
  </si>
  <si>
    <t>Yayın Tarihi</t>
  </si>
  <si>
    <t>Doküman No</t>
  </si>
  <si>
    <t>P07-F07</t>
  </si>
  <si>
    <t>Revizyon Tarihi</t>
  </si>
  <si>
    <t>-</t>
  </si>
  <si>
    <t>Revizyon No</t>
  </si>
  <si>
    <t>00</t>
  </si>
  <si>
    <t>DOCUMENT &amp; SHIPMENT INFORMATION / BELGE VE SEVKİYAT BİLGİLERİ</t>
  </si>
  <si>
    <t>Order No. / Sipariş No</t>
  </si>
  <si>
    <t>Date / Tarih</t>
  </si>
  <si>
    <t>Invoice No. / Fatura No</t>
  </si>
  <si>
    <t>Incoterm</t>
  </si>
  <si>
    <t>CIF</t>
  </si>
  <si>
    <t>Shipper / Gönderici</t>
  </si>
  <si>
    <t>VİMPO MAKİNE A.Ş.</t>
  </si>
  <si>
    <t>Consignee / Alıcı</t>
  </si>
  <si>
    <t>Notify Party / İhbar</t>
  </si>
  <si>
    <t>Country of Origin</t>
  </si>
  <si>
    <t>Türkiye</t>
  </si>
  <si>
    <t>Final Destination</t>
  </si>
  <si>
    <t>Bingazi Port</t>
  </si>
  <si>
    <t>Port of Loading</t>
  </si>
  <si>
    <t>Port of Discharge</t>
  </si>
  <si>
    <t>Vessel / Flight</t>
  </si>
  <si>
    <t>Container / Vehicle No.</t>
  </si>
  <si>
    <t>B/L - AWB No.</t>
  </si>
  <si>
    <t>PO / Contract No.</t>
  </si>
  <si>
    <t>Currency</t>
  </si>
  <si>
    <t>EUR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</si>
  <si>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</si>
  <si>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</si>
  <si>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</si>
  <si>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</si>
  <si>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</si>
  <si>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</si>
  <si>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</si>
  <si>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</si>
  <si>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</si>
  <si>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Bundle Qty</t>
  </si>
  <si>
    <t>L
(mm)</t>
  </si>
  <si>
    <t>H
(mm)</t>
  </si>
  <si>
    <t>Net Wt
(kg)</t>
  </si>
  <si>
    <t>Gross Wt
(kg)</t>
  </si>
  <si>
    <t>Volume
(m³)</t>
  </si>
  <si>
    <t>TR</t>
  </si>
  <si>
    <t>pcs</t>
  </si>
  <si>
    <t>TOTAL/TOPLAM</t>
  </si>
  <si>
    <t>Total Bundle</t>
  </si>
  <si>
    <t>Total Qty (pcs)</t>
  </si>
  <si>
    <t>Total Net Wt (kg)</t>
  </si>
  <si>
    <t>Total Gross Wt (kg)</t>
  </si>
  <si>
    <t>Total Volume (m³)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</si>
  <si>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</si>
  <si>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</si>
  <si>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>Container</t>
  </si>
  <si>
    <t>Net Wt (kg)</t>
  </si>
  <si>
    <t>Order No</t>
  </si>
  <si>
    <t>VMP-S01064-B4</t>
  </si>
  <si>
    <t>TOTAL</t>
  </si>
  <si>
    <t>ATP / Africa Road for Asphalt and Petroleum Insulation Industries</t>
  </si>
  <si>
    <t>PK-B4-01</t>
  </si>
  <si>
    <t>4203.29.00.00.11</t>
  </si>
  <si>
    <t>Carton Box</t>
  </si>
  <si>
    <t>PK-B4-02</t>
  </si>
  <si>
    <t>6116.10.00.00.00</t>
  </si>
  <si>
    <t>PK-B4-03</t>
  </si>
  <si>
    <t>6506.10.00.00.00</t>
  </si>
  <si>
    <t>PK-B4-04</t>
  </si>
  <si>
    <t>9001.90.00.00.00</t>
  </si>
  <si>
    <t>PK-B4-05</t>
  </si>
  <si>
    <t>Safety Goggles / Taslama Gozlugu</t>
  </si>
  <si>
    <t>9004.90.10.00.00</t>
  </si>
  <si>
    <t>PK-B4-06</t>
  </si>
  <si>
    <t>8544.42.90.00.00</t>
  </si>
  <si>
    <t>Wooden Crate</t>
  </si>
  <si>
    <t>PK-B4-07</t>
  </si>
  <si>
    <t>PK-B4-08</t>
  </si>
  <si>
    <t>10 Ton Manual Chain Hoist Atlas ATCK105 5m / Caraskal 10T 5mt</t>
  </si>
  <si>
    <t>8425.19.00.00.11</t>
  </si>
  <si>
    <t>Light Hammer 500g / 500gr Cekic</t>
  </si>
  <si>
    <t>8205.20.00.00.00</t>
  </si>
  <si>
    <t>PK-B4-10</t>
  </si>
  <si>
    <t>Sledge Hammer 5kg / 5kg Balyoz</t>
  </si>
  <si>
    <t>PK-B4-11</t>
  </si>
  <si>
    <t>8204.11.00.00.00</t>
  </si>
  <si>
    <t>PK-B4-12</t>
  </si>
  <si>
    <t>8203.20.00.00.00</t>
  </si>
  <si>
    <t>8205.40.00.00.00</t>
  </si>
  <si>
    <t>9030.39.00.00.00</t>
  </si>
  <si>
    <t>8205.59.00.00.00</t>
  </si>
  <si>
    <t>8204.12.00.00.00</t>
  </si>
  <si>
    <t>Super Cellulosic Thinner 15kg / Selulozik Tiner</t>
  </si>
  <si>
    <t>3814.00.90.00.00</t>
  </si>
  <si>
    <t>Paint Roller Brush Large 25cm / 25cm Rulo Dekor</t>
  </si>
  <si>
    <t>9603.40.90.00.00</t>
  </si>
  <si>
    <t>Paint Roller Brush Small / Parmak Rulo Dekor</t>
  </si>
  <si>
    <t>8mm Bit Socket / 8mm Bits Lokma</t>
  </si>
  <si>
    <t>8204.20.00.00.00</t>
  </si>
  <si>
    <t>8467.21.00.00.11</t>
  </si>
  <si>
    <t>8467.29.00.00.11</t>
  </si>
  <si>
    <t>6804.22.00.00.00</t>
  </si>
  <si>
    <t>Try Square Angle Square 35cm / Gonye 35cm</t>
  </si>
  <si>
    <t>9017.30.00.00.00</t>
  </si>
  <si>
    <t>3 Ton Mechanical Jack / 3 Ton Pehlivan Kriko</t>
  </si>
  <si>
    <t>8425.42.00.00.11</t>
  </si>
  <si>
    <t>9015.30.00.00.00</t>
  </si>
  <si>
    <t>Binding Wire Annealed Iron Wire / Bag Teli</t>
  </si>
  <si>
    <t>7217.10.00.00.00</t>
  </si>
  <si>
    <t>kg</t>
  </si>
  <si>
    <t>PTFE Thread Seal Tape / Teflon Bant</t>
  </si>
  <si>
    <t>3920.99.00.00.00</t>
  </si>
  <si>
    <t>Black PVC Electrical Tape / Siyah Elektrik Bandi</t>
  </si>
  <si>
    <t>3919.10.00.00.00</t>
  </si>
  <si>
    <t>Measuring Tape 30m Fisco / Serit Metre 30mt Fisco</t>
  </si>
  <si>
    <t>9017.80.00.00.00</t>
  </si>
  <si>
    <t>Measuring Tape 5m Fisco / Serit Metre 5mt Fisco</t>
  </si>
  <si>
    <t>Industrial Smoke Extractor Fan 60cm / Duman Emici Fan 4000-4500m3</t>
  </si>
  <si>
    <t>8414.51.00.00.11</t>
  </si>
  <si>
    <t>9405.42.00.00.00</t>
  </si>
  <si>
    <t>Plate Rolling Machine 4-Roll Bending Machine / Buyuk Silindir Makinesi</t>
  </si>
  <si>
    <t>8462.29.00.00.11</t>
  </si>
  <si>
    <t>8537.10.99.00.11</t>
  </si>
  <si>
    <t>8515.39.00.00.11</t>
  </si>
  <si>
    <t>Welding Cable TSE 35mm2 / 35mm2 Kaynak Kablosu</t>
  </si>
  <si>
    <t>8544.49.00.00.19</t>
  </si>
  <si>
    <t>metre</t>
  </si>
  <si>
    <t>8536.69.00.00.11</t>
  </si>
  <si>
    <t>Oxygen Cutting Torch with LPG Regulator Set / Salama Set + LPG Saat</t>
  </si>
  <si>
    <t>8468.10.00.00.11</t>
  </si>
  <si>
    <t>LPG Regulator Gauge / LPG Saat</t>
  </si>
  <si>
    <t>9026.20.00.00.00</t>
  </si>
  <si>
    <t>Oxygen Regulator Gauge / Oksijen Saat</t>
  </si>
  <si>
    <t>Oxygen-Acetylene Twin Hose Blue-Red with Couplers / Mavi Kirmizi Hortum</t>
  </si>
  <si>
    <t>4009.22.00.00.11</t>
  </si>
  <si>
    <t>8536.90.00.00.11</t>
  </si>
  <si>
    <t>8311.10.00.00.11</t>
  </si>
  <si>
    <t>8514.10.00.00.11</t>
  </si>
  <si>
    <t>Work Coverall Overalls / Is Elbisesi</t>
  </si>
  <si>
    <t>6211.32.00.00.00</t>
  </si>
  <si>
    <t>Fall Arrest Harness / Yuksekte Calisma Askisi</t>
  </si>
  <si>
    <t>6217.10.00.00.00</t>
  </si>
  <si>
    <t>Safety Helmet Hard Hat / Baret</t>
  </si>
  <si>
    <t>Self-Drilling Trapezoidal Roofing Screw 5.5x25mm / Trapez Vidasi 5.5x25mm</t>
  </si>
  <si>
    <t>7318.14.00.00.00</t>
  </si>
  <si>
    <t>3208.10.00.00.00</t>
  </si>
  <si>
    <t>Chequered Steel Step Plate for 8in Pipe Welded / Baklava Sac Basamak</t>
  </si>
  <si>
    <t>7308.90.00.00.00</t>
  </si>
  <si>
    <t>Bulk</t>
  </si>
  <si>
    <t>7208.39.00.00.00</t>
  </si>
  <si>
    <t>Welding Gloves Heat-Resistant Leather / 
Kaynakci Eldiveni</t>
  </si>
  <si>
    <t>Assembly Gloves Yellow / 
Sari Montaj Eldiveni Beybi</t>
  </si>
  <si>
    <t>Welding Helmet Head-Mounted / 
Bas Maskesi</t>
  </si>
  <si>
    <t>Dark Welding Helmet Lens / 
Maske Cami Siyah</t>
  </si>
  <si>
    <t>20m Extension Cable 380V 3-Pin /
 TTR Kablo 4x2.5 380V Grup Priz 20mt</t>
  </si>
  <si>
    <t>20m Extension Cable 220V 3-Pin / 
TTR Kablo 3x2.5 220V Grup Priz 20mt</t>
  </si>
  <si>
    <t>Hex Key Set Allen 4-12mm / Izeltas 12prc Allen Seti</t>
  </si>
  <si>
    <t>160mm Diagonal Cutter / Izeltas 160mm Yan Keski</t>
  </si>
  <si>
    <t>Flat Screwdriver 5x150mm / 
Izeltas Duz Tornavida 5x150</t>
  </si>
  <si>
    <t>Voltage Tester Pen / Izeltas Kontrol Kalemi</t>
  </si>
  <si>
    <t>Phillips Screwdriver 4.5x150mm / 
Izeltas Yildiz Tornavida 4.5x150</t>
  </si>
  <si>
    <t>Combination Pliers 160mm / 
Izeltas 160mm Pense</t>
  </si>
  <si>
    <t>Pry Bar Crowbar 500mm / 
Izeltas 500mm Levye</t>
  </si>
  <si>
    <t>12-Piece Open-End Spanner Set 6-32mm / 
Izeltas 12li Acik Agiz Anahtar Tkm</t>
  </si>
  <si>
    <t>Ring Spanner Set 6-32mm / 
Izeltas 12li Yildiz Anahtar Tkm</t>
  </si>
  <si>
    <t>Pipe Wrench 1/2in / Izeltas 1/2 Boru Anahtari</t>
  </si>
  <si>
    <t>Pipe Wrench 3in / Izeltas 3in Boru Anahtari</t>
  </si>
  <si>
    <t>Welding Machine Transformer 350-550A / 
Kaynak Makinesi Soyberg 350-400A</t>
  </si>
  <si>
    <t>380V Multi-Outlet Electrical Panel 40m Cable / 
Pano 380V 40mt Kablo</t>
  </si>
  <si>
    <t>100W Floodlight Projector Lamp / 
100W Projektor Lamba</t>
  </si>
  <si>
    <t>Magnetic Spirit Level 600mm / 
Su Terazisi 60cm Miknatisli</t>
  </si>
  <si>
    <t>EGESAN 180x8mm Grinding Wheel / 
Egesan 180x8 Taslama Tasi</t>
  </si>
  <si>
    <t>EGESAN 230x3mm Cutting Disc / 
Egesan 230x3 Kesme Tasi</t>
  </si>
  <si>
    <t>Bosch Electric Drill GSB 13 RE / 
Elektrikli Matkap Bosch GSB 13 RE</t>
  </si>
  <si>
    <t>Bosch Angle Grinder Small GWS 750 / 
Bosch GWS 750 Taslama</t>
  </si>
  <si>
    <t>Black Steel Strip ST37 3000x100x2mm / 
Etek Saci 3x100x2000mm St37</t>
  </si>
  <si>
    <t>Antipas Anti-Rust Primer Paint 25kg / 
Antipas Boya 25kg</t>
  </si>
  <si>
    <t>Electrode Drying Oven 5kg / 
Elektrod Firini BMK1 1 Paketlik</t>
  </si>
  <si>
    <t>2.5mm Basic Welding Electrode / 
Bazik Elektrod 2.5mm</t>
  </si>
  <si>
    <t>3.25mm Rutile Welding Electrode / 
Rutile Elektrod 3.25mm</t>
  </si>
  <si>
    <t>3.25mm Basic Welding Electrode / 
Bazik Elektrod 3.25mm</t>
  </si>
  <si>
    <t>4mm Rutile Welding Electrode / 
Rutile Elektrod 4mm</t>
  </si>
  <si>
    <t>4mm Basic Welding Electrode / 
Bazik Elektrod 4mm</t>
  </si>
  <si>
    <t>Welding Cable Connector 70-95mm2 Female / 
Jaki 70-95 Disi</t>
  </si>
  <si>
    <t>Welding Cable Connector 70-95mm2 Male / 
Jaki 70-95 Erkek</t>
  </si>
  <si>
    <t>600A Welding Electrode Holder / 
Kaynak Pensesi 600 Amper</t>
  </si>
  <si>
    <t>ARKU1203805</t>
  </si>
  <si>
    <t>EVYAP</t>
  </si>
  <si>
    <t>KAPTAN AYTAC A / LTS19S26</t>
  </si>
  <si>
    <t>ETD</t>
  </si>
  <si>
    <t>Pallet</t>
  </si>
  <si>
    <t>Loose</t>
  </si>
  <si>
    <t>Total Kap</t>
  </si>
  <si>
    <t>PK-B4-9</t>
  </si>
  <si>
    <t>ARKU1203805-1</t>
  </si>
  <si>
    <t>ARKU1203805-2</t>
  </si>
  <si>
    <t>ARKU1203805-3</t>
  </si>
  <si>
    <t>IHR2026000000042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</si>
</sst>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"/>
  </numFmts>
  <fonts count="20" x14ac:knownFonts="1">
    <font>
      <sz val="11"/>
      <color theme="1"/>
      <name val="Aptos Narrow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Aptos Narrow"/>
      <family val="2"/>
      <scheme val="minor"/>
    </font>
    <font>
      <b/>
      <sz val="14"/>
      <color rgb="FF666666"/>
      <name val="Calibri"/>
      <family val="2"/>
      <charset val="162"/>
    </font>
    <font>
      <b/>
      <sz val="18"/>
      <color rgb="FF1F4E78"/>
      <name val="Calibri"/>
      <family val="2"/>
      <charset val="162"/>
    </font>
    <font>
      <b/>
      <sz val="10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10"/>
      <color rgb="FF1F4E78"/>
      <name val="Calibri"/>
      <family val="2"/>
      <charset val="162"/>
    </font>
    <font>
      <sz val="10"/>
      <color rgb="FF0000FF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666666"/>
      <name val="Calibri"/>
      <family val="2"/>
      <charset val="162"/>
    </font>
    <font>
      <b/>
      <sz val="14"/>
      <color rgb="FF1F4E78"/>
      <name val="Calibri"/>
      <family val="2"/>
      <charset val="162"/>
    </font>
    <font>
      <sz val="10"/>
      <color rgb="FF0000FF"/>
      <name val="Calibri"/>
      <family val="2"/>
      <charset val="162"/>
    </font>
    <font>
      <b/>
      <sz val="10"/>
      <color rgb="FF0000FF"/>
      <name val="Calibri"/>
      <family val="2"/>
      <charset val="162"/>
    </font>
    <font>
      <sz val="11"/>
      <color theme="1"/>
      <name val="Calibri"/>
      <family val="2"/>
      <charset val="162"/>
    </font>
    <font>
      <sz val="10"/>
      <name val="Calibri"/>
      <family val="2"/>
      <charset val="162"/>
    </font>
    <font>
      <sz val="11"/>
      <name val="Aptos Narrow"/>
      <family val="2"/>
      <charset val="162"/>
      <scheme val="minor"/>
    </font>
    <font>
      <b/>
      <sz val="12"/>
      <color rgb="FF1F4E78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10"/>
      <color theme="3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FFF7CC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A6A6A6"/>
      </top>
      <bottom style="thin">
        <color rgb="FFA6A6A6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/>
      <top style="medium">
        <color rgb="FF1F4E78"/>
      </top>
      <bottom style="medium">
        <color rgb="FF1F4E78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A6A6A6"/>
      </bottom>
      <diagonal/>
    </border>
    <border>
      <left/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1F4E7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6">
    <xf numFmtId="0" fontId="0" fillId="0" borderId="0" xfId="0"/>
    <xf numFmtId="0" fontId="2" fillId="0" borderId="0" xfId="2"/>
    <xf numFmtId="164" fontId="8" fillId="5" borderId="15" xfId="2" applyNumberFormat="1" applyFont="1" applyFill="1" applyBorder="1" applyAlignment="1">
      <alignment horizontal="left" vertical="center" wrapText="1"/>
    </xf>
    <xf numFmtId="0" fontId="2" fillId="0" borderId="4" xfId="2" applyBorder="1"/>
    <xf numFmtId="0" fontId="2" fillId="0" borderId="5" xfId="2" applyBorder="1"/>
    <xf numFmtId="0" fontId="6" fillId="6" borderId="23" xfId="2" applyFont="1" applyFill="1" applyBorder="1" applyAlignment="1">
      <alignment horizontal="center" vertical="center" wrapText="1"/>
    </xf>
    <xf numFmtId="0" fontId="12" fillId="5" borderId="15" xfId="2" applyFont="1" applyFill="1" applyBorder="1" applyAlignment="1">
      <alignment horizontal="left" vertical="center" wrapText="1"/>
    </xf>
    <xf numFmtId="0" fontId="6" fillId="6" borderId="26" xfId="2" applyFont="1" applyFill="1" applyBorder="1" applyAlignment="1">
      <alignment horizontal="center" vertical="center" wrapText="1"/>
    </xf>
    <xf numFmtId="0" fontId="8" fillId="4" borderId="28" xfId="2" applyFont="1" applyFill="1" applyBorder="1" applyAlignment="1">
      <alignment horizontal="center" vertical="center"/>
    </xf>
    <xf numFmtId="0" fontId="6" fillId="6" borderId="29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2" borderId="1" xfId="2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3" fontId="15" fillId="2" borderId="1" xfId="2" applyNumberFormat="1" applyFont="1" applyFill="1" applyBorder="1" applyAlignment="1">
      <alignment horizontal="center" vertical="center"/>
    </xf>
    <xf numFmtId="4" fontId="15" fillId="2" borderId="1" xfId="2" applyNumberFormat="1" applyFont="1" applyFill="1" applyBorder="1" applyAlignment="1">
      <alignment horizontal="center" vertical="center"/>
    </xf>
    <xf numFmtId="0" fontId="18" fillId="3" borderId="14" xfId="2" applyFont="1" applyFill="1" applyBorder="1" applyAlignment="1">
      <alignment horizontal="center" vertical="center"/>
    </xf>
    <xf numFmtId="4" fontId="18" fillId="3" borderId="14" xfId="2" applyNumberFormat="1" applyFont="1" applyFill="1" applyBorder="1" applyAlignment="1">
      <alignment horizontal="center" vertical="center"/>
    </xf>
    <xf numFmtId="4" fontId="18" fillId="3" borderId="14" xfId="2" applyNumberFormat="1" applyFont="1" applyFill="1" applyBorder="1" applyAlignment="1">
      <alignment horizontal="left" vertical="center"/>
    </xf>
    <xf numFmtId="165" fontId="18" fillId="3" borderId="15" xfId="2" applyNumberFormat="1" applyFont="1" applyFill="1" applyBorder="1" applyAlignment="1">
      <alignment horizontal="left" vertical="center"/>
    </xf>
    <xf numFmtId="0" fontId="9" fillId="3" borderId="20" xfId="2" applyFont="1" applyFill="1" applyBorder="1" applyAlignment="1">
      <alignment horizontal="center" vertical="center"/>
    </xf>
    <xf numFmtId="3" fontId="9" fillId="3" borderId="20" xfId="2" applyNumberFormat="1" applyFont="1" applyFill="1" applyBorder="1" applyAlignment="1">
      <alignment horizontal="center" vertical="center"/>
    </xf>
    <xf numFmtId="4" fontId="9" fillId="3" borderId="20" xfId="2" applyNumberFormat="1" applyFont="1" applyFill="1" applyBorder="1" applyAlignment="1">
      <alignment horizontal="center" vertical="center"/>
    </xf>
    <xf numFmtId="0" fontId="19" fillId="3" borderId="20" xfId="2" applyFont="1" applyFill="1" applyBorder="1" applyAlignment="1">
      <alignment horizontal="center" vertical="center"/>
    </xf>
    <xf numFmtId="165" fontId="9" fillId="3" borderId="21" xfId="2" applyNumberFormat="1" applyFont="1" applyFill="1" applyBorder="1" applyAlignment="1">
      <alignment horizontal="center" vertical="center"/>
    </xf>
    <xf numFmtId="0" fontId="17" fillId="7" borderId="14" xfId="2" applyFont="1" applyFill="1" applyBorder="1" applyAlignment="1">
      <alignment horizontal="right" vertical="center" wrapText="1"/>
    </xf>
    <xf numFmtId="0" fontId="0" fillId="0" borderId="13" xfId="0" applyBorder="1"/>
    <xf numFmtId="0" fontId="0" fillId="0" borderId="31" xfId="0" applyBorder="1"/>
    <xf numFmtId="0" fontId="0" fillId="0" borderId="32" xfId="0" applyBorder="1"/>
    <xf numFmtId="0" fontId="12" fillId="4" borderId="28" xfId="2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/>
    </xf>
    <xf numFmtId="4" fontId="15" fillId="2" borderId="1" xfId="0" applyNumberFormat="1" applyFont="1" applyFill="1" applyBorder="1" applyAlignment="1">
      <alignment horizontal="center" vertical="center"/>
    </xf>
    <xf numFmtId="1" fontId="16" fillId="0" borderId="1" xfId="2" applyNumberFormat="1" applyFont="1" applyBorder="1" applyAlignment="1">
      <alignment horizontal="center" vertical="center"/>
    </xf>
    <xf numFmtId="165" fontId="15" fillId="2" borderId="43" xfId="2" applyNumberFormat="1" applyFont="1" applyFill="1" applyBorder="1" applyAlignment="1">
      <alignment horizontal="center" vertical="center"/>
    </xf>
    <xf numFmtId="165" fontId="15" fillId="2" borderId="43" xfId="0" applyNumberFormat="1" applyFont="1" applyFill="1" applyBorder="1" applyAlignment="1">
      <alignment horizontal="center" vertical="center"/>
    </xf>
    <xf numFmtId="0" fontId="15" fillId="2" borderId="45" xfId="2" applyFont="1" applyFill="1" applyBorder="1" applyAlignment="1">
      <alignment horizontal="center" vertical="center" wrapText="1"/>
    </xf>
    <xf numFmtId="0" fontId="15" fillId="2" borderId="27" xfId="2" applyFont="1" applyFill="1" applyBorder="1" applyAlignment="1">
      <alignment horizontal="center" vertical="center" wrapText="1"/>
    </xf>
    <xf numFmtId="4" fontId="15" fillId="2" borderId="45" xfId="2" applyNumberFormat="1" applyFont="1" applyFill="1" applyBorder="1" applyAlignment="1">
      <alignment horizontal="center" vertical="center"/>
    </xf>
    <xf numFmtId="3" fontId="15" fillId="2" borderId="45" xfId="2" applyNumberFormat="1" applyFont="1" applyFill="1" applyBorder="1" applyAlignment="1">
      <alignment horizontal="center" vertical="center"/>
    </xf>
    <xf numFmtId="0" fontId="12" fillId="5" borderId="14" xfId="2" applyFont="1" applyFill="1" applyBorder="1" applyAlignment="1">
      <alignment horizontal="left" vertical="center" wrapText="1"/>
    </xf>
    <xf numFmtId="0" fontId="0" fillId="0" borderId="13" xfId="0" applyBorder="1"/>
    <xf numFmtId="3" fontId="5" fillId="5" borderId="36" xfId="2" applyNumberFormat="1" applyFont="1" applyFill="1" applyBorder="1" applyAlignment="1">
      <alignment horizontal="left" vertical="center"/>
    </xf>
    <xf numFmtId="0" fontId="0" fillId="0" borderId="17" xfId="0" applyBorder="1"/>
    <xf numFmtId="3" fontId="5" fillId="5" borderId="34" xfId="2" applyNumberFormat="1" applyFont="1" applyFill="1" applyBorder="1" applyAlignment="1">
      <alignment horizontal="left" vertical="center"/>
    </xf>
    <xf numFmtId="0" fontId="0" fillId="0" borderId="10" xfId="0" applyBorder="1"/>
    <xf numFmtId="0" fontId="4" fillId="4" borderId="33" xfId="2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9" xfId="0" applyBorder="1"/>
    <xf numFmtId="0" fontId="0" fillId="0" borderId="4" xfId="0" applyBorder="1"/>
    <xf numFmtId="0" fontId="2" fillId="0" borderId="0" xfId="2"/>
    <xf numFmtId="0" fontId="0" fillId="0" borderId="12" xfId="0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15" fillId="2" borderId="1" xfId="2" applyFont="1" applyFill="1" applyBorder="1" applyAlignment="1">
      <alignment horizontal="center" vertical="center" wrapText="1"/>
    </xf>
    <xf numFmtId="0" fontId="15" fillId="2" borderId="45" xfId="2" applyFont="1" applyFill="1" applyBorder="1" applyAlignment="1">
      <alignment horizontal="center" vertical="center" wrapText="1"/>
    </xf>
    <xf numFmtId="0" fontId="15" fillId="2" borderId="27" xfId="2" applyFont="1" applyFill="1" applyBorder="1" applyAlignment="1">
      <alignment horizontal="center" vertical="center" wrapText="1"/>
    </xf>
    <xf numFmtId="4" fontId="15" fillId="2" borderId="44" xfId="2" applyNumberFormat="1" applyFont="1" applyFill="1" applyBorder="1" applyAlignment="1">
      <alignment horizontal="center" vertical="center"/>
    </xf>
    <xf numFmtId="4" fontId="15" fillId="2" borderId="45" xfId="2" applyNumberFormat="1" applyFont="1" applyFill="1" applyBorder="1" applyAlignment="1">
      <alignment horizontal="center" vertical="center"/>
    </xf>
    <xf numFmtId="4" fontId="15" fillId="2" borderId="27" xfId="2" applyNumberFormat="1" applyFont="1" applyFill="1" applyBorder="1" applyAlignment="1">
      <alignment horizontal="center" vertical="center"/>
    </xf>
    <xf numFmtId="3" fontId="15" fillId="2" borderId="44" xfId="2" applyNumberFormat="1" applyFont="1" applyFill="1" applyBorder="1" applyAlignment="1">
      <alignment horizontal="center" vertical="center"/>
    </xf>
    <xf numFmtId="3" fontId="15" fillId="2" borderId="45" xfId="2" applyNumberFormat="1" applyFont="1" applyFill="1" applyBorder="1" applyAlignment="1">
      <alignment horizontal="center" vertical="center"/>
    </xf>
    <xf numFmtId="3" fontId="15" fillId="2" borderId="27" xfId="2" applyNumberFormat="1" applyFont="1" applyFill="1" applyBorder="1" applyAlignment="1">
      <alignment horizontal="center" vertical="center"/>
    </xf>
    <xf numFmtId="14" fontId="5" fillId="5" borderId="11" xfId="2" applyNumberFormat="1" applyFont="1" applyFill="1" applyBorder="1" applyAlignment="1">
      <alignment horizontal="left" vertical="center" wrapText="1"/>
    </xf>
    <xf numFmtId="0" fontId="0" fillId="0" borderId="40" xfId="0" applyBorder="1"/>
    <xf numFmtId="0" fontId="8" fillId="5" borderId="14" xfId="2" applyFont="1" applyFill="1" applyBorder="1" applyAlignment="1">
      <alignment horizontal="left" vertical="center" wrapText="1"/>
    </xf>
    <xf numFmtId="0" fontId="0" fillId="0" borderId="30" xfId="0" applyBorder="1"/>
    <xf numFmtId="0" fontId="7" fillId="7" borderId="14" xfId="2" applyFont="1" applyFill="1" applyBorder="1" applyAlignment="1">
      <alignment horizontal="left" vertical="center" wrapText="1"/>
    </xf>
    <xf numFmtId="164" fontId="5" fillId="5" borderId="14" xfId="2" applyNumberFormat="1" applyFont="1" applyFill="1" applyBorder="1" applyAlignment="1">
      <alignment horizontal="left" vertical="center" wrapText="1"/>
    </xf>
    <xf numFmtId="0" fontId="0" fillId="0" borderId="41" xfId="0" applyBorder="1"/>
    <xf numFmtId="164" fontId="8" fillId="5" borderId="14" xfId="2" applyNumberFormat="1" applyFont="1" applyFill="1" applyBorder="1" applyAlignment="1">
      <alignment horizontal="left" vertical="center" wrapText="1"/>
    </xf>
    <xf numFmtId="49" fontId="5" fillId="5" borderId="18" xfId="2" applyNumberFormat="1" applyFont="1" applyFill="1" applyBorder="1" applyAlignment="1">
      <alignment horizontal="left" vertical="center" wrapText="1"/>
    </xf>
    <xf numFmtId="0" fontId="0" fillId="0" borderId="42" xfId="0" applyBorder="1"/>
    <xf numFmtId="0" fontId="6" fillId="6" borderId="19" xfId="2" applyFont="1" applyFill="1" applyBorder="1" applyAlignment="1">
      <alignment horizontal="left" vertical="center"/>
    </xf>
    <xf numFmtId="0" fontId="0" fillId="0" borderId="24" xfId="0" applyBorder="1"/>
    <xf numFmtId="0" fontId="0" fillId="0" borderId="25" xfId="0" applyBorder="1"/>
    <xf numFmtId="3" fontId="5" fillId="5" borderId="35" xfId="2" applyNumberFormat="1" applyFont="1" applyFill="1" applyBorder="1" applyAlignment="1">
      <alignment horizontal="left" vertical="center"/>
    </xf>
    <xf numFmtId="0" fontId="7" fillId="7" borderId="22" xfId="2" applyFont="1" applyFill="1" applyBorder="1" applyAlignment="1">
      <alignment horizontal="left" vertical="center" wrapText="1"/>
    </xf>
    <xf numFmtId="0" fontId="13" fillId="5" borderId="14" xfId="2" applyFont="1" applyFill="1" applyBorder="1" applyAlignment="1">
      <alignment horizontal="left" vertical="center" wrapText="1"/>
    </xf>
    <xf numFmtId="0" fontId="10" fillId="0" borderId="6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11" fillId="0" borderId="39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9" fillId="3" borderId="37" xfId="2" applyFont="1" applyFill="1" applyBorder="1" applyAlignment="1">
      <alignment horizontal="center" vertical="center"/>
    </xf>
    <xf numFmtId="0" fontId="19" fillId="3" borderId="31" xfId="2" applyFont="1" applyFill="1" applyBorder="1" applyAlignment="1">
      <alignment horizontal="center" vertical="center"/>
    </xf>
    <xf numFmtId="0" fontId="17" fillId="7" borderId="28" xfId="2" applyFont="1" applyFill="1" applyBorder="1" applyAlignment="1">
      <alignment horizontal="center" vertical="center" wrapText="1"/>
    </xf>
    <xf numFmtId="0" fontId="17" fillId="7" borderId="13" xfId="2" applyFont="1" applyFill="1" applyBorder="1" applyAlignment="1">
      <alignment horizontal="center" vertical="center" wrapText="1"/>
    </xf>
    <xf numFmtId="0" fontId="17" fillId="7" borderId="38" xfId="2" applyFont="1" applyFill="1" applyBorder="1" applyAlignment="1">
      <alignment horizontal="center" vertical="center" wrapText="1"/>
    </xf>
    <xf numFmtId="0" fontId="2" fillId="0" borderId="4" xfId="2" applyBorder="1"/>
    <xf numFmtId="0" fontId="2" fillId="0" borderId="5" xfId="2" applyBorder="1"/>
    <xf numFmtId="0" fontId="15" fillId="2" borderId="44" xfId="2" applyFont="1" applyFill="1" applyBorder="1" applyAlignment="1">
      <alignment horizontal="center" vertical="center" wrapText="1"/>
    </xf>
    <xf numFmtId="0" fontId="15" fillId="2" borderId="46" xfId="2" applyFont="1" applyFill="1" applyBorder="1" applyAlignment="1">
      <alignment horizontal="center" vertical="center" wrapText="1"/>
    </xf>
    <xf numFmtId="0" fontId="3" fillId="3" borderId="39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3" fillId="3" borderId="6" xfId="2" applyFont="1" applyFill="1" applyBorder="1" applyAlignment="1">
      <alignment horizontal="center" vertical="center" wrapText="1"/>
    </xf>
    <xf numFmtId="0" fontId="3" fillId="3" borderId="7" xfId="2" applyFont="1" applyFill="1" applyBorder="1" applyAlignment="1">
      <alignment horizontal="center" vertical="center" wrapText="1"/>
    </xf>
    <xf numFmtId="0" fontId="3" fillId="3" borderId="8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D12"/>
  <sheetViews>
    <sheetView view="pageBreakPreview" zoomScale="110" zoomScaleNormal="100" zoomScaleSheetLayoutView="110" workbookViewId="0">
      <selection activeCell="J9" sqref="J9"/>
    </sheetView>
  </sheetViews>
  <sheetFormatPr defaultRowHeight="14.5" x14ac:dyDescent="0.35"/>
  <cols>
    <col min="1" max="1" width="15.453125" customWidth="1"/>
    <col min="2" max="2" width="9.81640625" style="12" bestFit="1" customWidth="1"/>
    <col min="3" max="3" width="8.7265625" style="12"/>
    <col min="4" max="4" width="14.26953125" customWidth="1"/>
  </cols>
  <sheetData>
    <row r="1" spans="1:4" x14ac:dyDescent="0.35">
      <c r="A1" s="10" t="s">
        <v>55</v>
      </c>
      <c r="B1" s="10" t="s">
        <v>56</v>
      </c>
      <c r="C1" s="12" t="s">
        <v>192</v>
      </c>
      <c r="D1" t="s">
        <v>57</v>
      </c>
    </row>
    <row r="2" spans="1:4" x14ac:dyDescent="0.35">
      <c r="A2" s="13" t="s">
        <v>194</v>
      </c>
      <c r="B2" s="11">
        <f>'ARKU1203805-1'!I36</f>
        <v>1990</v>
      </c>
      <c r="C2" s="12">
        <f>'ARKU1203805-1'!C36</f>
        <v>2</v>
      </c>
      <c r="D2" t="s">
        <v>58</v>
      </c>
    </row>
    <row r="3" spans="1:4" x14ac:dyDescent="0.35">
      <c r="A3" s="13" t="s">
        <v>195</v>
      </c>
      <c r="B3" s="11">
        <f>'ARKU1203805-2'!I36</f>
        <v>5620</v>
      </c>
      <c r="C3" s="12">
        <f>'ARKU1203805-2'!C36</f>
        <v>13</v>
      </c>
      <c r="D3" t="s">
        <v>58</v>
      </c>
    </row>
    <row r="4" spans="1:4" x14ac:dyDescent="0.35">
      <c r="A4" s="13" t="s">
        <v>196</v>
      </c>
      <c r="B4" s="11">
        <f>'ARKU1203805-3'!I36</f>
        <v>5690</v>
      </c>
      <c r="C4" s="12">
        <f>'ARKU1203805-3'!C36</f>
        <v>6</v>
      </c>
      <c r="D4" t="s">
        <v>58</v>
      </c>
    </row>
    <row r="5" spans="1:4" x14ac:dyDescent="0.35">
      <c r="A5" t="s">
        <v>59</v>
      </c>
      <c r="B5" s="11">
        <f>SUM(B2:B4)</f>
        <v>13300</v>
      </c>
      <c r="C5" s="12">
        <f>SUM(C2:C4)</f>
        <v>21</v>
      </c>
    </row>
    <row r="6" spans="1:4" x14ac:dyDescent="0.35">
      <c r="B6" s="11"/>
    </row>
    <row r="7" spans="1:4" x14ac:dyDescent="0.35">
      <c r="B7" s="11"/>
    </row>
    <row r="8" spans="1:4" x14ac:dyDescent="0.35">
      <c r="B8" s="11"/>
    </row>
    <row r="9" spans="1:4" x14ac:dyDescent="0.35">
      <c r="B9" s="11"/>
    </row>
    <row r="10" spans="1:4" x14ac:dyDescent="0.35">
      <c r="B10" s="11"/>
    </row>
    <row r="11" spans="1:4" x14ac:dyDescent="0.35">
      <c r="B11" s="11"/>
    </row>
    <row r="12" spans="1:4" x14ac:dyDescent="0.35">
      <c r="B12" s="1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O50"/>
  <sheetViews>
    <sheetView zoomScale="70" zoomScaleNormal="70" workbookViewId="0">
      <selection activeCell="S8" sqref="S8"/>
    </sheetView>
  </sheetViews>
  <sheetFormatPr defaultColWidth="8.7265625" defaultRowHeight="14.5" x14ac:dyDescent="0.35"/>
  <cols>
    <col min="1" max="1" width="6.7265625" style="1" customWidth="1"/>
    <col min="2" max="2" width="13" style="1" customWidth="1"/>
    <col min="3" max="3" width="8.81640625" style="1" customWidth="1"/>
    <col min="4" max="4" width="38.6328125" style="1" customWidth="1"/>
    <col min="5" max="5" width="16.26953125" style="1" customWidth="1"/>
    <col min="6" max="6" width="7.453125" style="1" bestFit="1" customWidth="1"/>
    <col min="7" max="8" width="8" style="1" customWidth="1"/>
    <col min="9" max="9" width="12.26953125" style="1" customWidth="1"/>
    <col min="10" max="10" width="7.81640625" style="1" customWidth="1"/>
    <col min="11" max="11" width="8.26953125" style="1" customWidth="1"/>
    <col min="12" max="12" width="8.453125" style="1" customWidth="1"/>
    <col min="13" max="13" width="12" style="1" customWidth="1"/>
    <col min="14" max="14" width="13" style="1" customWidth="1"/>
    <col min="15" max="15" width="12" style="1" customWidth="1"/>
    <col min="16" max="16" width="8.7265625" style="1" customWidth="1"/>
    <col min="17" max="16384" width="8.7265625" style="1"/>
  </cols>
  <sheetData>
    <row r="1" spans="1:15" ht="17.25" customHeight="1" thickBot="1" x14ac:dyDescent="0.4">
      <c r="A1" s="97" t="e" vm="1">
        <v>#VALUE!</v>
      </c>
      <c r="B1" s="98"/>
      <c r="C1" s="99"/>
      <c r="D1" s="48" t="s">
        <v>0</v>
      </c>
      <c r="E1" s="49"/>
      <c r="F1" s="49"/>
      <c r="G1" s="49"/>
      <c r="H1" s="49"/>
      <c r="I1" s="49"/>
      <c r="J1" s="49"/>
      <c r="K1" s="50"/>
      <c r="L1" s="46" t="s">
        <v>1</v>
      </c>
      <c r="M1" s="47"/>
      <c r="N1" s="66">
        <v>46098</v>
      </c>
      <c r="O1" s="67"/>
    </row>
    <row r="2" spans="1:15" ht="18" customHeight="1" x14ac:dyDescent="0.35">
      <c r="A2" s="100"/>
      <c r="B2" s="101"/>
      <c r="C2" s="102"/>
      <c r="D2" s="51"/>
      <c r="E2" s="52"/>
      <c r="F2" s="52"/>
      <c r="G2" s="52"/>
      <c r="H2" s="52"/>
      <c r="I2" s="52"/>
      <c r="J2" s="52"/>
      <c r="K2" s="53"/>
      <c r="L2" s="79" t="s">
        <v>2</v>
      </c>
      <c r="M2" s="43"/>
      <c r="N2" s="71" t="s">
        <v>3</v>
      </c>
      <c r="O2" s="72"/>
    </row>
    <row r="3" spans="1:15" ht="16.5" customHeight="1" x14ac:dyDescent="0.35">
      <c r="A3" s="100"/>
      <c r="B3" s="101"/>
      <c r="C3" s="102"/>
      <c r="D3" s="51"/>
      <c r="E3" s="52"/>
      <c r="F3" s="52"/>
      <c r="G3" s="52"/>
      <c r="H3" s="52"/>
      <c r="I3" s="52"/>
      <c r="J3" s="52"/>
      <c r="K3" s="53"/>
      <c r="L3" s="79" t="s">
        <v>4</v>
      </c>
      <c r="M3" s="43"/>
      <c r="N3" s="71" t="s">
        <v>5</v>
      </c>
      <c r="O3" s="72"/>
    </row>
    <row r="4" spans="1:15" ht="15.75" customHeight="1" thickBot="1" x14ac:dyDescent="0.4">
      <c r="A4" s="103"/>
      <c r="B4" s="104"/>
      <c r="C4" s="105"/>
      <c r="D4" s="54"/>
      <c r="E4" s="55"/>
      <c r="F4" s="55"/>
      <c r="G4" s="55"/>
      <c r="H4" s="55"/>
      <c r="I4" s="55"/>
      <c r="J4" s="55"/>
      <c r="K4" s="56"/>
      <c r="L4" s="44" t="s">
        <v>6</v>
      </c>
      <c r="M4" s="45"/>
      <c r="N4" s="74" t="s">
        <v>7</v>
      </c>
      <c r="O4" s="75"/>
    </row>
    <row r="5" spans="1:15" ht="19.899999999999999" customHeight="1" thickBot="1" x14ac:dyDescent="0.4">
      <c r="A5" s="76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8"/>
    </row>
    <row r="6" spans="1:15" ht="22.15" customHeight="1" x14ac:dyDescent="0.35">
      <c r="A6" s="80" t="s">
        <v>9</v>
      </c>
      <c r="B6" s="43"/>
      <c r="C6" s="68" t="s">
        <v>58</v>
      </c>
      <c r="D6" s="43"/>
      <c r="E6" s="70" t="s">
        <v>10</v>
      </c>
      <c r="F6" s="43"/>
      <c r="G6" s="73">
        <v>46181</v>
      </c>
      <c r="H6" s="43"/>
      <c r="I6" s="70" t="s">
        <v>11</v>
      </c>
      <c r="J6" s="43"/>
      <c r="K6" s="68" t="s">
        <v>197</v>
      </c>
      <c r="L6" s="43"/>
      <c r="M6" s="70" t="s">
        <v>12</v>
      </c>
      <c r="N6" s="43"/>
      <c r="O6" s="6" t="s">
        <v>13</v>
      </c>
    </row>
    <row r="7" spans="1:15" ht="22.15" customHeight="1" x14ac:dyDescent="0.35">
      <c r="A7" s="80" t="s">
        <v>14</v>
      </c>
      <c r="B7" s="43"/>
      <c r="C7" s="68" t="s">
        <v>15</v>
      </c>
      <c r="D7" s="69"/>
      <c r="E7" s="69"/>
      <c r="F7" s="69"/>
      <c r="G7" s="69"/>
      <c r="H7" s="43"/>
      <c r="I7" s="70" t="s">
        <v>16</v>
      </c>
      <c r="J7" s="43"/>
      <c r="K7" s="42" t="s">
        <v>60</v>
      </c>
      <c r="L7" s="69"/>
      <c r="M7" s="69"/>
      <c r="N7" s="69"/>
      <c r="O7" s="72"/>
    </row>
    <row r="8" spans="1:15" ht="22.15" customHeight="1" x14ac:dyDescent="0.35">
      <c r="A8" s="80" t="s">
        <v>17</v>
      </c>
      <c r="B8" s="43"/>
      <c r="C8" s="68" t="s">
        <v>60</v>
      </c>
      <c r="D8" s="69"/>
      <c r="E8" s="69"/>
      <c r="F8" s="69"/>
      <c r="G8" s="69"/>
      <c r="H8" s="43"/>
      <c r="I8" s="70" t="s">
        <v>18</v>
      </c>
      <c r="J8" s="43"/>
      <c r="K8" s="42" t="s">
        <v>19</v>
      </c>
      <c r="L8" s="43"/>
      <c r="M8" s="70" t="s">
        <v>20</v>
      </c>
      <c r="N8" s="43"/>
      <c r="O8" s="6" t="s">
        <v>21</v>
      </c>
    </row>
    <row r="9" spans="1:15" ht="22.15" customHeight="1" x14ac:dyDescent="0.35">
      <c r="A9" s="80" t="s">
        <v>22</v>
      </c>
      <c r="B9" s="43"/>
      <c r="C9" s="68" t="s">
        <v>187</v>
      </c>
      <c r="D9" s="43"/>
      <c r="E9" s="70" t="s">
        <v>23</v>
      </c>
      <c r="F9" s="43"/>
      <c r="G9" s="42" t="s">
        <v>21</v>
      </c>
      <c r="H9" s="43"/>
      <c r="I9" s="70" t="s">
        <v>24</v>
      </c>
      <c r="J9" s="43"/>
      <c r="K9" s="68" t="s">
        <v>188</v>
      </c>
      <c r="L9" s="43"/>
      <c r="M9" s="70" t="s">
        <v>189</v>
      </c>
      <c r="N9" s="43"/>
      <c r="O9" s="2">
        <v>46191</v>
      </c>
    </row>
    <row r="10" spans="1:15" ht="22.15" customHeight="1" x14ac:dyDescent="0.35">
      <c r="A10" s="80" t="s">
        <v>25</v>
      </c>
      <c r="B10" s="43"/>
      <c r="C10" s="81" t="s">
        <v>186</v>
      </c>
      <c r="D10" s="43"/>
      <c r="E10" s="70" t="s">
        <v>26</v>
      </c>
      <c r="F10" s="43"/>
      <c r="G10" s="68"/>
      <c r="H10" s="43"/>
      <c r="I10" s="70" t="s">
        <v>27</v>
      </c>
      <c r="J10" s="43"/>
      <c r="K10" s="68"/>
      <c r="L10" s="43"/>
      <c r="M10" s="70" t="s">
        <v>28</v>
      </c>
      <c r="N10" s="43"/>
      <c r="O10" s="6" t="s">
        <v>29</v>
      </c>
    </row>
    <row r="11" spans="1:15" ht="15" customHeight="1" thickBot="1" x14ac:dyDescent="0.4">
      <c r="A11" s="3"/>
      <c r="O11" s="4"/>
    </row>
    <row r="12" spans="1:15" ht="34.15" customHeight="1" thickBot="1" x14ac:dyDescent="0.4">
      <c r="A12" s="5" t="s">
        <v>30</v>
      </c>
      <c r="B12" s="7" t="s">
        <v>31</v>
      </c>
      <c r="C12" s="7" t="s">
        <v>32</v>
      </c>
      <c r="D12" s="7" t="s">
        <v>33</v>
      </c>
      <c r="E12" s="7" t="s">
        <v>34</v>
      </c>
      <c r="F12" s="7" t="s">
        <v>35</v>
      </c>
      <c r="G12" s="7" t="s">
        <v>36</v>
      </c>
      <c r="H12" s="7" t="s">
        <v>37</v>
      </c>
      <c r="I12" s="7" t="s">
        <v>38</v>
      </c>
      <c r="J12" s="7" t="s">
        <v>39</v>
      </c>
      <c r="K12" s="7" t="s">
        <v>40</v>
      </c>
      <c r="L12" s="7" t="s">
        <v>41</v>
      </c>
      <c r="M12" s="7" t="s">
        <v>42</v>
      </c>
      <c r="N12" s="7" t="s">
        <v>43</v>
      </c>
      <c r="O12" s="9" t="s">
        <v>44</v>
      </c>
    </row>
    <row r="13" spans="1:15" ht="32.5" customHeight="1" x14ac:dyDescent="0.35">
      <c r="A13" s="8">
        <v>1</v>
      </c>
      <c r="B13" s="95" t="s">
        <v>61</v>
      </c>
      <c r="C13" s="14"/>
      <c r="D13" s="14" t="s">
        <v>150</v>
      </c>
      <c r="E13" s="15" t="s">
        <v>62</v>
      </c>
      <c r="F13" s="14" t="s">
        <v>45</v>
      </c>
      <c r="G13" s="16">
        <v>180</v>
      </c>
      <c r="H13" s="14" t="s">
        <v>46</v>
      </c>
      <c r="I13" s="57" t="s">
        <v>190</v>
      </c>
      <c r="J13" s="63">
        <v>1</v>
      </c>
      <c r="K13" s="16"/>
      <c r="L13" s="16"/>
      <c r="M13" s="60">
        <v>880</v>
      </c>
      <c r="N13" s="17"/>
      <c r="O13" s="36" t="str">
        <f t="shared" ref="O13:O33" si="0">IF(COUNTA(J13:L13)=3,J13*K13*L13/1000000,"")</f>
        <v/>
      </c>
    </row>
    <row r="14" spans="1:15" ht="32.5" customHeight="1" x14ac:dyDescent="0.35">
      <c r="A14" s="31">
        <v>2</v>
      </c>
      <c r="B14" s="58"/>
      <c r="C14" s="14"/>
      <c r="D14" s="14" t="s">
        <v>151</v>
      </c>
      <c r="E14" s="15" t="s">
        <v>65</v>
      </c>
      <c r="F14" s="14" t="s">
        <v>45</v>
      </c>
      <c r="G14" s="16">
        <v>300</v>
      </c>
      <c r="H14" s="14" t="s">
        <v>46</v>
      </c>
      <c r="I14" s="57"/>
      <c r="J14" s="64"/>
      <c r="K14" s="16"/>
      <c r="L14" s="16"/>
      <c r="M14" s="61"/>
      <c r="N14" s="17"/>
      <c r="O14" s="36" t="str">
        <f t="shared" si="0"/>
        <v/>
      </c>
    </row>
    <row r="15" spans="1:15" ht="32.5" customHeight="1" x14ac:dyDescent="0.35">
      <c r="A15" s="8">
        <v>3</v>
      </c>
      <c r="B15" s="58"/>
      <c r="C15" s="14"/>
      <c r="D15" s="14" t="s">
        <v>152</v>
      </c>
      <c r="E15" s="15" t="s">
        <v>67</v>
      </c>
      <c r="F15" s="14" t="s">
        <v>45</v>
      </c>
      <c r="G15" s="16">
        <v>10</v>
      </c>
      <c r="H15" s="14" t="s">
        <v>46</v>
      </c>
      <c r="I15" s="57"/>
      <c r="J15" s="64"/>
      <c r="K15" s="16"/>
      <c r="L15" s="16"/>
      <c r="M15" s="61"/>
      <c r="N15" s="17"/>
      <c r="O15" s="36" t="str">
        <f t="shared" si="0"/>
        <v/>
      </c>
    </row>
    <row r="16" spans="1:15" ht="32.5" customHeight="1" x14ac:dyDescent="0.35">
      <c r="A16" s="31">
        <v>4</v>
      </c>
      <c r="B16" s="58"/>
      <c r="C16" s="14"/>
      <c r="D16" s="14" t="s">
        <v>153</v>
      </c>
      <c r="E16" s="15" t="s">
        <v>69</v>
      </c>
      <c r="F16" s="14" t="s">
        <v>45</v>
      </c>
      <c r="G16" s="16">
        <v>100</v>
      </c>
      <c r="H16" s="14" t="s">
        <v>46</v>
      </c>
      <c r="I16" s="57"/>
      <c r="J16" s="64"/>
      <c r="K16" s="16"/>
      <c r="L16" s="16"/>
      <c r="M16" s="61"/>
      <c r="N16" s="17"/>
      <c r="O16" s="36" t="str">
        <f t="shared" si="0"/>
        <v/>
      </c>
    </row>
    <row r="17" spans="1:15" ht="32.5" customHeight="1" x14ac:dyDescent="0.35">
      <c r="A17" s="8">
        <v>5</v>
      </c>
      <c r="B17" s="58"/>
      <c r="C17" s="32"/>
      <c r="D17" s="32" t="s">
        <v>71</v>
      </c>
      <c r="E17" s="15" t="s">
        <v>72</v>
      </c>
      <c r="F17" s="32" t="s">
        <v>45</v>
      </c>
      <c r="G17" s="33">
        <v>20</v>
      </c>
      <c r="H17" s="32" t="s">
        <v>46</v>
      </c>
      <c r="I17" s="57"/>
      <c r="J17" s="64"/>
      <c r="K17" s="33"/>
      <c r="L17" s="33"/>
      <c r="M17" s="61"/>
      <c r="N17" s="17"/>
      <c r="O17" s="36" t="str">
        <f t="shared" si="0"/>
        <v/>
      </c>
    </row>
    <row r="18" spans="1:15" ht="32.5" customHeight="1" x14ac:dyDescent="0.35">
      <c r="A18" s="31">
        <v>6</v>
      </c>
      <c r="B18" s="58"/>
      <c r="C18" s="32"/>
      <c r="D18" s="32" t="s">
        <v>154</v>
      </c>
      <c r="E18" s="15" t="s">
        <v>74</v>
      </c>
      <c r="F18" s="32" t="s">
        <v>45</v>
      </c>
      <c r="G18" s="33">
        <v>4</v>
      </c>
      <c r="H18" s="32" t="s">
        <v>46</v>
      </c>
      <c r="I18" s="57"/>
      <c r="J18" s="64"/>
      <c r="K18" s="33"/>
      <c r="L18" s="33"/>
      <c r="M18" s="61"/>
      <c r="N18" s="17"/>
      <c r="O18" s="36" t="str">
        <f t="shared" si="0"/>
        <v/>
      </c>
    </row>
    <row r="19" spans="1:15" ht="32.5" customHeight="1" x14ac:dyDescent="0.35">
      <c r="A19" s="8">
        <v>7</v>
      </c>
      <c r="B19" s="58"/>
      <c r="C19" s="14"/>
      <c r="D19" s="14" t="s">
        <v>155</v>
      </c>
      <c r="E19" s="35" t="s">
        <v>74</v>
      </c>
      <c r="F19" s="14" t="s">
        <v>45</v>
      </c>
      <c r="G19" s="16">
        <v>4</v>
      </c>
      <c r="H19" s="14" t="s">
        <v>46</v>
      </c>
      <c r="I19" s="57"/>
      <c r="J19" s="64"/>
      <c r="K19" s="16"/>
      <c r="L19" s="16"/>
      <c r="M19" s="61"/>
      <c r="N19" s="17"/>
      <c r="O19" s="36" t="str">
        <f t="shared" si="0"/>
        <v/>
      </c>
    </row>
    <row r="20" spans="1:15" ht="32.5" customHeight="1" x14ac:dyDescent="0.35">
      <c r="A20" s="31">
        <v>8</v>
      </c>
      <c r="B20" s="59"/>
      <c r="C20" s="14"/>
      <c r="D20" s="14" t="s">
        <v>78</v>
      </c>
      <c r="E20" s="35" t="s">
        <v>79</v>
      </c>
      <c r="F20" s="14" t="s">
        <v>45</v>
      </c>
      <c r="G20" s="16">
        <v>8</v>
      </c>
      <c r="H20" s="14" t="s">
        <v>46</v>
      </c>
      <c r="I20" s="57"/>
      <c r="J20" s="65"/>
      <c r="K20" s="16"/>
      <c r="L20" s="16"/>
      <c r="M20" s="62"/>
      <c r="N20" s="17"/>
      <c r="O20" s="36" t="str">
        <f t="shared" si="0"/>
        <v/>
      </c>
    </row>
    <row r="21" spans="1:15" ht="32.5" customHeight="1" x14ac:dyDescent="0.35">
      <c r="A21" s="8">
        <v>9</v>
      </c>
      <c r="B21" s="95" t="s">
        <v>64</v>
      </c>
      <c r="C21" s="14"/>
      <c r="D21" s="14" t="s">
        <v>80</v>
      </c>
      <c r="E21" s="35" t="s">
        <v>81</v>
      </c>
      <c r="F21" s="14" t="s">
        <v>45</v>
      </c>
      <c r="G21" s="16">
        <v>5</v>
      </c>
      <c r="H21" s="14" t="s">
        <v>46</v>
      </c>
      <c r="I21" s="58" t="s">
        <v>190</v>
      </c>
      <c r="J21" s="63">
        <v>1</v>
      </c>
      <c r="K21" s="16"/>
      <c r="L21" s="16"/>
      <c r="M21" s="60">
        <v>1110</v>
      </c>
      <c r="N21" s="17"/>
      <c r="O21" s="36" t="str">
        <f t="shared" si="0"/>
        <v/>
      </c>
    </row>
    <row r="22" spans="1:15" ht="32.5" customHeight="1" x14ac:dyDescent="0.35">
      <c r="A22" s="31">
        <v>10</v>
      </c>
      <c r="B22" s="58"/>
      <c r="C22" s="14"/>
      <c r="D22" s="14" t="s">
        <v>83</v>
      </c>
      <c r="E22" s="35" t="s">
        <v>81</v>
      </c>
      <c r="F22" s="14" t="s">
        <v>45</v>
      </c>
      <c r="G22" s="16">
        <v>3</v>
      </c>
      <c r="H22" s="14" t="s">
        <v>46</v>
      </c>
      <c r="I22" s="58"/>
      <c r="J22" s="64"/>
      <c r="K22" s="16"/>
      <c r="L22" s="16"/>
      <c r="M22" s="61"/>
      <c r="N22" s="17"/>
      <c r="O22" s="36" t="str">
        <f t="shared" si="0"/>
        <v/>
      </c>
    </row>
    <row r="23" spans="1:15" ht="32.5" customHeight="1" x14ac:dyDescent="0.35">
      <c r="A23" s="8">
        <v>11</v>
      </c>
      <c r="B23" s="58"/>
      <c r="C23" s="14"/>
      <c r="D23" s="14" t="s">
        <v>156</v>
      </c>
      <c r="E23" s="35" t="s">
        <v>85</v>
      </c>
      <c r="F23" s="14" t="s">
        <v>45</v>
      </c>
      <c r="G23" s="16">
        <v>1</v>
      </c>
      <c r="H23" s="14" t="s">
        <v>46</v>
      </c>
      <c r="I23" s="58"/>
      <c r="J23" s="64"/>
      <c r="K23" s="16"/>
      <c r="L23" s="16"/>
      <c r="M23" s="61"/>
      <c r="N23" s="17"/>
      <c r="O23" s="36" t="str">
        <f t="shared" si="0"/>
        <v/>
      </c>
    </row>
    <row r="24" spans="1:15" ht="28" customHeight="1" x14ac:dyDescent="0.35">
      <c r="A24" s="31">
        <v>12</v>
      </c>
      <c r="B24" s="58"/>
      <c r="C24" s="32"/>
      <c r="D24" s="32" t="s">
        <v>157</v>
      </c>
      <c r="E24" s="15" t="s">
        <v>87</v>
      </c>
      <c r="F24" s="32" t="s">
        <v>45</v>
      </c>
      <c r="G24" s="33">
        <v>5</v>
      </c>
      <c r="H24" s="32" t="s">
        <v>46</v>
      </c>
      <c r="I24" s="58"/>
      <c r="J24" s="64"/>
      <c r="K24" s="33"/>
      <c r="L24" s="33"/>
      <c r="M24" s="61"/>
      <c r="N24" s="34"/>
      <c r="O24" s="37" t="str">
        <f t="shared" si="0"/>
        <v/>
      </c>
    </row>
    <row r="25" spans="1:15" ht="32.5" customHeight="1" x14ac:dyDescent="0.35">
      <c r="A25" s="8">
        <v>13</v>
      </c>
      <c r="B25" s="58"/>
      <c r="C25" s="14"/>
      <c r="D25" s="14" t="s">
        <v>158</v>
      </c>
      <c r="E25" s="35" t="s">
        <v>88</v>
      </c>
      <c r="F25" s="14" t="s">
        <v>45</v>
      </c>
      <c r="G25" s="16">
        <v>5</v>
      </c>
      <c r="H25" s="14" t="s">
        <v>46</v>
      </c>
      <c r="I25" s="58"/>
      <c r="J25" s="64"/>
      <c r="K25" s="16"/>
      <c r="L25" s="16"/>
      <c r="M25" s="61"/>
      <c r="N25" s="17"/>
      <c r="O25" s="36" t="str">
        <f t="shared" si="0"/>
        <v/>
      </c>
    </row>
    <row r="26" spans="1:15" ht="32.5" customHeight="1" x14ac:dyDescent="0.35">
      <c r="A26" s="31">
        <v>14</v>
      </c>
      <c r="B26" s="58"/>
      <c r="C26" s="14"/>
      <c r="D26" s="14" t="s">
        <v>159</v>
      </c>
      <c r="E26" s="35" t="s">
        <v>89</v>
      </c>
      <c r="F26" s="14" t="s">
        <v>45</v>
      </c>
      <c r="G26" s="16">
        <v>5</v>
      </c>
      <c r="H26" s="14" t="s">
        <v>46</v>
      </c>
      <c r="I26" s="58"/>
      <c r="J26" s="64"/>
      <c r="K26" s="16"/>
      <c r="L26" s="16"/>
      <c r="M26" s="61"/>
      <c r="N26" s="17"/>
      <c r="O26" s="36" t="str">
        <f t="shared" si="0"/>
        <v/>
      </c>
    </row>
    <row r="27" spans="1:15" ht="32.5" customHeight="1" x14ac:dyDescent="0.35">
      <c r="A27" s="8">
        <v>15</v>
      </c>
      <c r="B27" s="58"/>
      <c r="C27" s="14"/>
      <c r="D27" s="14" t="s">
        <v>160</v>
      </c>
      <c r="E27" s="35" t="s">
        <v>88</v>
      </c>
      <c r="F27" s="14" t="s">
        <v>45</v>
      </c>
      <c r="G27" s="16">
        <v>5</v>
      </c>
      <c r="H27" s="14" t="s">
        <v>46</v>
      </c>
      <c r="I27" s="58"/>
      <c r="J27" s="64"/>
      <c r="K27" s="16"/>
      <c r="L27" s="16"/>
      <c r="M27" s="61"/>
      <c r="N27" s="17"/>
      <c r="O27" s="36" t="str">
        <f t="shared" si="0"/>
        <v/>
      </c>
    </row>
    <row r="28" spans="1:15" ht="32.5" customHeight="1" x14ac:dyDescent="0.35">
      <c r="A28" s="31">
        <v>16</v>
      </c>
      <c r="B28" s="58"/>
      <c r="C28" s="14"/>
      <c r="D28" s="14" t="s">
        <v>161</v>
      </c>
      <c r="E28" s="35" t="s">
        <v>87</v>
      </c>
      <c r="F28" s="14" t="s">
        <v>45</v>
      </c>
      <c r="G28" s="16">
        <v>5</v>
      </c>
      <c r="H28" s="14" t="s">
        <v>46</v>
      </c>
      <c r="I28" s="58"/>
      <c r="J28" s="64"/>
      <c r="K28" s="16"/>
      <c r="L28" s="16"/>
      <c r="M28" s="61"/>
      <c r="N28" s="17"/>
      <c r="O28" s="36" t="str">
        <f t="shared" si="0"/>
        <v/>
      </c>
    </row>
    <row r="29" spans="1:15" ht="32.5" customHeight="1" x14ac:dyDescent="0.35">
      <c r="A29" s="8">
        <v>17</v>
      </c>
      <c r="B29" s="58"/>
      <c r="C29" s="14"/>
      <c r="D29" s="14" t="s">
        <v>162</v>
      </c>
      <c r="E29" s="35" t="s">
        <v>90</v>
      </c>
      <c r="F29" s="14" t="s">
        <v>45</v>
      </c>
      <c r="G29" s="16">
        <v>10</v>
      </c>
      <c r="H29" s="14" t="s">
        <v>46</v>
      </c>
      <c r="I29" s="58"/>
      <c r="J29" s="64"/>
      <c r="K29" s="16"/>
      <c r="L29" s="16"/>
      <c r="M29" s="61"/>
      <c r="N29" s="17"/>
      <c r="O29" s="36" t="str">
        <f t="shared" si="0"/>
        <v/>
      </c>
    </row>
    <row r="30" spans="1:15" ht="32.5" customHeight="1" x14ac:dyDescent="0.35">
      <c r="A30" s="31">
        <v>18</v>
      </c>
      <c r="B30" s="58"/>
      <c r="C30" s="14"/>
      <c r="D30" s="14" t="s">
        <v>163</v>
      </c>
      <c r="E30" s="35" t="s">
        <v>85</v>
      </c>
      <c r="F30" s="14" t="s">
        <v>45</v>
      </c>
      <c r="G30" s="16">
        <v>1</v>
      </c>
      <c r="H30" s="14" t="s">
        <v>46</v>
      </c>
      <c r="I30" s="58"/>
      <c r="J30" s="64"/>
      <c r="K30" s="16"/>
      <c r="L30" s="16"/>
      <c r="M30" s="61"/>
      <c r="N30" s="17"/>
      <c r="O30" s="36" t="str">
        <f t="shared" si="0"/>
        <v/>
      </c>
    </row>
    <row r="31" spans="1:15" ht="32.5" customHeight="1" x14ac:dyDescent="0.35">
      <c r="A31" s="8">
        <v>19</v>
      </c>
      <c r="B31" s="58"/>
      <c r="C31" s="14"/>
      <c r="D31" s="14" t="s">
        <v>164</v>
      </c>
      <c r="E31" s="35" t="s">
        <v>85</v>
      </c>
      <c r="F31" s="14" t="s">
        <v>45</v>
      </c>
      <c r="G31" s="16">
        <v>1</v>
      </c>
      <c r="H31" s="14" t="s">
        <v>46</v>
      </c>
      <c r="I31" s="58"/>
      <c r="J31" s="64"/>
      <c r="K31" s="16"/>
      <c r="L31" s="16"/>
      <c r="M31" s="61"/>
      <c r="N31" s="17"/>
      <c r="O31" s="36" t="str">
        <f t="shared" si="0"/>
        <v/>
      </c>
    </row>
    <row r="32" spans="1:15" ht="32.5" customHeight="1" x14ac:dyDescent="0.35">
      <c r="A32" s="31">
        <v>20</v>
      </c>
      <c r="B32" s="58"/>
      <c r="C32" s="14"/>
      <c r="D32" s="14" t="s">
        <v>165</v>
      </c>
      <c r="E32" s="35" t="s">
        <v>91</v>
      </c>
      <c r="F32" s="14" t="s">
        <v>45</v>
      </c>
      <c r="G32" s="16">
        <v>1</v>
      </c>
      <c r="H32" s="14" t="s">
        <v>46</v>
      </c>
      <c r="I32" s="58"/>
      <c r="J32" s="64"/>
      <c r="K32" s="16"/>
      <c r="L32" s="16"/>
      <c r="M32" s="61"/>
      <c r="N32" s="17"/>
      <c r="O32" s="36" t="str">
        <f t="shared" si="0"/>
        <v/>
      </c>
    </row>
    <row r="33" spans="1:15" ht="32.5" customHeight="1" thickBot="1" x14ac:dyDescent="0.4">
      <c r="A33" s="8">
        <v>21</v>
      </c>
      <c r="B33" s="96"/>
      <c r="C33" s="14"/>
      <c r="D33" s="14" t="s">
        <v>166</v>
      </c>
      <c r="E33" s="35" t="s">
        <v>91</v>
      </c>
      <c r="F33" s="14" t="s">
        <v>45</v>
      </c>
      <c r="G33" s="16">
        <v>1</v>
      </c>
      <c r="H33" s="14" t="s">
        <v>46</v>
      </c>
      <c r="I33" s="59"/>
      <c r="J33" s="65"/>
      <c r="K33" s="16"/>
      <c r="L33" s="16"/>
      <c r="M33" s="62"/>
      <c r="N33" s="17"/>
      <c r="O33" s="36" t="str">
        <f t="shared" si="0"/>
        <v/>
      </c>
    </row>
    <row r="34" spans="1:15" ht="19.899999999999999" customHeight="1" thickBot="1" x14ac:dyDescent="0.4">
      <c r="A34" s="88" t="s">
        <v>47</v>
      </c>
      <c r="B34" s="89"/>
      <c r="C34" s="29"/>
      <c r="D34" s="29"/>
      <c r="E34" s="29"/>
      <c r="F34" s="30"/>
      <c r="G34" s="23">
        <f>SUM(G13:G33)</f>
        <v>674</v>
      </c>
      <c r="H34" s="22"/>
      <c r="I34" s="25"/>
      <c r="J34" s="22">
        <f>SUM(J13:J33)</f>
        <v>2</v>
      </c>
      <c r="K34" s="22"/>
      <c r="L34" s="22"/>
      <c r="M34" s="24">
        <f>SUM(M13:M33)</f>
        <v>1990</v>
      </c>
      <c r="N34" s="24">
        <f>SUM(N13:N33)</f>
        <v>0</v>
      </c>
      <c r="O34" s="26">
        <f>SUM(O13:O33)</f>
        <v>0</v>
      </c>
    </row>
    <row r="35" spans="1:15" ht="19.899999999999999" customHeight="1" x14ac:dyDescent="0.35">
      <c r="A35" s="3"/>
      <c r="O35" s="4"/>
    </row>
    <row r="36" spans="1:15" ht="35" customHeight="1" x14ac:dyDescent="0.35">
      <c r="A36" s="90" t="s">
        <v>48</v>
      </c>
      <c r="B36" s="91"/>
      <c r="C36" s="18">
        <f>J34</f>
        <v>2</v>
      </c>
      <c r="D36" s="27" t="s">
        <v>49</v>
      </c>
      <c r="E36" s="28"/>
      <c r="F36" s="20">
        <f>G34</f>
        <v>674</v>
      </c>
      <c r="G36" s="92" t="s">
        <v>50</v>
      </c>
      <c r="H36" s="91"/>
      <c r="I36" s="19">
        <f>SUM(M13:M33)</f>
        <v>1990</v>
      </c>
      <c r="J36" s="92" t="s">
        <v>51</v>
      </c>
      <c r="K36" s="91"/>
      <c r="L36" s="20">
        <f>SUM(N13:N33)</f>
        <v>0</v>
      </c>
      <c r="M36" s="92" t="s">
        <v>52</v>
      </c>
      <c r="N36" s="91"/>
      <c r="O36" s="21">
        <f>SUM(O13:O33)</f>
        <v>0</v>
      </c>
    </row>
    <row r="37" spans="1:15" ht="18.5" customHeight="1" thickBot="1" x14ac:dyDescent="0.4">
      <c r="A37" s="93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94"/>
    </row>
    <row r="38" spans="1:15" ht="18.5" x14ac:dyDescent="0.35">
      <c r="A38" s="85" t="s">
        <v>53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7"/>
    </row>
    <row r="39" spans="1:15" ht="25" customHeight="1" thickBot="1" x14ac:dyDescent="0.4">
      <c r="A39" s="82" t="s">
        <v>54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4"/>
    </row>
    <row r="49" s="1" customFormat="1" x14ac:dyDescent="0.35"/>
    <row r="50" s="1" customFormat="1" x14ac:dyDescent="0.35"/>
  </sheetData>
  <mergeCells count="57">
    <mergeCell ref="B13:B20"/>
    <mergeCell ref="B21:B33"/>
    <mergeCell ref="A39:O39"/>
    <mergeCell ref="A38:O38"/>
    <mergeCell ref="A34:B34"/>
    <mergeCell ref="A36:B36"/>
    <mergeCell ref="J36:K36"/>
    <mergeCell ref="M36:N36"/>
    <mergeCell ref="G36:H36"/>
    <mergeCell ref="A37:O37"/>
    <mergeCell ref="A10:B10"/>
    <mergeCell ref="C6:D6"/>
    <mergeCell ref="I6:J6"/>
    <mergeCell ref="A9:B9"/>
    <mergeCell ref="K9:L9"/>
    <mergeCell ref="A7:B7"/>
    <mergeCell ref="I7:J7"/>
    <mergeCell ref="C10:D10"/>
    <mergeCell ref="E10:F10"/>
    <mergeCell ref="G10:H10"/>
    <mergeCell ref="A8:B8"/>
    <mergeCell ref="I10:J10"/>
    <mergeCell ref="N1:O1"/>
    <mergeCell ref="C7:H7"/>
    <mergeCell ref="A1:C4"/>
    <mergeCell ref="E6:F6"/>
    <mergeCell ref="M6:N6"/>
    <mergeCell ref="N2:O2"/>
    <mergeCell ref="G6:H6"/>
    <mergeCell ref="K7:O7"/>
    <mergeCell ref="K6:L6"/>
    <mergeCell ref="N4:O4"/>
    <mergeCell ref="N3:O3"/>
    <mergeCell ref="A5:O5"/>
    <mergeCell ref="L2:M2"/>
    <mergeCell ref="L3:M3"/>
    <mergeCell ref="A6:B6"/>
    <mergeCell ref="I21:I33"/>
    <mergeCell ref="M21:M33"/>
    <mergeCell ref="M13:M20"/>
    <mergeCell ref="J13:J20"/>
    <mergeCell ref="J21:J33"/>
    <mergeCell ref="K8:L8"/>
    <mergeCell ref="L4:M4"/>
    <mergeCell ref="L1:M1"/>
    <mergeCell ref="D1:K4"/>
    <mergeCell ref="I13:I20"/>
    <mergeCell ref="C8:H8"/>
    <mergeCell ref="C9:D9"/>
    <mergeCell ref="E9:F9"/>
    <mergeCell ref="I8:J8"/>
    <mergeCell ref="M8:N8"/>
    <mergeCell ref="G9:H9"/>
    <mergeCell ref="I9:J9"/>
    <mergeCell ref="M9:N9"/>
    <mergeCell ref="K10:L10"/>
    <mergeCell ref="M10:N10"/>
  </mergeCells>
  <pageMargins left="0.7" right="0.7" top="0.75" bottom="0.75" header="0.3" footer="0.3"/>
  <pageSetup paperSize="9" scale="48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O48"/>
  <sheetViews>
    <sheetView zoomScale="70" zoomScaleNormal="70" workbookViewId="0">
      <selection sqref="A1:C4"/>
    </sheetView>
  </sheetViews>
  <sheetFormatPr defaultColWidth="8.7265625" defaultRowHeight="14.5" x14ac:dyDescent="0.35"/>
  <cols>
    <col min="1" max="1" width="6.7265625" style="1" customWidth="1"/>
    <col min="2" max="2" width="13" style="1" customWidth="1"/>
    <col min="3" max="3" width="8.81640625" style="1" customWidth="1"/>
    <col min="4" max="4" width="38.6328125" style="1" customWidth="1"/>
    <col min="5" max="5" width="16.26953125" style="1" customWidth="1"/>
    <col min="6" max="6" width="7.453125" style="1" bestFit="1" customWidth="1"/>
    <col min="7" max="8" width="8" style="1" customWidth="1"/>
    <col min="9" max="9" width="12.26953125" style="1" customWidth="1"/>
    <col min="10" max="10" width="7.81640625" style="1" customWidth="1"/>
    <col min="11" max="11" width="8.26953125" style="1" customWidth="1"/>
    <col min="12" max="12" width="8.453125" style="1" customWidth="1"/>
    <col min="13" max="13" width="12" style="1" customWidth="1"/>
    <col min="14" max="14" width="13" style="1" customWidth="1"/>
    <col min="15" max="15" width="12" style="1" customWidth="1"/>
    <col min="16" max="16" width="8.7265625" style="1" customWidth="1"/>
    <col min="17" max="16384" width="8.7265625" style="1"/>
  </cols>
  <sheetData>
    <row r="1" spans="1:15" ht="17.25" customHeight="1" thickBot="1" x14ac:dyDescent="0.4">
      <c r="A1" s="97" t="e" vm="1">
        <v>#VALUE!</v>
      </c>
      <c r="B1" s="98"/>
      <c r="C1" s="99"/>
      <c r="D1" s="48" t="s">
        <v>0</v>
      </c>
      <c r="E1" s="49"/>
      <c r="F1" s="49"/>
      <c r="G1" s="49"/>
      <c r="H1" s="49"/>
      <c r="I1" s="49"/>
      <c r="J1" s="49"/>
      <c r="K1" s="50"/>
      <c r="L1" s="46" t="s">
        <v>1</v>
      </c>
      <c r="M1" s="47"/>
      <c r="N1" s="66">
        <v>46098</v>
      </c>
      <c r="O1" s="67"/>
    </row>
    <row r="2" spans="1:15" ht="18" customHeight="1" x14ac:dyDescent="0.35">
      <c r="A2" s="100"/>
      <c r="B2" s="101"/>
      <c r="C2" s="102"/>
      <c r="D2" s="51"/>
      <c r="E2" s="52"/>
      <c r="F2" s="52"/>
      <c r="G2" s="52"/>
      <c r="H2" s="52"/>
      <c r="I2" s="52"/>
      <c r="J2" s="52"/>
      <c r="K2" s="53"/>
      <c r="L2" s="79" t="s">
        <v>2</v>
      </c>
      <c r="M2" s="43"/>
      <c r="N2" s="71" t="s">
        <v>3</v>
      </c>
      <c r="O2" s="72"/>
    </row>
    <row r="3" spans="1:15" ht="16.5" customHeight="1" x14ac:dyDescent="0.35">
      <c r="A3" s="100"/>
      <c r="B3" s="101"/>
      <c r="C3" s="102"/>
      <c r="D3" s="51"/>
      <c r="E3" s="52"/>
      <c r="F3" s="52"/>
      <c r="G3" s="52"/>
      <c r="H3" s="52"/>
      <c r="I3" s="52"/>
      <c r="J3" s="52"/>
      <c r="K3" s="53"/>
      <c r="L3" s="79" t="s">
        <v>4</v>
      </c>
      <c r="M3" s="43"/>
      <c r="N3" s="71" t="s">
        <v>5</v>
      </c>
      <c r="O3" s="72"/>
    </row>
    <row r="4" spans="1:15" ht="15.75" customHeight="1" thickBot="1" x14ac:dyDescent="0.4">
      <c r="A4" s="103"/>
      <c r="B4" s="104"/>
      <c r="C4" s="105"/>
      <c r="D4" s="54"/>
      <c r="E4" s="55"/>
      <c r="F4" s="55"/>
      <c r="G4" s="55"/>
      <c r="H4" s="55"/>
      <c r="I4" s="55"/>
      <c r="J4" s="55"/>
      <c r="K4" s="56"/>
      <c r="L4" s="44" t="s">
        <v>6</v>
      </c>
      <c r="M4" s="45"/>
      <c r="N4" s="74" t="s">
        <v>7</v>
      </c>
      <c r="O4" s="75"/>
    </row>
    <row r="5" spans="1:15" ht="19.899999999999999" customHeight="1" thickBot="1" x14ac:dyDescent="0.4">
      <c r="A5" s="76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8"/>
    </row>
    <row r="6" spans="1:15" ht="22.15" customHeight="1" x14ac:dyDescent="0.35">
      <c r="A6" s="80" t="s">
        <v>9</v>
      </c>
      <c r="B6" s="43"/>
      <c r="C6" s="68" t="s">
        <v>58</v>
      </c>
      <c r="D6" s="43"/>
      <c r="E6" s="70" t="s">
        <v>10</v>
      </c>
      <c r="F6" s="43"/>
      <c r="G6" s="73">
        <v>46181</v>
      </c>
      <c r="H6" s="43"/>
      <c r="I6" s="70" t="s">
        <v>11</v>
      </c>
      <c r="J6" s="43"/>
      <c r="K6" s="68" t="s">
        <v>197</v>
      </c>
      <c r="L6" s="43"/>
      <c r="M6" s="70" t="s">
        <v>12</v>
      </c>
      <c r="N6" s="43"/>
      <c r="O6" s="6" t="s">
        <v>13</v>
      </c>
    </row>
    <row r="7" spans="1:15" ht="22.15" customHeight="1" x14ac:dyDescent="0.35">
      <c r="A7" s="80" t="s">
        <v>14</v>
      </c>
      <c r="B7" s="43"/>
      <c r="C7" s="68" t="s">
        <v>15</v>
      </c>
      <c r="D7" s="69"/>
      <c r="E7" s="69"/>
      <c r="F7" s="69"/>
      <c r="G7" s="69"/>
      <c r="H7" s="43"/>
      <c r="I7" s="70" t="s">
        <v>16</v>
      </c>
      <c r="J7" s="43"/>
      <c r="K7" s="42" t="s">
        <v>60</v>
      </c>
      <c r="L7" s="69"/>
      <c r="M7" s="69"/>
      <c r="N7" s="69"/>
      <c r="O7" s="72"/>
    </row>
    <row r="8" spans="1:15" ht="22.15" customHeight="1" x14ac:dyDescent="0.35">
      <c r="A8" s="80" t="s">
        <v>17</v>
      </c>
      <c r="B8" s="43"/>
      <c r="C8" s="42" t="s">
        <v>60</v>
      </c>
      <c r="D8" s="69"/>
      <c r="E8" s="69"/>
      <c r="F8" s="69"/>
      <c r="G8" s="69"/>
      <c r="H8" s="43"/>
      <c r="I8" s="70" t="s">
        <v>18</v>
      </c>
      <c r="J8" s="43"/>
      <c r="K8" s="42" t="s">
        <v>19</v>
      </c>
      <c r="L8" s="43"/>
      <c r="M8" s="70" t="s">
        <v>20</v>
      </c>
      <c r="N8" s="43"/>
      <c r="O8" s="6" t="s">
        <v>21</v>
      </c>
    </row>
    <row r="9" spans="1:15" ht="22.15" customHeight="1" x14ac:dyDescent="0.35">
      <c r="A9" s="80" t="s">
        <v>22</v>
      </c>
      <c r="B9" s="43"/>
      <c r="C9" s="68" t="s">
        <v>187</v>
      </c>
      <c r="D9" s="43"/>
      <c r="E9" s="70" t="s">
        <v>23</v>
      </c>
      <c r="F9" s="43"/>
      <c r="G9" s="42" t="s">
        <v>21</v>
      </c>
      <c r="H9" s="43"/>
      <c r="I9" s="70" t="s">
        <v>24</v>
      </c>
      <c r="J9" s="43"/>
      <c r="K9" s="68" t="s">
        <v>188</v>
      </c>
      <c r="L9" s="43"/>
      <c r="M9" s="70" t="s">
        <v>189</v>
      </c>
      <c r="N9" s="43"/>
      <c r="O9" s="2">
        <v>46191</v>
      </c>
    </row>
    <row r="10" spans="1:15" ht="22.15" customHeight="1" x14ac:dyDescent="0.35">
      <c r="A10" s="80" t="s">
        <v>25</v>
      </c>
      <c r="B10" s="43"/>
      <c r="C10" s="81" t="s">
        <v>186</v>
      </c>
      <c r="D10" s="43"/>
      <c r="E10" s="70" t="s">
        <v>26</v>
      </c>
      <c r="F10" s="43"/>
      <c r="G10" s="68"/>
      <c r="H10" s="43"/>
      <c r="I10" s="70" t="s">
        <v>27</v>
      </c>
      <c r="J10" s="43"/>
      <c r="K10" s="68"/>
      <c r="L10" s="43"/>
      <c r="M10" s="70" t="s">
        <v>28</v>
      </c>
      <c r="N10" s="43"/>
      <c r="O10" s="6" t="s">
        <v>29</v>
      </c>
    </row>
    <row r="11" spans="1:15" ht="15" customHeight="1" thickBot="1" x14ac:dyDescent="0.4">
      <c r="A11" s="3"/>
      <c r="O11" s="4"/>
    </row>
    <row r="12" spans="1:15" ht="34.15" customHeight="1" thickBot="1" x14ac:dyDescent="0.4">
      <c r="A12" s="5" t="s">
        <v>30</v>
      </c>
      <c r="B12" s="7" t="s">
        <v>31</v>
      </c>
      <c r="C12" s="7" t="s">
        <v>32</v>
      </c>
      <c r="D12" s="7" t="s">
        <v>33</v>
      </c>
      <c r="E12" s="7" t="s">
        <v>34</v>
      </c>
      <c r="F12" s="7" t="s">
        <v>35</v>
      </c>
      <c r="G12" s="7" t="s">
        <v>36</v>
      </c>
      <c r="H12" s="7" t="s">
        <v>37</v>
      </c>
      <c r="I12" s="7" t="s">
        <v>38</v>
      </c>
      <c r="J12" s="7" t="s">
        <v>39</v>
      </c>
      <c r="K12" s="7" t="s">
        <v>40</v>
      </c>
      <c r="L12" s="7" t="s">
        <v>41</v>
      </c>
      <c r="M12" s="7" t="s">
        <v>42</v>
      </c>
      <c r="N12" s="7" t="s">
        <v>43</v>
      </c>
      <c r="O12" s="9" t="s">
        <v>44</v>
      </c>
    </row>
    <row r="13" spans="1:15" ht="32.5" customHeight="1" x14ac:dyDescent="0.35">
      <c r="A13" s="8">
        <v>1</v>
      </c>
      <c r="B13" s="95" t="s">
        <v>66</v>
      </c>
      <c r="C13" s="14"/>
      <c r="D13" s="14" t="s">
        <v>92</v>
      </c>
      <c r="E13" s="15" t="s">
        <v>93</v>
      </c>
      <c r="F13" s="14" t="s">
        <v>45</v>
      </c>
      <c r="G13" s="16">
        <v>4</v>
      </c>
      <c r="H13" s="14" t="s">
        <v>46</v>
      </c>
      <c r="I13" s="95" t="s">
        <v>190</v>
      </c>
      <c r="J13" s="63">
        <v>1</v>
      </c>
      <c r="K13" s="16"/>
      <c r="L13" s="16"/>
      <c r="M13" s="60">
        <v>1370</v>
      </c>
      <c r="N13" s="17"/>
      <c r="O13" s="36" t="str">
        <f t="shared" ref="O13:O33" si="0">IF(COUNTA(J13:L13)=3,J13*K13*L13/1000000,"")</f>
        <v/>
      </c>
    </row>
    <row r="14" spans="1:15" ht="32.5" customHeight="1" x14ac:dyDescent="0.35">
      <c r="A14" s="31">
        <v>2</v>
      </c>
      <c r="B14" s="58"/>
      <c r="C14" s="14"/>
      <c r="D14" s="14" t="s">
        <v>94</v>
      </c>
      <c r="E14" s="15" t="s">
        <v>95</v>
      </c>
      <c r="F14" s="14" t="s">
        <v>45</v>
      </c>
      <c r="G14" s="16">
        <v>4</v>
      </c>
      <c r="H14" s="14" t="s">
        <v>46</v>
      </c>
      <c r="I14" s="58"/>
      <c r="J14" s="64"/>
      <c r="K14" s="16"/>
      <c r="L14" s="16"/>
      <c r="M14" s="61"/>
      <c r="N14" s="17"/>
      <c r="O14" s="36" t="str">
        <f t="shared" si="0"/>
        <v/>
      </c>
    </row>
    <row r="15" spans="1:15" ht="32.5" customHeight="1" x14ac:dyDescent="0.35">
      <c r="A15" s="31">
        <v>3</v>
      </c>
      <c r="B15" s="58"/>
      <c r="C15" s="14"/>
      <c r="D15" s="14" t="s">
        <v>96</v>
      </c>
      <c r="E15" s="15" t="s">
        <v>95</v>
      </c>
      <c r="F15" s="14" t="s">
        <v>45</v>
      </c>
      <c r="G15" s="16">
        <v>15</v>
      </c>
      <c r="H15" s="14" t="s">
        <v>46</v>
      </c>
      <c r="I15" s="58"/>
      <c r="J15" s="64"/>
      <c r="K15" s="16"/>
      <c r="L15" s="16"/>
      <c r="M15" s="61"/>
      <c r="N15" s="17"/>
      <c r="O15" s="36" t="str">
        <f t="shared" si="0"/>
        <v/>
      </c>
    </row>
    <row r="16" spans="1:15" ht="32.5" customHeight="1" x14ac:dyDescent="0.35">
      <c r="A16" s="31">
        <v>4</v>
      </c>
      <c r="B16" s="58"/>
      <c r="C16" s="14"/>
      <c r="D16" s="14" t="s">
        <v>97</v>
      </c>
      <c r="E16" s="15" t="s">
        <v>98</v>
      </c>
      <c r="F16" s="14" t="s">
        <v>45</v>
      </c>
      <c r="G16" s="16">
        <v>10</v>
      </c>
      <c r="H16" s="14" t="s">
        <v>46</v>
      </c>
      <c r="I16" s="58"/>
      <c r="J16" s="64"/>
      <c r="K16" s="16"/>
      <c r="L16" s="16"/>
      <c r="M16" s="61"/>
      <c r="N16" s="17"/>
      <c r="O16" s="36" t="str">
        <f t="shared" si="0"/>
        <v/>
      </c>
    </row>
    <row r="17" spans="1:15" ht="32.5" customHeight="1" x14ac:dyDescent="0.35">
      <c r="A17" s="8">
        <v>5</v>
      </c>
      <c r="B17" s="58"/>
      <c r="C17" s="32"/>
      <c r="D17" s="32" t="s">
        <v>173</v>
      </c>
      <c r="E17" s="15" t="s">
        <v>99</v>
      </c>
      <c r="F17" s="32" t="s">
        <v>45</v>
      </c>
      <c r="G17" s="33">
        <v>1</v>
      </c>
      <c r="H17" s="32" t="s">
        <v>46</v>
      </c>
      <c r="I17" s="58"/>
      <c r="J17" s="64"/>
      <c r="K17" s="33"/>
      <c r="L17" s="33"/>
      <c r="M17" s="61"/>
      <c r="N17" s="17"/>
      <c r="O17" s="36" t="str">
        <f t="shared" si="0"/>
        <v/>
      </c>
    </row>
    <row r="18" spans="1:15" ht="32.5" customHeight="1" x14ac:dyDescent="0.35">
      <c r="A18" s="31">
        <v>6</v>
      </c>
      <c r="B18" s="58"/>
      <c r="C18" s="32"/>
      <c r="D18" s="32" t="s">
        <v>174</v>
      </c>
      <c r="E18" s="15" t="s">
        <v>100</v>
      </c>
      <c r="F18" s="32" t="s">
        <v>45</v>
      </c>
      <c r="G18" s="33">
        <v>1</v>
      </c>
      <c r="H18" s="32" t="s">
        <v>46</v>
      </c>
      <c r="I18" s="58"/>
      <c r="J18" s="64"/>
      <c r="K18" s="33"/>
      <c r="L18" s="33"/>
      <c r="M18" s="61"/>
      <c r="N18" s="17"/>
      <c r="O18" s="36" t="str">
        <f t="shared" si="0"/>
        <v/>
      </c>
    </row>
    <row r="19" spans="1:15" ht="32.5" customHeight="1" x14ac:dyDescent="0.35">
      <c r="A19" s="31">
        <v>7</v>
      </c>
      <c r="B19" s="58"/>
      <c r="C19" s="14"/>
      <c r="D19" s="14" t="s">
        <v>172</v>
      </c>
      <c r="E19" s="35" t="s">
        <v>101</v>
      </c>
      <c r="F19" s="14" t="s">
        <v>45</v>
      </c>
      <c r="G19" s="16">
        <v>125</v>
      </c>
      <c r="H19" s="14" t="s">
        <v>46</v>
      </c>
      <c r="I19" s="58"/>
      <c r="J19" s="64"/>
      <c r="K19" s="16"/>
      <c r="L19" s="16"/>
      <c r="M19" s="61"/>
      <c r="N19" s="17"/>
      <c r="O19" s="36" t="str">
        <f t="shared" si="0"/>
        <v/>
      </c>
    </row>
    <row r="20" spans="1:15" ht="32.5" customHeight="1" x14ac:dyDescent="0.35">
      <c r="A20" s="31">
        <v>8</v>
      </c>
      <c r="B20" s="58"/>
      <c r="C20" s="14"/>
      <c r="D20" s="14" t="s">
        <v>171</v>
      </c>
      <c r="E20" s="35" t="s">
        <v>101</v>
      </c>
      <c r="F20" s="14" t="s">
        <v>45</v>
      </c>
      <c r="G20" s="16">
        <v>150</v>
      </c>
      <c r="H20" s="14" t="s">
        <v>46</v>
      </c>
      <c r="I20" s="58"/>
      <c r="J20" s="64"/>
      <c r="K20" s="16"/>
      <c r="L20" s="16"/>
      <c r="M20" s="61"/>
      <c r="N20" s="17"/>
      <c r="O20" s="36" t="str">
        <f t="shared" si="0"/>
        <v/>
      </c>
    </row>
    <row r="21" spans="1:15" ht="32.5" customHeight="1" x14ac:dyDescent="0.35">
      <c r="A21" s="8">
        <v>9</v>
      </c>
      <c r="B21" s="58"/>
      <c r="C21" s="14"/>
      <c r="D21" s="14" t="s">
        <v>102</v>
      </c>
      <c r="E21" s="35" t="s">
        <v>103</v>
      </c>
      <c r="F21" s="14" t="s">
        <v>45</v>
      </c>
      <c r="G21" s="16">
        <v>3</v>
      </c>
      <c r="H21" s="14" t="s">
        <v>46</v>
      </c>
      <c r="I21" s="58"/>
      <c r="J21" s="64"/>
      <c r="K21" s="16"/>
      <c r="L21" s="16"/>
      <c r="M21" s="61"/>
      <c r="N21" s="17"/>
      <c r="O21" s="36" t="str">
        <f t="shared" si="0"/>
        <v/>
      </c>
    </row>
    <row r="22" spans="1:15" ht="32.5" customHeight="1" x14ac:dyDescent="0.35">
      <c r="A22" s="31">
        <v>10</v>
      </c>
      <c r="B22" s="58"/>
      <c r="C22" s="14"/>
      <c r="D22" s="14" t="s">
        <v>104</v>
      </c>
      <c r="E22" s="35" t="s">
        <v>105</v>
      </c>
      <c r="F22" s="14" t="s">
        <v>45</v>
      </c>
      <c r="G22" s="16">
        <v>1</v>
      </c>
      <c r="H22" s="14" t="s">
        <v>46</v>
      </c>
      <c r="I22" s="58"/>
      <c r="J22" s="64"/>
      <c r="K22" s="16"/>
      <c r="L22" s="16"/>
      <c r="M22" s="61"/>
      <c r="N22" s="17"/>
      <c r="O22" s="36" t="str">
        <f t="shared" si="0"/>
        <v/>
      </c>
    </row>
    <row r="23" spans="1:15" ht="32.5" customHeight="1" x14ac:dyDescent="0.35">
      <c r="A23" s="31">
        <v>11</v>
      </c>
      <c r="B23" s="58"/>
      <c r="C23" s="14"/>
      <c r="D23" s="14" t="s">
        <v>170</v>
      </c>
      <c r="E23" s="35" t="s">
        <v>106</v>
      </c>
      <c r="F23" s="14" t="s">
        <v>45</v>
      </c>
      <c r="G23" s="16">
        <v>5</v>
      </c>
      <c r="H23" s="14" t="s">
        <v>46</v>
      </c>
      <c r="I23" s="58"/>
      <c r="J23" s="64"/>
      <c r="K23" s="16"/>
      <c r="L23" s="16"/>
      <c r="M23" s="61"/>
      <c r="N23" s="17"/>
      <c r="O23" s="36" t="str">
        <f t="shared" si="0"/>
        <v/>
      </c>
    </row>
    <row r="24" spans="1:15" ht="28" customHeight="1" x14ac:dyDescent="0.35">
      <c r="A24" s="31">
        <v>12</v>
      </c>
      <c r="B24" s="58"/>
      <c r="C24" s="32"/>
      <c r="D24" s="32" t="s">
        <v>107</v>
      </c>
      <c r="E24" s="15" t="s">
        <v>108</v>
      </c>
      <c r="F24" s="32" t="s">
        <v>45</v>
      </c>
      <c r="G24" s="33">
        <v>20</v>
      </c>
      <c r="H24" s="32" t="s">
        <v>109</v>
      </c>
      <c r="I24" s="58"/>
      <c r="J24" s="64"/>
      <c r="K24" s="33"/>
      <c r="L24" s="33"/>
      <c r="M24" s="61"/>
      <c r="N24" s="34"/>
      <c r="O24" s="37" t="str">
        <f t="shared" si="0"/>
        <v/>
      </c>
    </row>
    <row r="25" spans="1:15" ht="32.5" customHeight="1" x14ac:dyDescent="0.35">
      <c r="A25" s="8">
        <v>13</v>
      </c>
      <c r="B25" s="58"/>
      <c r="C25" s="14"/>
      <c r="D25" s="14" t="s">
        <v>110</v>
      </c>
      <c r="E25" s="35" t="s">
        <v>111</v>
      </c>
      <c r="F25" s="14" t="s">
        <v>45</v>
      </c>
      <c r="G25" s="16">
        <v>10</v>
      </c>
      <c r="H25" s="14" t="s">
        <v>46</v>
      </c>
      <c r="I25" s="58"/>
      <c r="J25" s="64"/>
      <c r="K25" s="16"/>
      <c r="L25" s="16"/>
      <c r="M25" s="61"/>
      <c r="N25" s="17"/>
      <c r="O25" s="36" t="str">
        <f t="shared" si="0"/>
        <v/>
      </c>
    </row>
    <row r="26" spans="1:15" ht="32.5" customHeight="1" x14ac:dyDescent="0.35">
      <c r="A26" s="31">
        <v>14</v>
      </c>
      <c r="B26" s="58"/>
      <c r="C26" s="14"/>
      <c r="D26" s="14" t="s">
        <v>112</v>
      </c>
      <c r="E26" s="35" t="s">
        <v>113</v>
      </c>
      <c r="F26" s="14" t="s">
        <v>45</v>
      </c>
      <c r="G26" s="16">
        <v>20</v>
      </c>
      <c r="H26" s="14" t="s">
        <v>46</v>
      </c>
      <c r="I26" s="58"/>
      <c r="J26" s="64"/>
      <c r="K26" s="16"/>
      <c r="L26" s="16"/>
      <c r="M26" s="61"/>
      <c r="N26" s="17"/>
      <c r="O26" s="36" t="str">
        <f t="shared" si="0"/>
        <v/>
      </c>
    </row>
    <row r="27" spans="1:15" ht="32.5" customHeight="1" x14ac:dyDescent="0.35">
      <c r="A27" s="31">
        <v>15</v>
      </c>
      <c r="B27" s="58"/>
      <c r="C27" s="14"/>
      <c r="D27" s="14" t="s">
        <v>114</v>
      </c>
      <c r="E27" s="35" t="s">
        <v>115</v>
      </c>
      <c r="F27" s="14" t="s">
        <v>45</v>
      </c>
      <c r="G27" s="16">
        <v>1</v>
      </c>
      <c r="H27" s="14" t="s">
        <v>46</v>
      </c>
      <c r="I27" s="58"/>
      <c r="J27" s="64"/>
      <c r="K27" s="16"/>
      <c r="L27" s="16"/>
      <c r="M27" s="61"/>
      <c r="N27" s="17"/>
      <c r="O27" s="36" t="str">
        <f t="shared" si="0"/>
        <v/>
      </c>
    </row>
    <row r="28" spans="1:15" ht="32.5" customHeight="1" x14ac:dyDescent="0.35">
      <c r="A28" s="31">
        <v>16</v>
      </c>
      <c r="B28" s="58"/>
      <c r="C28" s="14"/>
      <c r="D28" s="14" t="s">
        <v>116</v>
      </c>
      <c r="E28" s="35" t="s">
        <v>115</v>
      </c>
      <c r="F28" s="14" t="s">
        <v>45</v>
      </c>
      <c r="G28" s="16">
        <v>5</v>
      </c>
      <c r="H28" s="14" t="s">
        <v>46</v>
      </c>
      <c r="I28" s="58"/>
      <c r="J28" s="64"/>
      <c r="K28" s="16"/>
      <c r="L28" s="16"/>
      <c r="M28" s="61"/>
      <c r="N28" s="17"/>
      <c r="O28" s="36" t="str">
        <f t="shared" si="0"/>
        <v/>
      </c>
    </row>
    <row r="29" spans="1:15" ht="32.5" customHeight="1" x14ac:dyDescent="0.35">
      <c r="A29" s="8">
        <v>17</v>
      </c>
      <c r="B29" s="58"/>
      <c r="C29" s="14"/>
      <c r="D29" s="14" t="s">
        <v>117</v>
      </c>
      <c r="E29" s="35" t="s">
        <v>118</v>
      </c>
      <c r="F29" s="14" t="s">
        <v>45</v>
      </c>
      <c r="G29" s="16">
        <v>1</v>
      </c>
      <c r="H29" s="14" t="s">
        <v>46</v>
      </c>
      <c r="I29" s="58"/>
      <c r="J29" s="64"/>
      <c r="K29" s="16"/>
      <c r="L29" s="16"/>
      <c r="M29" s="61"/>
      <c r="N29" s="17"/>
      <c r="O29" s="36" t="str">
        <f t="shared" si="0"/>
        <v/>
      </c>
    </row>
    <row r="30" spans="1:15" ht="32.5" customHeight="1" x14ac:dyDescent="0.35">
      <c r="A30" s="31">
        <v>18</v>
      </c>
      <c r="B30" s="59"/>
      <c r="C30" s="14"/>
      <c r="D30" s="14" t="s">
        <v>169</v>
      </c>
      <c r="E30" s="35" t="s">
        <v>119</v>
      </c>
      <c r="F30" s="14" t="s">
        <v>45</v>
      </c>
      <c r="G30" s="16">
        <v>5</v>
      </c>
      <c r="H30" s="14" t="s">
        <v>46</v>
      </c>
      <c r="I30" s="59"/>
      <c r="J30" s="65"/>
      <c r="K30" s="16"/>
      <c r="L30" s="16"/>
      <c r="M30" s="62"/>
      <c r="N30" s="17"/>
      <c r="O30" s="36" t="str">
        <f t="shared" si="0"/>
        <v/>
      </c>
    </row>
    <row r="31" spans="1:15" ht="32.5" customHeight="1" x14ac:dyDescent="0.35">
      <c r="A31" s="31">
        <v>19</v>
      </c>
      <c r="B31" s="14" t="s">
        <v>68</v>
      </c>
      <c r="C31" s="14"/>
      <c r="D31" s="14" t="s">
        <v>168</v>
      </c>
      <c r="E31" s="35" t="s">
        <v>122</v>
      </c>
      <c r="F31" s="14" t="s">
        <v>45</v>
      </c>
      <c r="G31" s="16">
        <v>3</v>
      </c>
      <c r="H31" s="14" t="s">
        <v>46</v>
      </c>
      <c r="I31" s="38" t="s">
        <v>191</v>
      </c>
      <c r="J31" s="41">
        <v>3</v>
      </c>
      <c r="K31" s="16"/>
      <c r="L31" s="16"/>
      <c r="M31" s="40">
        <v>105</v>
      </c>
      <c r="N31" s="17"/>
      <c r="O31" s="36" t="str">
        <f>IF(COUNTA(J31:L31)=3,J31*K31*L31/1000000,"")</f>
        <v/>
      </c>
    </row>
    <row r="32" spans="1:15" ht="32.5" customHeight="1" x14ac:dyDescent="0.35">
      <c r="A32" s="31">
        <v>20</v>
      </c>
      <c r="B32" s="14" t="s">
        <v>70</v>
      </c>
      <c r="C32" s="14"/>
      <c r="D32" s="14" t="s">
        <v>120</v>
      </c>
      <c r="E32" s="35" t="s">
        <v>121</v>
      </c>
      <c r="F32" s="14" t="s">
        <v>45</v>
      </c>
      <c r="G32" s="16">
        <v>1</v>
      </c>
      <c r="H32" s="14" t="s">
        <v>46</v>
      </c>
      <c r="I32" s="14" t="s">
        <v>191</v>
      </c>
      <c r="J32" s="16">
        <v>1</v>
      </c>
      <c r="K32" s="16"/>
      <c r="L32" s="16"/>
      <c r="M32" s="17">
        <v>3600</v>
      </c>
      <c r="N32" s="17"/>
      <c r="O32" s="36" t="str">
        <f t="shared" si="0"/>
        <v/>
      </c>
    </row>
    <row r="33" spans="1:15" ht="32.5" customHeight="1" thickBot="1" x14ac:dyDescent="0.4">
      <c r="A33" s="8">
        <v>21</v>
      </c>
      <c r="B33" s="14" t="s">
        <v>73</v>
      </c>
      <c r="C33" s="14"/>
      <c r="D33" s="14" t="s">
        <v>167</v>
      </c>
      <c r="E33" s="35" t="s">
        <v>123</v>
      </c>
      <c r="F33" s="14" t="s">
        <v>45</v>
      </c>
      <c r="G33" s="16">
        <v>8</v>
      </c>
      <c r="H33" s="14" t="s">
        <v>46</v>
      </c>
      <c r="I33" s="39" t="s">
        <v>191</v>
      </c>
      <c r="J33" s="16">
        <v>8</v>
      </c>
      <c r="K33" s="16"/>
      <c r="L33" s="16"/>
      <c r="M33" s="17">
        <v>545</v>
      </c>
      <c r="N33" s="17"/>
      <c r="O33" s="36" t="str">
        <f t="shared" si="0"/>
        <v/>
      </c>
    </row>
    <row r="34" spans="1:15" ht="19.899999999999999" customHeight="1" thickBot="1" x14ac:dyDescent="0.4">
      <c r="A34" s="88" t="s">
        <v>47</v>
      </c>
      <c r="B34" s="89"/>
      <c r="C34" s="29"/>
      <c r="D34" s="29"/>
      <c r="E34" s="29"/>
      <c r="F34" s="30"/>
      <c r="G34" s="23">
        <f>SUM(G13:G33)</f>
        <v>393</v>
      </c>
      <c r="H34" s="22"/>
      <c r="I34" s="25"/>
      <c r="J34" s="22">
        <f>SUM(J13:J33)</f>
        <v>13</v>
      </c>
      <c r="K34" s="22"/>
      <c r="L34" s="22"/>
      <c r="M34" s="24">
        <f>SUM(M13:M33)</f>
        <v>5620</v>
      </c>
      <c r="N34" s="24">
        <f>SUM(N13:N33)</f>
        <v>0</v>
      </c>
      <c r="O34" s="26">
        <f>SUM(O13:O33)</f>
        <v>0</v>
      </c>
    </row>
    <row r="35" spans="1:15" ht="19.899999999999999" customHeight="1" x14ac:dyDescent="0.35">
      <c r="A35" s="3"/>
      <c r="O35" s="4"/>
    </row>
    <row r="36" spans="1:15" ht="35" customHeight="1" x14ac:dyDescent="0.35">
      <c r="A36" s="90" t="s">
        <v>48</v>
      </c>
      <c r="B36" s="91"/>
      <c r="C36" s="18">
        <f>J34</f>
        <v>13</v>
      </c>
      <c r="D36" s="27" t="s">
        <v>49</v>
      </c>
      <c r="E36" s="28"/>
      <c r="F36" s="20">
        <f>G34</f>
        <v>393</v>
      </c>
      <c r="G36" s="92" t="s">
        <v>50</v>
      </c>
      <c r="H36" s="91"/>
      <c r="I36" s="19">
        <f>SUM(M13:M33)</f>
        <v>5620</v>
      </c>
      <c r="J36" s="92" t="s">
        <v>51</v>
      </c>
      <c r="K36" s="91"/>
      <c r="L36" s="20">
        <f>SUM(N13:N33)</f>
        <v>0</v>
      </c>
      <c r="M36" s="92" t="s">
        <v>52</v>
      </c>
      <c r="N36" s="91"/>
      <c r="O36" s="21">
        <f>SUM(O13:O33)</f>
        <v>0</v>
      </c>
    </row>
    <row r="37" spans="1:15" ht="18.5" customHeight="1" thickBot="1" x14ac:dyDescent="0.4">
      <c r="A37" s="93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94"/>
    </row>
    <row r="38" spans="1:15" ht="18.5" x14ac:dyDescent="0.35">
      <c r="A38" s="85" t="s">
        <v>53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7"/>
    </row>
    <row r="39" spans="1:15" ht="25" customHeight="1" thickBot="1" x14ac:dyDescent="0.4">
      <c r="A39" s="82" t="s">
        <v>54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4"/>
    </row>
    <row r="48" spans="1:15" x14ac:dyDescent="0.35"/>
  </sheetData>
  <mergeCells count="53">
    <mergeCell ref="A38:O38"/>
    <mergeCell ref="A39:O39"/>
    <mergeCell ref="A34:B34"/>
    <mergeCell ref="A36:B36"/>
    <mergeCell ref="G36:H36"/>
    <mergeCell ref="J36:K36"/>
    <mergeCell ref="M36:N36"/>
    <mergeCell ref="A37:O37"/>
    <mergeCell ref="K9:L9"/>
    <mergeCell ref="A7:B7"/>
    <mergeCell ref="I7:J7"/>
    <mergeCell ref="C10:D10"/>
    <mergeCell ref="M10:N10"/>
    <mergeCell ref="E10:F10"/>
    <mergeCell ref="G10:H10"/>
    <mergeCell ref="A8:B8"/>
    <mergeCell ref="I10:J10"/>
    <mergeCell ref="N1:O1"/>
    <mergeCell ref="C7:H7"/>
    <mergeCell ref="A1:C4"/>
    <mergeCell ref="E6:F6"/>
    <mergeCell ref="M6:N6"/>
    <mergeCell ref="N2:O2"/>
    <mergeCell ref="G6:H6"/>
    <mergeCell ref="K7:O7"/>
    <mergeCell ref="K6:L6"/>
    <mergeCell ref="N4:O4"/>
    <mergeCell ref="N3:O3"/>
    <mergeCell ref="A5:O5"/>
    <mergeCell ref="A6:B6"/>
    <mergeCell ref="C6:D6"/>
    <mergeCell ref="I6:J6"/>
    <mergeCell ref="L4:M4"/>
    <mergeCell ref="L1:M1"/>
    <mergeCell ref="D1:K4"/>
    <mergeCell ref="L2:M2"/>
    <mergeCell ref="L3:M3"/>
    <mergeCell ref="B13:B30"/>
    <mergeCell ref="I13:I30"/>
    <mergeCell ref="M13:M30"/>
    <mergeCell ref="J13:J30"/>
    <mergeCell ref="K8:L8"/>
    <mergeCell ref="C8:H8"/>
    <mergeCell ref="C9:D9"/>
    <mergeCell ref="E9:F9"/>
    <mergeCell ref="I8:J8"/>
    <mergeCell ref="M8:N8"/>
    <mergeCell ref="G9:H9"/>
    <mergeCell ref="I9:J9"/>
    <mergeCell ref="M9:N9"/>
    <mergeCell ref="K10:L10"/>
    <mergeCell ref="A10:B10"/>
    <mergeCell ref="A9:B9"/>
  </mergeCells>
  <pageMargins left="0.7" right="0.7" top="0.75" bottom="0.75" header="0.3" footer="0.3"/>
  <pageSetup paperSize="9" scale="48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O48"/>
  <sheetViews>
    <sheetView tabSelected="1" zoomScale="70" zoomScaleNormal="70" workbookViewId="0">
      <selection activeCell="R13" sqref="R13"/>
    </sheetView>
  </sheetViews>
  <sheetFormatPr defaultColWidth="8.7265625" defaultRowHeight="14.5" x14ac:dyDescent="0.35"/>
  <cols>
    <col min="1" max="1" width="6.7265625" style="1" customWidth="1"/>
    <col min="2" max="2" width="12.6328125" style="1" customWidth="1"/>
    <col min="3" max="3" width="8.81640625" style="1" customWidth="1"/>
    <col min="4" max="4" width="38.6328125" style="1" customWidth="1"/>
    <col min="5" max="5" width="16.26953125" style="1" customWidth="1"/>
    <col min="6" max="6" width="10.453125" style="1" bestFit="1" customWidth="1"/>
    <col min="7" max="8" width="8" style="1" customWidth="1"/>
    <col min="9" max="9" width="12.26953125" style="1" customWidth="1"/>
    <col min="10" max="10" width="7.81640625" style="1" customWidth="1"/>
    <col min="11" max="11" width="8.26953125" style="1" customWidth="1"/>
    <col min="12" max="12" width="8.453125" style="1" customWidth="1"/>
    <col min="13" max="13" width="12" style="1" customWidth="1"/>
    <col min="14" max="14" width="13" style="1" customWidth="1"/>
    <col min="15" max="15" width="12" style="1" customWidth="1"/>
    <col min="16" max="16" width="8.7265625" style="1" customWidth="1"/>
    <col min="17" max="16384" width="8.7265625" style="1"/>
  </cols>
  <sheetData>
    <row r="1" spans="1:15" ht="17.25" customHeight="1" thickBot="1" x14ac:dyDescent="0.4">
      <c r="A1" s="97" t="e" vm="1">
        <v>#VALUE!</v>
      </c>
      <c r="B1" s="98"/>
      <c r="C1" s="99"/>
      <c r="D1" s="48" t="s">
        <v>0</v>
      </c>
      <c r="E1" s="49"/>
      <c r="F1" s="49"/>
      <c r="G1" s="49"/>
      <c r="H1" s="49"/>
      <c r="I1" s="49"/>
      <c r="J1" s="49"/>
      <c r="K1" s="50"/>
      <c r="L1" s="46" t="s">
        <v>1</v>
      </c>
      <c r="M1" s="47"/>
      <c r="N1" s="66">
        <v>46098</v>
      </c>
      <c r="O1" s="67"/>
    </row>
    <row r="2" spans="1:15" ht="18" customHeight="1" x14ac:dyDescent="0.35">
      <c r="A2" s="100"/>
      <c r="B2" s="101"/>
      <c r="C2" s="102"/>
      <c r="D2" s="51"/>
      <c r="E2" s="52"/>
      <c r="F2" s="52"/>
      <c r="G2" s="52"/>
      <c r="H2" s="52"/>
      <c r="I2" s="52"/>
      <c r="J2" s="52"/>
      <c r="K2" s="53"/>
      <c r="L2" s="79" t="s">
        <v>2</v>
      </c>
      <c r="M2" s="43"/>
      <c r="N2" s="71" t="s">
        <v>3</v>
      </c>
      <c r="O2" s="72"/>
    </row>
    <row r="3" spans="1:15" ht="16.5" customHeight="1" x14ac:dyDescent="0.35">
      <c r="A3" s="100"/>
      <c r="B3" s="101"/>
      <c r="C3" s="102"/>
      <c r="D3" s="51"/>
      <c r="E3" s="52"/>
      <c r="F3" s="52"/>
      <c r="G3" s="52"/>
      <c r="H3" s="52"/>
      <c r="I3" s="52"/>
      <c r="J3" s="52"/>
      <c r="K3" s="53"/>
      <c r="L3" s="79" t="s">
        <v>4</v>
      </c>
      <c r="M3" s="43"/>
      <c r="N3" s="71" t="s">
        <v>5</v>
      </c>
      <c r="O3" s="72"/>
    </row>
    <row r="4" spans="1:15" ht="15.75" customHeight="1" thickBot="1" x14ac:dyDescent="0.4">
      <c r="A4" s="103"/>
      <c r="B4" s="104"/>
      <c r="C4" s="105"/>
      <c r="D4" s="54"/>
      <c r="E4" s="55"/>
      <c r="F4" s="55"/>
      <c r="G4" s="55"/>
      <c r="H4" s="55"/>
      <c r="I4" s="55"/>
      <c r="J4" s="55"/>
      <c r="K4" s="56"/>
      <c r="L4" s="44" t="s">
        <v>6</v>
      </c>
      <c r="M4" s="45"/>
      <c r="N4" s="74" t="s">
        <v>7</v>
      </c>
      <c r="O4" s="75"/>
    </row>
    <row r="5" spans="1:15" ht="19.899999999999999" customHeight="1" thickBot="1" x14ac:dyDescent="0.4">
      <c r="A5" s="76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8"/>
    </row>
    <row r="6" spans="1:15" ht="22.15" customHeight="1" x14ac:dyDescent="0.35">
      <c r="A6" s="80" t="s">
        <v>9</v>
      </c>
      <c r="B6" s="43"/>
      <c r="C6" s="68" t="s">
        <v>58</v>
      </c>
      <c r="D6" s="43"/>
      <c r="E6" s="70" t="s">
        <v>10</v>
      </c>
      <c r="F6" s="43"/>
      <c r="G6" s="73">
        <v>46181</v>
      </c>
      <c r="H6" s="43"/>
      <c r="I6" s="70" t="s">
        <v>11</v>
      </c>
      <c r="J6" s="43"/>
      <c r="K6" s="68" t="s">
        <v>197</v>
      </c>
      <c r="L6" s="43"/>
      <c r="M6" s="70" t="s">
        <v>12</v>
      </c>
      <c r="N6" s="43"/>
      <c r="O6" s="6" t="s">
        <v>13</v>
      </c>
    </row>
    <row r="7" spans="1:15" ht="22.15" customHeight="1" x14ac:dyDescent="0.35">
      <c r="A7" s="80" t="s">
        <v>14</v>
      </c>
      <c r="B7" s="43"/>
      <c r="C7" s="68" t="s">
        <v>15</v>
      </c>
      <c r="D7" s="69"/>
      <c r="E7" s="69"/>
      <c r="F7" s="69"/>
      <c r="G7" s="69"/>
      <c r="H7" s="43"/>
      <c r="I7" s="70" t="s">
        <v>16</v>
      </c>
      <c r="J7" s="43"/>
      <c r="K7" s="42" t="s">
        <v>60</v>
      </c>
      <c r="L7" s="69"/>
      <c r="M7" s="69"/>
      <c r="N7" s="69"/>
      <c r="O7" s="72"/>
    </row>
    <row r="8" spans="1:15" ht="22.15" customHeight="1" x14ac:dyDescent="0.35">
      <c r="A8" s="80" t="s">
        <v>17</v>
      </c>
      <c r="B8" s="43"/>
      <c r="C8" s="42" t="s">
        <v>60</v>
      </c>
      <c r="D8" s="69"/>
      <c r="E8" s="69"/>
      <c r="F8" s="69"/>
      <c r="G8" s="69"/>
      <c r="H8" s="43"/>
      <c r="I8" s="70" t="s">
        <v>18</v>
      </c>
      <c r="J8" s="43"/>
      <c r="K8" s="42" t="s">
        <v>19</v>
      </c>
      <c r="L8" s="43"/>
      <c r="M8" s="70" t="s">
        <v>20</v>
      </c>
      <c r="N8" s="43"/>
      <c r="O8" s="6" t="s">
        <v>21</v>
      </c>
    </row>
    <row r="9" spans="1:15" ht="22.15" customHeight="1" x14ac:dyDescent="0.35">
      <c r="A9" s="80" t="s">
        <v>22</v>
      </c>
      <c r="B9" s="43"/>
      <c r="C9" s="68" t="s">
        <v>187</v>
      </c>
      <c r="D9" s="43"/>
      <c r="E9" s="70" t="s">
        <v>23</v>
      </c>
      <c r="F9" s="43"/>
      <c r="G9" s="42" t="s">
        <v>21</v>
      </c>
      <c r="H9" s="43"/>
      <c r="I9" s="70" t="s">
        <v>24</v>
      </c>
      <c r="J9" s="43"/>
      <c r="K9" s="68" t="s">
        <v>188</v>
      </c>
      <c r="L9" s="43"/>
      <c r="M9" s="70" t="s">
        <v>189</v>
      </c>
      <c r="N9" s="43"/>
      <c r="O9" s="2">
        <v>46191</v>
      </c>
    </row>
    <row r="10" spans="1:15" ht="22.15" customHeight="1" x14ac:dyDescent="0.35">
      <c r="A10" s="80" t="s">
        <v>25</v>
      </c>
      <c r="B10" s="43"/>
      <c r="C10" s="81" t="s">
        <v>186</v>
      </c>
      <c r="D10" s="43"/>
      <c r="E10" s="70" t="s">
        <v>26</v>
      </c>
      <c r="F10" s="43"/>
      <c r="G10" s="68"/>
      <c r="H10" s="43"/>
      <c r="I10" s="70" t="s">
        <v>27</v>
      </c>
      <c r="J10" s="43"/>
      <c r="K10" s="68"/>
      <c r="L10" s="43"/>
      <c r="M10" s="70" t="s">
        <v>28</v>
      </c>
      <c r="N10" s="43"/>
      <c r="O10" s="6" t="s">
        <v>29</v>
      </c>
    </row>
    <row r="11" spans="1:15" ht="15" customHeight="1" thickBot="1" x14ac:dyDescent="0.4">
      <c r="A11" s="3"/>
      <c r="O11" s="4"/>
    </row>
    <row r="12" spans="1:15" ht="34.15" customHeight="1" thickBot="1" x14ac:dyDescent="0.4">
      <c r="A12" s="5" t="s">
        <v>30</v>
      </c>
      <c r="B12" s="7" t="s">
        <v>31</v>
      </c>
      <c r="C12" s="7" t="s">
        <v>32</v>
      </c>
      <c r="D12" s="7" t="s">
        <v>33</v>
      </c>
      <c r="E12" s="7" t="s">
        <v>34</v>
      </c>
      <c r="F12" s="7" t="s">
        <v>35</v>
      </c>
      <c r="G12" s="7" t="s">
        <v>36</v>
      </c>
      <c r="H12" s="7" t="s">
        <v>37</v>
      </c>
      <c r="I12" s="7" t="s">
        <v>38</v>
      </c>
      <c r="J12" s="7" t="s">
        <v>39</v>
      </c>
      <c r="K12" s="7" t="s">
        <v>40</v>
      </c>
      <c r="L12" s="7" t="s">
        <v>41</v>
      </c>
      <c r="M12" s="7" t="s">
        <v>42</v>
      </c>
      <c r="N12" s="7" t="s">
        <v>43</v>
      </c>
      <c r="O12" s="9" t="s">
        <v>44</v>
      </c>
    </row>
    <row r="13" spans="1:15" ht="32.5" customHeight="1" x14ac:dyDescent="0.35">
      <c r="A13" s="8">
        <v>1</v>
      </c>
      <c r="B13" s="95" t="s">
        <v>76</v>
      </c>
      <c r="C13" s="14"/>
      <c r="D13" s="14" t="s">
        <v>124</v>
      </c>
      <c r="E13" s="15" t="s">
        <v>125</v>
      </c>
      <c r="F13" s="14" t="s">
        <v>45</v>
      </c>
      <c r="G13" s="16">
        <v>300</v>
      </c>
      <c r="H13" s="14" t="s">
        <v>126</v>
      </c>
      <c r="I13" s="95" t="s">
        <v>190</v>
      </c>
      <c r="J13" s="63">
        <v>1</v>
      </c>
      <c r="K13" s="16"/>
      <c r="L13" s="16"/>
      <c r="M13" s="60">
        <v>1600</v>
      </c>
      <c r="N13" s="17"/>
      <c r="O13" s="36" t="str">
        <f t="shared" ref="O13:O33" si="0">IF(COUNTA(J13:L13)=3,J13*K13*L13/1000000,"")</f>
        <v/>
      </c>
    </row>
    <row r="14" spans="1:15" ht="32.5" customHeight="1" x14ac:dyDescent="0.35">
      <c r="A14" s="31">
        <v>2</v>
      </c>
      <c r="B14" s="58"/>
      <c r="C14" s="14"/>
      <c r="D14" s="14" t="s">
        <v>185</v>
      </c>
      <c r="E14" s="15" t="s">
        <v>127</v>
      </c>
      <c r="F14" s="14" t="s">
        <v>45</v>
      </c>
      <c r="G14" s="16">
        <v>20</v>
      </c>
      <c r="H14" s="14" t="s">
        <v>46</v>
      </c>
      <c r="I14" s="58"/>
      <c r="J14" s="64"/>
      <c r="K14" s="16"/>
      <c r="L14" s="16"/>
      <c r="M14" s="61"/>
      <c r="N14" s="17"/>
      <c r="O14" s="36" t="str">
        <f t="shared" si="0"/>
        <v/>
      </c>
    </row>
    <row r="15" spans="1:15" ht="32.5" customHeight="1" x14ac:dyDescent="0.35">
      <c r="A15" s="31">
        <v>3</v>
      </c>
      <c r="B15" s="58"/>
      <c r="C15" s="14"/>
      <c r="D15" s="14" t="s">
        <v>128</v>
      </c>
      <c r="E15" s="15" t="s">
        <v>129</v>
      </c>
      <c r="F15" s="14" t="s">
        <v>45</v>
      </c>
      <c r="G15" s="16">
        <v>3</v>
      </c>
      <c r="H15" s="14" t="s">
        <v>46</v>
      </c>
      <c r="I15" s="58"/>
      <c r="J15" s="64"/>
      <c r="K15" s="16"/>
      <c r="L15" s="16"/>
      <c r="M15" s="61"/>
      <c r="N15" s="17"/>
      <c r="O15" s="36" t="str">
        <f t="shared" si="0"/>
        <v/>
      </c>
    </row>
    <row r="16" spans="1:15" ht="32.5" customHeight="1" x14ac:dyDescent="0.35">
      <c r="A16" s="8">
        <v>4</v>
      </c>
      <c r="B16" s="58"/>
      <c r="C16" s="14"/>
      <c r="D16" s="14" t="s">
        <v>130</v>
      </c>
      <c r="E16" s="15" t="s">
        <v>131</v>
      </c>
      <c r="F16" s="14" t="s">
        <v>45</v>
      </c>
      <c r="G16" s="16">
        <v>3</v>
      </c>
      <c r="H16" s="14" t="s">
        <v>46</v>
      </c>
      <c r="I16" s="58"/>
      <c r="J16" s="64"/>
      <c r="K16" s="16"/>
      <c r="L16" s="16"/>
      <c r="M16" s="61"/>
      <c r="N16" s="17"/>
      <c r="O16" s="36" t="str">
        <f t="shared" si="0"/>
        <v/>
      </c>
    </row>
    <row r="17" spans="1:15" ht="32.5" customHeight="1" x14ac:dyDescent="0.35">
      <c r="A17" s="31">
        <v>5</v>
      </c>
      <c r="B17" s="58"/>
      <c r="C17" s="32"/>
      <c r="D17" s="32" t="s">
        <v>132</v>
      </c>
      <c r="E17" s="15" t="s">
        <v>131</v>
      </c>
      <c r="F17" s="32" t="s">
        <v>45</v>
      </c>
      <c r="G17" s="33">
        <v>3</v>
      </c>
      <c r="H17" s="32" t="s">
        <v>46</v>
      </c>
      <c r="I17" s="58"/>
      <c r="J17" s="64"/>
      <c r="K17" s="33"/>
      <c r="L17" s="33"/>
      <c r="M17" s="61"/>
      <c r="N17" s="17"/>
      <c r="O17" s="36" t="str">
        <f t="shared" si="0"/>
        <v/>
      </c>
    </row>
    <row r="18" spans="1:15" ht="32.5" customHeight="1" x14ac:dyDescent="0.35">
      <c r="A18" s="31">
        <v>6</v>
      </c>
      <c r="B18" s="58"/>
      <c r="C18" s="32"/>
      <c r="D18" s="32" t="s">
        <v>133</v>
      </c>
      <c r="E18" s="15" t="s">
        <v>134</v>
      </c>
      <c r="F18" s="32" t="s">
        <v>45</v>
      </c>
      <c r="G18" s="33">
        <v>30</v>
      </c>
      <c r="H18" s="32" t="s">
        <v>126</v>
      </c>
      <c r="I18" s="58"/>
      <c r="J18" s="64"/>
      <c r="K18" s="33"/>
      <c r="L18" s="33"/>
      <c r="M18" s="61"/>
      <c r="N18" s="17"/>
      <c r="O18" s="36" t="str">
        <f t="shared" si="0"/>
        <v/>
      </c>
    </row>
    <row r="19" spans="1:15" ht="32.5" customHeight="1" x14ac:dyDescent="0.35">
      <c r="A19" s="8">
        <v>7</v>
      </c>
      <c r="B19" s="58"/>
      <c r="C19" s="14"/>
      <c r="D19" s="14" t="s">
        <v>184</v>
      </c>
      <c r="E19" s="35" t="s">
        <v>135</v>
      </c>
      <c r="F19" s="14" t="s">
        <v>45</v>
      </c>
      <c r="G19" s="16">
        <v>15</v>
      </c>
      <c r="H19" s="14" t="s">
        <v>46</v>
      </c>
      <c r="I19" s="58"/>
      <c r="J19" s="64"/>
      <c r="K19" s="16"/>
      <c r="L19" s="16"/>
      <c r="M19" s="61"/>
      <c r="N19" s="17"/>
      <c r="O19" s="36" t="str">
        <f t="shared" si="0"/>
        <v/>
      </c>
    </row>
    <row r="20" spans="1:15" ht="32.5" customHeight="1" x14ac:dyDescent="0.35">
      <c r="A20" s="31">
        <v>8</v>
      </c>
      <c r="B20" s="58"/>
      <c r="C20" s="14"/>
      <c r="D20" s="14" t="s">
        <v>183</v>
      </c>
      <c r="E20" s="35" t="s">
        <v>135</v>
      </c>
      <c r="F20" s="14" t="s">
        <v>45</v>
      </c>
      <c r="G20" s="16">
        <v>15</v>
      </c>
      <c r="H20" s="14" t="s">
        <v>46</v>
      </c>
      <c r="I20" s="58"/>
      <c r="J20" s="64"/>
      <c r="K20" s="16"/>
      <c r="L20" s="16"/>
      <c r="M20" s="61"/>
      <c r="N20" s="17"/>
      <c r="O20" s="36" t="str">
        <f t="shared" si="0"/>
        <v/>
      </c>
    </row>
    <row r="21" spans="1:15" ht="32.5" customHeight="1" x14ac:dyDescent="0.35">
      <c r="A21" s="31">
        <v>9</v>
      </c>
      <c r="B21" s="59"/>
      <c r="C21" s="14"/>
      <c r="D21" s="14" t="s">
        <v>177</v>
      </c>
      <c r="E21" s="35" t="s">
        <v>137</v>
      </c>
      <c r="F21" s="14" t="s">
        <v>45</v>
      </c>
      <c r="G21" s="16">
        <v>3</v>
      </c>
      <c r="H21" s="14" t="s">
        <v>46</v>
      </c>
      <c r="I21" s="58"/>
      <c r="J21" s="65"/>
      <c r="K21" s="16"/>
      <c r="L21" s="16"/>
      <c r="M21" s="62"/>
      <c r="N21" s="17"/>
      <c r="O21" s="36" t="str">
        <f t="shared" ref="O21" si="1">IF(COUNTA(J21:L21)=3,J21*K21*L21/1000000,"")</f>
        <v/>
      </c>
    </row>
    <row r="22" spans="1:15" ht="32.5" customHeight="1" x14ac:dyDescent="0.35">
      <c r="A22" s="8">
        <v>10</v>
      </c>
      <c r="B22" s="95" t="s">
        <v>77</v>
      </c>
      <c r="C22" s="14"/>
      <c r="D22" s="14" t="s">
        <v>182</v>
      </c>
      <c r="E22" s="35" t="s">
        <v>136</v>
      </c>
      <c r="F22" s="14" t="s">
        <v>45</v>
      </c>
      <c r="G22" s="16">
        <v>35100</v>
      </c>
      <c r="H22" s="14" t="s">
        <v>46</v>
      </c>
      <c r="I22" s="95" t="s">
        <v>190</v>
      </c>
      <c r="J22" s="63">
        <v>1</v>
      </c>
      <c r="K22" s="16"/>
      <c r="L22" s="16"/>
      <c r="M22" s="60">
        <v>1530</v>
      </c>
      <c r="N22" s="17"/>
      <c r="O22" s="36" t="str">
        <f t="shared" si="0"/>
        <v/>
      </c>
    </row>
    <row r="23" spans="1:15" ht="32.5" customHeight="1" x14ac:dyDescent="0.35">
      <c r="A23" s="31">
        <v>11</v>
      </c>
      <c r="B23" s="58"/>
      <c r="C23" s="14"/>
      <c r="D23" s="14" t="s">
        <v>181</v>
      </c>
      <c r="E23" s="35" t="s">
        <v>136</v>
      </c>
      <c r="F23" s="14" t="s">
        <v>45</v>
      </c>
      <c r="G23" s="16">
        <v>10800</v>
      </c>
      <c r="H23" s="14" t="s">
        <v>46</v>
      </c>
      <c r="I23" s="58"/>
      <c r="J23" s="64"/>
      <c r="K23" s="16"/>
      <c r="L23" s="16"/>
      <c r="M23" s="61"/>
      <c r="N23" s="17"/>
      <c r="O23" s="36" t="str">
        <f t="shared" si="0"/>
        <v/>
      </c>
    </row>
    <row r="24" spans="1:15" ht="32.5" customHeight="1" x14ac:dyDescent="0.35">
      <c r="A24" s="31">
        <v>12</v>
      </c>
      <c r="B24" s="58"/>
      <c r="C24" s="14"/>
      <c r="D24" s="14" t="s">
        <v>180</v>
      </c>
      <c r="E24" s="35" t="s">
        <v>136</v>
      </c>
      <c r="F24" s="14" t="s">
        <v>45</v>
      </c>
      <c r="G24" s="16">
        <v>13500</v>
      </c>
      <c r="H24" s="14" t="s">
        <v>46</v>
      </c>
      <c r="I24" s="58"/>
      <c r="J24" s="64"/>
      <c r="K24" s="16"/>
      <c r="L24" s="16"/>
      <c r="M24" s="61"/>
      <c r="N24" s="17"/>
      <c r="O24" s="36" t="str">
        <f t="shared" si="0"/>
        <v/>
      </c>
    </row>
    <row r="25" spans="1:15" ht="28" customHeight="1" x14ac:dyDescent="0.35">
      <c r="A25" s="8">
        <v>13</v>
      </c>
      <c r="B25" s="58"/>
      <c r="C25" s="32"/>
      <c r="D25" s="32" t="s">
        <v>179</v>
      </c>
      <c r="E25" s="15" t="s">
        <v>136</v>
      </c>
      <c r="F25" s="32" t="s">
        <v>45</v>
      </c>
      <c r="G25" s="33">
        <v>12000</v>
      </c>
      <c r="H25" s="32" t="s">
        <v>46</v>
      </c>
      <c r="I25" s="58"/>
      <c r="J25" s="64"/>
      <c r="K25" s="33"/>
      <c r="L25" s="33"/>
      <c r="M25" s="61"/>
      <c r="N25" s="34"/>
      <c r="O25" s="37" t="str">
        <f t="shared" si="0"/>
        <v/>
      </c>
    </row>
    <row r="26" spans="1:15" ht="32.5" customHeight="1" x14ac:dyDescent="0.35">
      <c r="A26" s="31">
        <v>14</v>
      </c>
      <c r="B26" s="59"/>
      <c r="C26" s="14"/>
      <c r="D26" s="14" t="s">
        <v>178</v>
      </c>
      <c r="E26" s="35" t="s">
        <v>136</v>
      </c>
      <c r="F26" s="14" t="s">
        <v>45</v>
      </c>
      <c r="G26" s="16">
        <v>6000</v>
      </c>
      <c r="H26" s="14" t="s">
        <v>46</v>
      </c>
      <c r="I26" s="59"/>
      <c r="J26" s="65"/>
      <c r="K26" s="16"/>
      <c r="L26" s="16"/>
      <c r="M26" s="62"/>
      <c r="N26" s="17"/>
      <c r="O26" s="36" t="str">
        <f t="shared" si="0"/>
        <v/>
      </c>
    </row>
    <row r="27" spans="1:15" ht="32.5" customHeight="1" x14ac:dyDescent="0.35">
      <c r="A27" s="31">
        <v>15</v>
      </c>
      <c r="B27" s="95" t="s">
        <v>193</v>
      </c>
      <c r="C27" s="14"/>
      <c r="D27" s="14" t="s">
        <v>138</v>
      </c>
      <c r="E27" s="35" t="s">
        <v>139</v>
      </c>
      <c r="F27" s="14" t="s">
        <v>45</v>
      </c>
      <c r="G27" s="16">
        <v>60</v>
      </c>
      <c r="H27" s="14" t="s">
        <v>46</v>
      </c>
      <c r="I27" s="57" t="s">
        <v>63</v>
      </c>
      <c r="J27" s="63">
        <v>1</v>
      </c>
      <c r="K27" s="16"/>
      <c r="L27" s="16"/>
      <c r="M27" s="60">
        <v>80</v>
      </c>
      <c r="N27" s="17"/>
      <c r="O27" s="36" t="str">
        <f t="shared" si="0"/>
        <v/>
      </c>
    </row>
    <row r="28" spans="1:15" ht="32.5" customHeight="1" x14ac:dyDescent="0.35">
      <c r="A28" s="8">
        <v>16</v>
      </c>
      <c r="B28" s="58"/>
      <c r="C28" s="14"/>
      <c r="D28" s="14" t="s">
        <v>140</v>
      </c>
      <c r="E28" s="35" t="s">
        <v>141</v>
      </c>
      <c r="F28" s="14" t="s">
        <v>45</v>
      </c>
      <c r="G28" s="16">
        <v>3</v>
      </c>
      <c r="H28" s="14" t="s">
        <v>46</v>
      </c>
      <c r="I28" s="57"/>
      <c r="J28" s="64"/>
      <c r="K28" s="16"/>
      <c r="L28" s="16"/>
      <c r="M28" s="61"/>
      <c r="N28" s="17"/>
      <c r="O28" s="36" t="str">
        <f t="shared" si="0"/>
        <v/>
      </c>
    </row>
    <row r="29" spans="1:15" ht="32.5" customHeight="1" x14ac:dyDescent="0.35">
      <c r="A29" s="31">
        <v>17</v>
      </c>
      <c r="B29" s="59"/>
      <c r="C29" s="14"/>
      <c r="D29" s="14" t="s">
        <v>142</v>
      </c>
      <c r="E29" s="35" t="s">
        <v>67</v>
      </c>
      <c r="F29" s="14" t="s">
        <v>45</v>
      </c>
      <c r="G29" s="16">
        <v>15</v>
      </c>
      <c r="H29" s="14" t="s">
        <v>46</v>
      </c>
      <c r="I29" s="57"/>
      <c r="J29" s="65"/>
      <c r="K29" s="16"/>
      <c r="L29" s="16"/>
      <c r="M29" s="62"/>
      <c r="N29" s="17"/>
      <c r="O29" s="36" t="str">
        <f t="shared" si="0"/>
        <v/>
      </c>
    </row>
    <row r="30" spans="1:15" ht="32.5" customHeight="1" x14ac:dyDescent="0.35">
      <c r="A30" s="31">
        <v>18</v>
      </c>
      <c r="B30" s="95" t="s">
        <v>82</v>
      </c>
      <c r="C30" s="14"/>
      <c r="D30" s="14" t="s">
        <v>143</v>
      </c>
      <c r="E30" s="35" t="s">
        <v>144</v>
      </c>
      <c r="F30" s="14" t="s">
        <v>45</v>
      </c>
      <c r="G30" s="16">
        <v>60</v>
      </c>
      <c r="H30" s="14" t="s">
        <v>109</v>
      </c>
      <c r="I30" s="57" t="s">
        <v>75</v>
      </c>
      <c r="J30" s="63">
        <v>1</v>
      </c>
      <c r="K30" s="16"/>
      <c r="L30" s="16"/>
      <c r="M30" s="60">
        <v>760</v>
      </c>
      <c r="N30" s="17"/>
      <c r="O30" s="36" t="str">
        <f t="shared" si="0"/>
        <v/>
      </c>
    </row>
    <row r="31" spans="1:15" ht="32.5" customHeight="1" x14ac:dyDescent="0.35">
      <c r="A31" s="8">
        <v>19</v>
      </c>
      <c r="B31" s="59"/>
      <c r="C31" s="14"/>
      <c r="D31" s="14" t="s">
        <v>176</v>
      </c>
      <c r="E31" s="35" t="s">
        <v>145</v>
      </c>
      <c r="F31" s="14" t="s">
        <v>45</v>
      </c>
      <c r="G31" s="16">
        <v>16</v>
      </c>
      <c r="H31" s="14" t="s">
        <v>46</v>
      </c>
      <c r="I31" s="57"/>
      <c r="J31" s="65"/>
      <c r="K31" s="16"/>
      <c r="L31" s="16"/>
      <c r="M31" s="62"/>
      <c r="N31" s="17"/>
      <c r="O31" s="36" t="str">
        <f t="shared" si="0"/>
        <v/>
      </c>
    </row>
    <row r="32" spans="1:15" ht="32.5" customHeight="1" x14ac:dyDescent="0.35">
      <c r="A32" s="31">
        <v>20</v>
      </c>
      <c r="B32" s="14" t="s">
        <v>84</v>
      </c>
      <c r="C32" s="14"/>
      <c r="D32" s="14" t="s">
        <v>146</v>
      </c>
      <c r="E32" s="35" t="s">
        <v>147</v>
      </c>
      <c r="F32" s="14" t="s">
        <v>45</v>
      </c>
      <c r="G32" s="16">
        <v>220</v>
      </c>
      <c r="H32" s="14" t="s">
        <v>46</v>
      </c>
      <c r="I32" s="14" t="s">
        <v>190</v>
      </c>
      <c r="J32" s="16">
        <v>1</v>
      </c>
      <c r="K32" s="16"/>
      <c r="L32" s="16"/>
      <c r="M32" s="17">
        <v>1020</v>
      </c>
      <c r="N32" s="17"/>
      <c r="O32" s="36" t="str">
        <f t="shared" si="0"/>
        <v/>
      </c>
    </row>
    <row r="33" spans="1:15" ht="32.5" customHeight="1" thickBot="1" x14ac:dyDescent="0.4">
      <c r="A33" s="31">
        <v>21</v>
      </c>
      <c r="B33" s="14" t="s">
        <v>86</v>
      </c>
      <c r="C33" s="14"/>
      <c r="D33" s="14" t="s">
        <v>175</v>
      </c>
      <c r="E33" s="35" t="s">
        <v>149</v>
      </c>
      <c r="F33" s="14" t="s">
        <v>45</v>
      </c>
      <c r="G33" s="16">
        <v>140</v>
      </c>
      <c r="H33" s="14" t="s">
        <v>46</v>
      </c>
      <c r="I33" s="14" t="s">
        <v>148</v>
      </c>
      <c r="J33" s="16">
        <v>1</v>
      </c>
      <c r="K33" s="16"/>
      <c r="L33" s="16"/>
      <c r="M33" s="17">
        <v>700</v>
      </c>
      <c r="N33" s="17"/>
      <c r="O33" s="36" t="str">
        <f t="shared" si="0"/>
        <v/>
      </c>
    </row>
    <row r="34" spans="1:15" ht="19.899999999999999" customHeight="1" thickBot="1" x14ac:dyDescent="0.4">
      <c r="A34" s="88" t="s">
        <v>47</v>
      </c>
      <c r="B34" s="89"/>
      <c r="C34" s="29"/>
      <c r="D34" s="29"/>
      <c r="E34" s="29"/>
      <c r="F34" s="30"/>
      <c r="G34" s="23">
        <f>SUM(G13:G33)</f>
        <v>78306</v>
      </c>
      <c r="H34" s="22"/>
      <c r="I34" s="25"/>
      <c r="J34" s="22">
        <f>SUM(J13:J33)</f>
        <v>6</v>
      </c>
      <c r="K34" s="22"/>
      <c r="L34" s="22"/>
      <c r="M34" s="24">
        <f>SUM(M13:M33)</f>
        <v>5690</v>
      </c>
      <c r="N34" s="24">
        <f>SUM(N13:N33)</f>
        <v>0</v>
      </c>
      <c r="O34" s="26">
        <f>SUM(O13:O33)</f>
        <v>0</v>
      </c>
    </row>
    <row r="35" spans="1:15" ht="19.899999999999999" customHeight="1" x14ac:dyDescent="0.35">
      <c r="A35" s="3"/>
      <c r="O35" s="4"/>
    </row>
    <row r="36" spans="1:15" ht="35" customHeight="1" x14ac:dyDescent="0.35">
      <c r="A36" s="90" t="s">
        <v>48</v>
      </c>
      <c r="B36" s="91"/>
      <c r="C36" s="18">
        <f>J34</f>
        <v>6</v>
      </c>
      <c r="D36" s="27" t="s">
        <v>49</v>
      </c>
      <c r="E36" s="28"/>
      <c r="F36" s="20">
        <f>G34</f>
        <v>78306</v>
      </c>
      <c r="G36" s="92" t="s">
        <v>50</v>
      </c>
      <c r="H36" s="91"/>
      <c r="I36" s="19">
        <f>SUM(M13:M33)</f>
        <v>5690</v>
      </c>
      <c r="J36" s="92" t="s">
        <v>51</v>
      </c>
      <c r="K36" s="91"/>
      <c r="L36" s="20">
        <f>SUM(N13:N33)</f>
        <v>0</v>
      </c>
      <c r="M36" s="92" t="s">
        <v>52</v>
      </c>
      <c r="N36" s="91"/>
      <c r="O36" s="21">
        <f>SUM(O13:O33)</f>
        <v>0</v>
      </c>
    </row>
    <row r="37" spans="1:15" ht="18.5" customHeight="1" thickBot="1" x14ac:dyDescent="0.4">
      <c r="A37" s="93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94"/>
    </row>
    <row r="38" spans="1:15" ht="18.5" x14ac:dyDescent="0.35">
      <c r="A38" s="85" t="s">
        <v>53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7"/>
    </row>
    <row r="39" spans="1:15" ht="25" customHeight="1" thickBot="1" x14ac:dyDescent="0.4">
      <c r="A39" s="82" t="s">
        <v>54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4"/>
    </row>
    <row r="48" spans="1:15" x14ac:dyDescent="0.35"/>
  </sheetData>
  <mergeCells count="65">
    <mergeCell ref="A38:O38"/>
    <mergeCell ref="A39:O39"/>
    <mergeCell ref="A34:B34"/>
    <mergeCell ref="A36:B36"/>
    <mergeCell ref="G36:H36"/>
    <mergeCell ref="J36:K36"/>
    <mergeCell ref="M36:N36"/>
    <mergeCell ref="A37:O37"/>
    <mergeCell ref="M10:N10"/>
    <mergeCell ref="E10:F10"/>
    <mergeCell ref="G10:H10"/>
    <mergeCell ref="A8:B8"/>
    <mergeCell ref="I10:J10"/>
    <mergeCell ref="K10:L10"/>
    <mergeCell ref="A10:B10"/>
    <mergeCell ref="C6:D6"/>
    <mergeCell ref="I6:J6"/>
    <mergeCell ref="A9:B9"/>
    <mergeCell ref="K9:L9"/>
    <mergeCell ref="A7:B7"/>
    <mergeCell ref="I7:J7"/>
    <mergeCell ref="C10:D10"/>
    <mergeCell ref="C9:D9"/>
    <mergeCell ref="E9:F9"/>
    <mergeCell ref="I8:J8"/>
    <mergeCell ref="M8:N8"/>
    <mergeCell ref="K7:O7"/>
    <mergeCell ref="G9:H9"/>
    <mergeCell ref="I9:J9"/>
    <mergeCell ref="M9:N9"/>
    <mergeCell ref="N1:O1"/>
    <mergeCell ref="C7:H7"/>
    <mergeCell ref="A1:C4"/>
    <mergeCell ref="E6:F6"/>
    <mergeCell ref="M6:N6"/>
    <mergeCell ref="N2:O2"/>
    <mergeCell ref="G6:H6"/>
    <mergeCell ref="K6:L6"/>
    <mergeCell ref="N4:O4"/>
    <mergeCell ref="N3:O3"/>
    <mergeCell ref="A5:O5"/>
    <mergeCell ref="A6:B6"/>
    <mergeCell ref="K8:L8"/>
    <mergeCell ref="L4:M4"/>
    <mergeCell ref="L1:M1"/>
    <mergeCell ref="D1:K4"/>
    <mergeCell ref="L2:M2"/>
    <mergeCell ref="L3:M3"/>
    <mergeCell ref="C8:H8"/>
    <mergeCell ref="B22:B26"/>
    <mergeCell ref="I22:I26"/>
    <mergeCell ref="J22:J26"/>
    <mergeCell ref="M22:M26"/>
    <mergeCell ref="B13:B21"/>
    <mergeCell ref="I13:I21"/>
    <mergeCell ref="J13:J21"/>
    <mergeCell ref="M13:M21"/>
    <mergeCell ref="B27:B29"/>
    <mergeCell ref="I27:I29"/>
    <mergeCell ref="J27:J29"/>
    <mergeCell ref="M27:M29"/>
    <mergeCell ref="I30:I31"/>
    <mergeCell ref="J30:J31"/>
    <mergeCell ref="B30:B31"/>
    <mergeCell ref="M30:M31"/>
  </mergeCells>
  <pageMargins left="0.7" right="0.7" top="0.75" bottom="0.75" header="0.3" footer="0.3"/>
  <pageSetup paperSize="9" scale="48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sum</vt:lpstr>
      <vt:lpstr>ARKU1203805-1</vt:lpstr>
      <vt:lpstr>ARKU1203805-2</vt:lpstr>
      <vt:lpstr>ARKU1203805-3</vt:lpstr>
      <vt:lpstr>sum!Yazdırma_Alanı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ADIGÜZEL</dc:creator>
  <cp:lastModifiedBy>Burcu ADIGÜZEL</cp:lastModifiedBy>
  <cp:lastPrinted>2026-04-21T07:29:53Z</cp:lastPrinted>
  <dcterms:created xsi:type="dcterms:W3CDTF">2026-03-13T12:45:47Z</dcterms:created>
  <dcterms:modified xsi:type="dcterms:W3CDTF">2026-06-14T17:45:33Z</dcterms:modified>
</cp:coreProperties>
</file>